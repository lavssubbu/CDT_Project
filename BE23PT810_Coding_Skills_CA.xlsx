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2026\KIOT\AY 2026-2027\III Year -2028 Batch\CodingSkillsI\"/>
    </mc:Choice>
  </mc:AlternateContent>
  <xr:revisionPtr revIDLastSave="0" documentId="13_ncr:1_{E6B458DA-DCEB-415F-88BA-4C166991CBCF}" xr6:coauthVersionLast="36" xr6:coauthVersionMax="36" xr10:uidLastSave="{00000000-0000-0000-0000-000000000000}"/>
  <bookViews>
    <workbookView xWindow="0" yWindow="0" windowWidth="23040" windowHeight="8652" xr2:uid="{00000000-000D-0000-FFFF-FFFF00000000}"/>
  </bookViews>
  <sheets>
    <sheet name="Overall Analysis" sheetId="1" r:id="rId1"/>
    <sheet name="MCQ" sheetId="2" r:id="rId2"/>
    <sheet name="Debugging" sheetId="3" r:id="rId3"/>
    <sheet name="Coding" sheetId="4" r:id="rId4"/>
    <sheet name="Department % Report" sheetId="8" r:id="rId5"/>
  </sheets>
  <definedNames>
    <definedName name="_xlnm._FilterDatabase" localSheetId="3" hidden="1">Coding!$A$1:$J$1</definedName>
    <definedName name="_xlnm._FilterDatabase" localSheetId="1" hidden="1">MCQ!$A$1:$AG$1</definedName>
    <definedName name="_xlnm._FilterDatabase" localSheetId="0" hidden="1">'Overall Analysis'!$A$1:$J$1013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73" i="1" l="1"/>
  <c r="E747" i="1"/>
  <c r="E903" i="1"/>
  <c r="E205" i="1"/>
  <c r="E203" i="1"/>
  <c r="E599" i="1"/>
  <c r="E436" i="1"/>
  <c r="E387" i="1"/>
  <c r="E383" i="1"/>
  <c r="E355" i="1"/>
  <c r="E301" i="1"/>
  <c r="E295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9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747" i="1"/>
  <c r="G748" i="1"/>
  <c r="G749" i="1"/>
  <c r="G750" i="1"/>
  <c r="G751" i="1"/>
  <c r="G161" i="1"/>
  <c r="G162" i="1"/>
  <c r="G163" i="1"/>
  <c r="G224" i="1"/>
  <c r="G225" i="1"/>
  <c r="G122" i="1"/>
  <c r="G123" i="1"/>
  <c r="G124" i="1"/>
  <c r="G125" i="1"/>
  <c r="G126" i="1"/>
  <c r="G127" i="1"/>
  <c r="G128" i="1"/>
  <c r="G129" i="1"/>
  <c r="G130" i="1"/>
  <c r="G464" i="1"/>
  <c r="G465" i="1"/>
  <c r="G466" i="1"/>
  <c r="G467" i="1"/>
  <c r="G468" i="1"/>
  <c r="G469" i="1"/>
  <c r="G471" i="1"/>
  <c r="G472" i="1"/>
  <c r="G473" i="1"/>
  <c r="G474" i="1"/>
  <c r="G475" i="1"/>
  <c r="G476" i="1"/>
  <c r="G477" i="1"/>
  <c r="G479" i="1"/>
  <c r="G480" i="1"/>
  <c r="G481" i="1"/>
  <c r="G482" i="1"/>
  <c r="G483" i="1"/>
  <c r="G484" i="1"/>
  <c r="G485" i="1"/>
  <c r="G486" i="1"/>
  <c r="G487" i="1"/>
  <c r="G488" i="1"/>
  <c r="G489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872" i="1"/>
  <c r="G873" i="1"/>
  <c r="G874" i="1"/>
  <c r="G875" i="1"/>
  <c r="G876" i="1"/>
  <c r="G877" i="1"/>
  <c r="G878" i="1"/>
  <c r="G879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F157" i="1"/>
  <c r="F158" i="1"/>
  <c r="F159" i="1"/>
  <c r="F160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747" i="1"/>
  <c r="F748" i="1"/>
  <c r="F749" i="1"/>
  <c r="F750" i="1"/>
  <c r="F751" i="1"/>
  <c r="F161" i="1"/>
  <c r="F162" i="1"/>
  <c r="F163" i="1"/>
  <c r="F224" i="1"/>
  <c r="F225" i="1"/>
  <c r="F122" i="1"/>
  <c r="F123" i="1"/>
  <c r="F124" i="1"/>
  <c r="F125" i="1"/>
  <c r="F126" i="1"/>
  <c r="F127" i="1"/>
  <c r="F128" i="1"/>
  <c r="F129" i="1"/>
  <c r="F130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668" i="1"/>
  <c r="F669" i="1"/>
  <c r="F670" i="1"/>
  <c r="F671" i="1"/>
  <c r="F672" i="1"/>
  <c r="F673" i="1"/>
  <c r="F674" i="1"/>
  <c r="F675" i="1"/>
  <c r="F676" i="1"/>
  <c r="F677" i="1"/>
  <c r="F679" i="1"/>
  <c r="F680" i="1"/>
  <c r="F681" i="1"/>
  <c r="F682" i="1"/>
  <c r="F683" i="1"/>
  <c r="F684" i="1"/>
  <c r="F685" i="1"/>
  <c r="F872" i="1"/>
  <c r="F873" i="1"/>
  <c r="F874" i="1"/>
  <c r="F875" i="1"/>
  <c r="F876" i="1"/>
  <c r="F877" i="1"/>
  <c r="F878" i="1"/>
  <c r="F879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E157" i="1"/>
  <c r="J157" i="1" s="1"/>
  <c r="I157" i="1" s="1"/>
  <c r="E158" i="1"/>
  <c r="E159" i="1"/>
  <c r="E160" i="1"/>
  <c r="E2" i="1"/>
  <c r="J2" i="1" s="1"/>
  <c r="E3" i="1"/>
  <c r="E4" i="1"/>
  <c r="E5" i="1"/>
  <c r="E6" i="1"/>
  <c r="J6" i="1" s="1"/>
  <c r="E7" i="1"/>
  <c r="E8" i="1"/>
  <c r="E9" i="1"/>
  <c r="E10" i="1"/>
  <c r="J10" i="1" s="1"/>
  <c r="E11" i="1"/>
  <c r="E12" i="1"/>
  <c r="E13" i="1"/>
  <c r="E14" i="1"/>
  <c r="J14" i="1" s="1"/>
  <c r="E15" i="1"/>
  <c r="E16" i="1"/>
  <c r="E17" i="1"/>
  <c r="E18" i="1"/>
  <c r="J18" i="1" s="1"/>
  <c r="E19" i="1"/>
  <c r="E20" i="1"/>
  <c r="E21" i="1"/>
  <c r="E22" i="1"/>
  <c r="J22" i="1" s="1"/>
  <c r="E23" i="1"/>
  <c r="E24" i="1"/>
  <c r="E25" i="1"/>
  <c r="E26" i="1"/>
  <c r="J26" i="1" s="1"/>
  <c r="E27" i="1"/>
  <c r="E28" i="1"/>
  <c r="E29" i="1"/>
  <c r="E30" i="1"/>
  <c r="J30" i="1" s="1"/>
  <c r="E31" i="1"/>
  <c r="E32" i="1"/>
  <c r="E33" i="1"/>
  <c r="E34" i="1"/>
  <c r="J34" i="1" s="1"/>
  <c r="E35" i="1"/>
  <c r="E36" i="1"/>
  <c r="E37" i="1"/>
  <c r="E38" i="1"/>
  <c r="J38" i="1" s="1"/>
  <c r="E39" i="1"/>
  <c r="E40" i="1"/>
  <c r="E41" i="1"/>
  <c r="E42" i="1"/>
  <c r="J42" i="1" s="1"/>
  <c r="E43" i="1"/>
  <c r="E44" i="1"/>
  <c r="E45" i="1"/>
  <c r="E46" i="1"/>
  <c r="J46" i="1" s="1"/>
  <c r="E47" i="1"/>
  <c r="E48" i="1"/>
  <c r="E49" i="1"/>
  <c r="E50" i="1"/>
  <c r="J50" i="1" s="1"/>
  <c r="E51" i="1"/>
  <c r="E52" i="1"/>
  <c r="E53" i="1"/>
  <c r="E54" i="1"/>
  <c r="J54" i="1" s="1"/>
  <c r="E55" i="1"/>
  <c r="E56" i="1"/>
  <c r="E57" i="1"/>
  <c r="E58" i="1"/>
  <c r="J58" i="1" s="1"/>
  <c r="E59" i="1"/>
  <c r="E60" i="1"/>
  <c r="E61" i="1"/>
  <c r="E62" i="1"/>
  <c r="J62" i="1" s="1"/>
  <c r="E63" i="1"/>
  <c r="E64" i="1"/>
  <c r="E65" i="1"/>
  <c r="E66" i="1"/>
  <c r="J66" i="1" s="1"/>
  <c r="E67" i="1"/>
  <c r="E68" i="1"/>
  <c r="E69" i="1"/>
  <c r="E70" i="1"/>
  <c r="J70" i="1" s="1"/>
  <c r="E71" i="1"/>
  <c r="E72" i="1"/>
  <c r="E73" i="1"/>
  <c r="E74" i="1"/>
  <c r="J74" i="1" s="1"/>
  <c r="E75" i="1"/>
  <c r="E76" i="1"/>
  <c r="E77" i="1"/>
  <c r="E78" i="1"/>
  <c r="J78" i="1" s="1"/>
  <c r="E79" i="1"/>
  <c r="E80" i="1"/>
  <c r="E81" i="1"/>
  <c r="E82" i="1"/>
  <c r="J82" i="1" s="1"/>
  <c r="E83" i="1"/>
  <c r="E84" i="1"/>
  <c r="E85" i="1"/>
  <c r="E86" i="1"/>
  <c r="J86" i="1" s="1"/>
  <c r="E87" i="1"/>
  <c r="E88" i="1"/>
  <c r="E89" i="1"/>
  <c r="E90" i="1"/>
  <c r="J90" i="1" s="1"/>
  <c r="E91" i="1"/>
  <c r="E92" i="1"/>
  <c r="E93" i="1"/>
  <c r="E94" i="1"/>
  <c r="J94" i="1" s="1"/>
  <c r="E95" i="1"/>
  <c r="E96" i="1"/>
  <c r="E97" i="1"/>
  <c r="E98" i="1"/>
  <c r="J98" i="1" s="1"/>
  <c r="E99" i="1"/>
  <c r="E100" i="1"/>
  <c r="E101" i="1"/>
  <c r="E102" i="1"/>
  <c r="J102" i="1" s="1"/>
  <c r="E103" i="1"/>
  <c r="E104" i="1"/>
  <c r="E105" i="1"/>
  <c r="E106" i="1"/>
  <c r="J106" i="1" s="1"/>
  <c r="E107" i="1"/>
  <c r="E108" i="1"/>
  <c r="E109" i="1"/>
  <c r="E110" i="1"/>
  <c r="J110" i="1" s="1"/>
  <c r="E111" i="1"/>
  <c r="E112" i="1"/>
  <c r="E113" i="1"/>
  <c r="E114" i="1"/>
  <c r="J114" i="1" s="1"/>
  <c r="E115" i="1"/>
  <c r="E116" i="1"/>
  <c r="E117" i="1"/>
  <c r="E118" i="1"/>
  <c r="J118" i="1" s="1"/>
  <c r="E119" i="1"/>
  <c r="E120" i="1"/>
  <c r="E121" i="1"/>
  <c r="E880" i="1"/>
  <c r="J880" i="1" s="1"/>
  <c r="I880" i="1" s="1"/>
  <c r="E881" i="1"/>
  <c r="E882" i="1"/>
  <c r="E883" i="1"/>
  <c r="E884" i="1"/>
  <c r="J884" i="1" s="1"/>
  <c r="I884" i="1" s="1"/>
  <c r="E885" i="1"/>
  <c r="E886" i="1"/>
  <c r="E887" i="1"/>
  <c r="E888" i="1"/>
  <c r="J888" i="1" s="1"/>
  <c r="I888" i="1" s="1"/>
  <c r="E889" i="1"/>
  <c r="E890" i="1"/>
  <c r="E891" i="1"/>
  <c r="E892" i="1"/>
  <c r="J892" i="1" s="1"/>
  <c r="I892" i="1" s="1"/>
  <c r="E893" i="1"/>
  <c r="E894" i="1"/>
  <c r="E895" i="1"/>
  <c r="E896" i="1"/>
  <c r="J896" i="1" s="1"/>
  <c r="I896" i="1" s="1"/>
  <c r="E897" i="1"/>
  <c r="E898" i="1"/>
  <c r="E899" i="1"/>
  <c r="E900" i="1"/>
  <c r="J900" i="1" s="1"/>
  <c r="I900" i="1" s="1"/>
  <c r="E901" i="1"/>
  <c r="E902" i="1"/>
  <c r="E904" i="1"/>
  <c r="J904" i="1" s="1"/>
  <c r="I904" i="1" s="1"/>
  <c r="E905" i="1"/>
  <c r="E906" i="1"/>
  <c r="E907" i="1"/>
  <c r="E908" i="1"/>
  <c r="J908" i="1" s="1"/>
  <c r="I908" i="1" s="1"/>
  <c r="E909" i="1"/>
  <c r="E910" i="1"/>
  <c r="E911" i="1"/>
  <c r="E912" i="1"/>
  <c r="J912" i="1" s="1"/>
  <c r="I912" i="1" s="1"/>
  <c r="E913" i="1"/>
  <c r="E914" i="1"/>
  <c r="E915" i="1"/>
  <c r="E916" i="1"/>
  <c r="J916" i="1" s="1"/>
  <c r="I916" i="1" s="1"/>
  <c r="E917" i="1"/>
  <c r="E918" i="1"/>
  <c r="E919" i="1"/>
  <c r="E920" i="1"/>
  <c r="J920" i="1" s="1"/>
  <c r="I920" i="1" s="1"/>
  <c r="E921" i="1"/>
  <c r="E922" i="1"/>
  <c r="E923" i="1"/>
  <c r="E924" i="1"/>
  <c r="J924" i="1" s="1"/>
  <c r="E925" i="1"/>
  <c r="E926" i="1"/>
  <c r="E927" i="1"/>
  <c r="E928" i="1"/>
  <c r="J928" i="1" s="1"/>
  <c r="I928" i="1" s="1"/>
  <c r="E929" i="1"/>
  <c r="E930" i="1"/>
  <c r="E931" i="1"/>
  <c r="E932" i="1"/>
  <c r="J932" i="1" s="1"/>
  <c r="I932" i="1" s="1"/>
  <c r="E933" i="1"/>
  <c r="E934" i="1"/>
  <c r="E935" i="1"/>
  <c r="E936" i="1"/>
  <c r="J936" i="1" s="1"/>
  <c r="I936" i="1" s="1"/>
  <c r="E937" i="1"/>
  <c r="E938" i="1"/>
  <c r="E939" i="1"/>
  <c r="E940" i="1"/>
  <c r="J940" i="1" s="1"/>
  <c r="I940" i="1" s="1"/>
  <c r="E941" i="1"/>
  <c r="E942" i="1"/>
  <c r="E943" i="1"/>
  <c r="E944" i="1"/>
  <c r="J944" i="1" s="1"/>
  <c r="I944" i="1" s="1"/>
  <c r="E945" i="1"/>
  <c r="E946" i="1"/>
  <c r="E947" i="1"/>
  <c r="E948" i="1"/>
  <c r="J948" i="1" s="1"/>
  <c r="I948" i="1" s="1"/>
  <c r="E949" i="1"/>
  <c r="E950" i="1"/>
  <c r="E951" i="1"/>
  <c r="E952" i="1"/>
  <c r="J952" i="1" s="1"/>
  <c r="I952" i="1" s="1"/>
  <c r="E953" i="1"/>
  <c r="E954" i="1"/>
  <c r="E955" i="1"/>
  <c r="E956" i="1"/>
  <c r="J956" i="1" s="1"/>
  <c r="I956" i="1" s="1"/>
  <c r="E957" i="1"/>
  <c r="E958" i="1"/>
  <c r="E959" i="1"/>
  <c r="E960" i="1"/>
  <c r="J960" i="1" s="1"/>
  <c r="I960" i="1" s="1"/>
  <c r="E961" i="1"/>
  <c r="E962" i="1"/>
  <c r="E963" i="1"/>
  <c r="E964" i="1"/>
  <c r="J964" i="1" s="1"/>
  <c r="I964" i="1" s="1"/>
  <c r="E965" i="1"/>
  <c r="E966" i="1"/>
  <c r="E967" i="1"/>
  <c r="E968" i="1"/>
  <c r="J968" i="1" s="1"/>
  <c r="I968" i="1" s="1"/>
  <c r="E969" i="1"/>
  <c r="E970" i="1"/>
  <c r="E971" i="1"/>
  <c r="E972" i="1"/>
  <c r="J972" i="1" s="1"/>
  <c r="I972" i="1" s="1"/>
  <c r="E973" i="1"/>
  <c r="E974" i="1"/>
  <c r="E975" i="1"/>
  <c r="E976" i="1"/>
  <c r="J976" i="1" s="1"/>
  <c r="I976" i="1" s="1"/>
  <c r="E977" i="1"/>
  <c r="E978" i="1"/>
  <c r="E979" i="1"/>
  <c r="E980" i="1"/>
  <c r="J980" i="1" s="1"/>
  <c r="I980" i="1" s="1"/>
  <c r="E981" i="1"/>
  <c r="E982" i="1"/>
  <c r="E983" i="1"/>
  <c r="E984" i="1"/>
  <c r="J984" i="1" s="1"/>
  <c r="I984" i="1" s="1"/>
  <c r="E985" i="1"/>
  <c r="E986" i="1"/>
  <c r="E987" i="1"/>
  <c r="E988" i="1"/>
  <c r="J988" i="1" s="1"/>
  <c r="I988" i="1" s="1"/>
  <c r="E748" i="1"/>
  <c r="E749" i="1"/>
  <c r="E750" i="1"/>
  <c r="J750" i="1" s="1"/>
  <c r="I750" i="1" s="1"/>
  <c r="E751" i="1"/>
  <c r="E161" i="1"/>
  <c r="E162" i="1"/>
  <c r="E163" i="1"/>
  <c r="J163" i="1" s="1"/>
  <c r="I163" i="1" s="1"/>
  <c r="E224" i="1"/>
  <c r="E225" i="1"/>
  <c r="E122" i="1"/>
  <c r="E123" i="1"/>
  <c r="J123" i="1" s="1"/>
  <c r="E124" i="1"/>
  <c r="E125" i="1"/>
  <c r="E126" i="1"/>
  <c r="E127" i="1"/>
  <c r="J127" i="1" s="1"/>
  <c r="E128" i="1"/>
  <c r="E129" i="1"/>
  <c r="E130" i="1"/>
  <c r="E464" i="1"/>
  <c r="J464" i="1" s="1"/>
  <c r="I464" i="1" s="1"/>
  <c r="E465" i="1"/>
  <c r="E466" i="1"/>
  <c r="E467" i="1"/>
  <c r="E468" i="1"/>
  <c r="J468" i="1" s="1"/>
  <c r="I468" i="1" s="1"/>
  <c r="E469" i="1"/>
  <c r="E470" i="1"/>
  <c r="E471" i="1"/>
  <c r="E472" i="1"/>
  <c r="J472" i="1" s="1"/>
  <c r="I472" i="1" s="1"/>
  <c r="E473" i="1"/>
  <c r="E474" i="1"/>
  <c r="E475" i="1"/>
  <c r="E476" i="1"/>
  <c r="J476" i="1" s="1"/>
  <c r="I476" i="1" s="1"/>
  <c r="E477" i="1"/>
  <c r="E478" i="1"/>
  <c r="E479" i="1"/>
  <c r="E480" i="1"/>
  <c r="J480" i="1" s="1"/>
  <c r="E481" i="1"/>
  <c r="E482" i="1"/>
  <c r="E483" i="1"/>
  <c r="E484" i="1"/>
  <c r="J484" i="1" s="1"/>
  <c r="I484" i="1" s="1"/>
  <c r="E485" i="1"/>
  <c r="E486" i="1"/>
  <c r="E487" i="1"/>
  <c r="E488" i="1"/>
  <c r="J488" i="1" s="1"/>
  <c r="I488" i="1" s="1"/>
  <c r="E489" i="1"/>
  <c r="E668" i="1"/>
  <c r="E669" i="1"/>
  <c r="E670" i="1"/>
  <c r="J670" i="1" s="1"/>
  <c r="E671" i="1"/>
  <c r="E672" i="1"/>
  <c r="E673" i="1"/>
  <c r="E674" i="1"/>
  <c r="J674" i="1" s="1"/>
  <c r="E675" i="1"/>
  <c r="E676" i="1"/>
  <c r="E677" i="1"/>
  <c r="E678" i="1"/>
  <c r="J678" i="1" s="1"/>
  <c r="I678" i="1" s="1"/>
  <c r="E679" i="1"/>
  <c r="E680" i="1"/>
  <c r="E681" i="1"/>
  <c r="E682" i="1"/>
  <c r="J682" i="1" s="1"/>
  <c r="I682" i="1" s="1"/>
  <c r="E683" i="1"/>
  <c r="E684" i="1"/>
  <c r="E685" i="1"/>
  <c r="E686" i="1"/>
  <c r="J686" i="1" s="1"/>
  <c r="E872" i="1"/>
  <c r="E874" i="1"/>
  <c r="J874" i="1" s="1"/>
  <c r="I874" i="1" s="1"/>
  <c r="E875" i="1"/>
  <c r="J875" i="1" s="1"/>
  <c r="E876" i="1"/>
  <c r="E877" i="1"/>
  <c r="E878" i="1"/>
  <c r="J878" i="1" s="1"/>
  <c r="I878" i="1" s="1"/>
  <c r="E879" i="1"/>
  <c r="J879" i="1" s="1"/>
  <c r="I879" i="1" s="1"/>
  <c r="E989" i="1"/>
  <c r="E990" i="1"/>
  <c r="E991" i="1"/>
  <c r="J991" i="1" s="1"/>
  <c r="I991" i="1" s="1"/>
  <c r="E992" i="1"/>
  <c r="J992" i="1" s="1"/>
  <c r="I992" i="1" s="1"/>
  <c r="E993" i="1"/>
  <c r="E994" i="1"/>
  <c r="E995" i="1"/>
  <c r="J995" i="1" s="1"/>
  <c r="I995" i="1" s="1"/>
  <c r="E996" i="1"/>
  <c r="J996" i="1" s="1"/>
  <c r="I996" i="1" s="1"/>
  <c r="E997" i="1"/>
  <c r="E998" i="1"/>
  <c r="E999" i="1"/>
  <c r="J999" i="1" s="1"/>
  <c r="I999" i="1" s="1"/>
  <c r="E1000" i="1"/>
  <c r="J1000" i="1" s="1"/>
  <c r="I1000" i="1" s="1"/>
  <c r="E1001" i="1"/>
  <c r="E1002" i="1"/>
  <c r="E1003" i="1"/>
  <c r="J1003" i="1" s="1"/>
  <c r="I1003" i="1" s="1"/>
  <c r="E1004" i="1"/>
  <c r="J1004" i="1" s="1"/>
  <c r="I1004" i="1" s="1"/>
  <c r="E1005" i="1"/>
  <c r="E1006" i="1"/>
  <c r="E1007" i="1"/>
  <c r="J1007" i="1" s="1"/>
  <c r="I1007" i="1" s="1"/>
  <c r="E1008" i="1"/>
  <c r="J1008" i="1" s="1"/>
  <c r="I1008" i="1" s="1"/>
  <c r="E1009" i="1"/>
  <c r="E1010" i="1"/>
  <c r="E1011" i="1"/>
  <c r="J1011" i="1" s="1"/>
  <c r="I1011" i="1" s="1"/>
  <c r="E1012" i="1"/>
  <c r="J1012" i="1" s="1"/>
  <c r="I1012" i="1" s="1"/>
  <c r="E1013" i="1"/>
  <c r="H1008" i="1" l="1"/>
  <c r="H1000" i="1"/>
  <c r="H992" i="1"/>
  <c r="H875" i="1"/>
  <c r="I875" i="1" s="1"/>
  <c r="H678" i="1"/>
  <c r="H484" i="1"/>
  <c r="H468" i="1"/>
  <c r="H163" i="1"/>
  <c r="H980" i="1"/>
  <c r="H964" i="1"/>
  <c r="H948" i="1"/>
  <c r="H932" i="1"/>
  <c r="H916" i="1"/>
  <c r="H900" i="1"/>
  <c r="H884" i="1"/>
  <c r="H110" i="1"/>
  <c r="I110" i="1" s="1"/>
  <c r="H94" i="1"/>
  <c r="I94" i="1" s="1"/>
  <c r="H78" i="1"/>
  <c r="I78" i="1" s="1"/>
  <c r="H62" i="1"/>
  <c r="I62" i="1" s="1"/>
  <c r="H46" i="1"/>
  <c r="I46" i="1" s="1"/>
  <c r="H30" i="1"/>
  <c r="I30" i="1" s="1"/>
  <c r="H14" i="1"/>
  <c r="I14" i="1" s="1"/>
  <c r="H157" i="1"/>
  <c r="J685" i="1"/>
  <c r="I685" i="1" s="1"/>
  <c r="H685" i="1"/>
  <c r="J681" i="1"/>
  <c r="I681" i="1" s="1"/>
  <c r="H681" i="1"/>
  <c r="J677" i="1"/>
  <c r="I677" i="1" s="1"/>
  <c r="H677" i="1"/>
  <c r="J673" i="1"/>
  <c r="H673" i="1"/>
  <c r="J669" i="1"/>
  <c r="I669" i="1" s="1"/>
  <c r="H669" i="1"/>
  <c r="J487" i="1"/>
  <c r="I487" i="1" s="1"/>
  <c r="H487" i="1"/>
  <c r="J483" i="1"/>
  <c r="I483" i="1" s="1"/>
  <c r="H483" i="1"/>
  <c r="J479" i="1"/>
  <c r="I479" i="1" s="1"/>
  <c r="H479" i="1"/>
  <c r="J475" i="1"/>
  <c r="I475" i="1" s="1"/>
  <c r="H475" i="1"/>
  <c r="J471" i="1"/>
  <c r="I471" i="1" s="1"/>
  <c r="H471" i="1"/>
  <c r="J467" i="1"/>
  <c r="I467" i="1" s="1"/>
  <c r="H467" i="1"/>
  <c r="J130" i="1"/>
  <c r="H130" i="1"/>
  <c r="J126" i="1"/>
  <c r="I126" i="1" s="1"/>
  <c r="H126" i="1"/>
  <c r="J122" i="1"/>
  <c r="H122" i="1"/>
  <c r="J162" i="1"/>
  <c r="I162" i="1" s="1"/>
  <c r="H162" i="1"/>
  <c r="J749" i="1"/>
  <c r="I749" i="1" s="1"/>
  <c r="H749" i="1"/>
  <c r="J987" i="1"/>
  <c r="I987" i="1" s="1"/>
  <c r="H987" i="1"/>
  <c r="J983" i="1"/>
  <c r="I983" i="1" s="1"/>
  <c r="H983" i="1"/>
  <c r="J979" i="1"/>
  <c r="I979" i="1" s="1"/>
  <c r="H979" i="1"/>
  <c r="J975" i="1"/>
  <c r="I975" i="1" s="1"/>
  <c r="H975" i="1"/>
  <c r="J971" i="1"/>
  <c r="I971" i="1" s="1"/>
  <c r="H971" i="1"/>
  <c r="J967" i="1"/>
  <c r="I967" i="1" s="1"/>
  <c r="H967" i="1"/>
  <c r="J963" i="1"/>
  <c r="I963" i="1" s="1"/>
  <c r="H963" i="1"/>
  <c r="J959" i="1"/>
  <c r="I959" i="1" s="1"/>
  <c r="H959" i="1"/>
  <c r="J955" i="1"/>
  <c r="I955" i="1" s="1"/>
  <c r="H955" i="1"/>
  <c r="J951" i="1"/>
  <c r="I951" i="1" s="1"/>
  <c r="H951" i="1"/>
  <c r="J947" i="1"/>
  <c r="I947" i="1" s="1"/>
  <c r="H947" i="1"/>
  <c r="J943" i="1"/>
  <c r="I943" i="1" s="1"/>
  <c r="H943" i="1"/>
  <c r="J939" i="1"/>
  <c r="I939" i="1" s="1"/>
  <c r="H939" i="1"/>
  <c r="J935" i="1"/>
  <c r="I935" i="1" s="1"/>
  <c r="H935" i="1"/>
  <c r="J931" i="1"/>
  <c r="I931" i="1" s="1"/>
  <c r="H931" i="1"/>
  <c r="J927" i="1"/>
  <c r="I927" i="1" s="1"/>
  <c r="H927" i="1"/>
  <c r="J923" i="1"/>
  <c r="I923" i="1" s="1"/>
  <c r="H923" i="1"/>
  <c r="J919" i="1"/>
  <c r="I919" i="1" s="1"/>
  <c r="H919" i="1"/>
  <c r="J915" i="1"/>
  <c r="I915" i="1" s="1"/>
  <c r="H915" i="1"/>
  <c r="J911" i="1"/>
  <c r="H911" i="1"/>
  <c r="J907" i="1"/>
  <c r="I907" i="1" s="1"/>
  <c r="H907" i="1"/>
  <c r="J903" i="1"/>
  <c r="I903" i="1" s="1"/>
  <c r="H903" i="1"/>
  <c r="J899" i="1"/>
  <c r="I899" i="1" s="1"/>
  <c r="H899" i="1"/>
  <c r="J895" i="1"/>
  <c r="I895" i="1" s="1"/>
  <c r="H895" i="1"/>
  <c r="J891" i="1"/>
  <c r="I891" i="1" s="1"/>
  <c r="H891" i="1"/>
  <c r="J887" i="1"/>
  <c r="I887" i="1" s="1"/>
  <c r="H887" i="1"/>
  <c r="J883" i="1"/>
  <c r="I883" i="1" s="1"/>
  <c r="H883" i="1"/>
  <c r="J121" i="1"/>
  <c r="H121" i="1"/>
  <c r="J117" i="1"/>
  <c r="I117" i="1" s="1"/>
  <c r="H117" i="1"/>
  <c r="J113" i="1"/>
  <c r="H113" i="1"/>
  <c r="J109" i="1"/>
  <c r="I109" i="1" s="1"/>
  <c r="H109" i="1"/>
  <c r="J105" i="1"/>
  <c r="H105" i="1"/>
  <c r="J101" i="1"/>
  <c r="I101" i="1" s="1"/>
  <c r="H101" i="1"/>
  <c r="J97" i="1"/>
  <c r="H97" i="1"/>
  <c r="J93" i="1"/>
  <c r="I93" i="1" s="1"/>
  <c r="H93" i="1"/>
  <c r="J89" i="1"/>
  <c r="H89" i="1"/>
  <c r="J85" i="1"/>
  <c r="I85" i="1" s="1"/>
  <c r="H85" i="1"/>
  <c r="J81" i="1"/>
  <c r="H81" i="1"/>
  <c r="J77" i="1"/>
  <c r="I77" i="1" s="1"/>
  <c r="H77" i="1"/>
  <c r="J73" i="1"/>
  <c r="H73" i="1"/>
  <c r="J69" i="1"/>
  <c r="I69" i="1" s="1"/>
  <c r="H69" i="1"/>
  <c r="J65" i="1"/>
  <c r="H65" i="1"/>
  <c r="J61" i="1"/>
  <c r="I61" i="1" s="1"/>
  <c r="H61" i="1"/>
  <c r="J57" i="1"/>
  <c r="H57" i="1"/>
  <c r="J53" i="1"/>
  <c r="I53" i="1" s="1"/>
  <c r="H53" i="1"/>
  <c r="J49" i="1"/>
  <c r="H49" i="1"/>
  <c r="J45" i="1"/>
  <c r="I45" i="1" s="1"/>
  <c r="H45" i="1"/>
  <c r="J41" i="1"/>
  <c r="H41" i="1"/>
  <c r="J37" i="1"/>
  <c r="I37" i="1" s="1"/>
  <c r="H37" i="1"/>
  <c r="J33" i="1"/>
  <c r="H33" i="1"/>
  <c r="J29" i="1"/>
  <c r="I29" i="1" s="1"/>
  <c r="H29" i="1"/>
  <c r="J25" i="1"/>
  <c r="H25" i="1"/>
  <c r="J21" i="1"/>
  <c r="I21" i="1" s="1"/>
  <c r="H21" i="1"/>
  <c r="J17" i="1"/>
  <c r="H17" i="1"/>
  <c r="J13" i="1"/>
  <c r="I13" i="1" s="1"/>
  <c r="H13" i="1"/>
  <c r="J9" i="1"/>
  <c r="H9" i="1"/>
  <c r="J5" i="1"/>
  <c r="I5" i="1" s="1"/>
  <c r="H5" i="1"/>
  <c r="J160" i="1"/>
  <c r="I160" i="1" s="1"/>
  <c r="H160" i="1"/>
  <c r="H1007" i="1"/>
  <c r="H999" i="1"/>
  <c r="H991" i="1"/>
  <c r="H874" i="1"/>
  <c r="H674" i="1"/>
  <c r="I674" i="1" s="1"/>
  <c r="H480" i="1"/>
  <c r="I480" i="1" s="1"/>
  <c r="H464" i="1"/>
  <c r="H750" i="1"/>
  <c r="H976" i="1"/>
  <c r="H960" i="1"/>
  <c r="H944" i="1"/>
  <c r="H928" i="1"/>
  <c r="H912" i="1"/>
  <c r="H896" i="1"/>
  <c r="H880" i="1"/>
  <c r="H106" i="1"/>
  <c r="I106" i="1" s="1"/>
  <c r="H90" i="1"/>
  <c r="I90" i="1" s="1"/>
  <c r="H74" i="1"/>
  <c r="I74" i="1" s="1"/>
  <c r="H58" i="1"/>
  <c r="I58" i="1" s="1"/>
  <c r="H42" i="1"/>
  <c r="I42" i="1" s="1"/>
  <c r="H26" i="1"/>
  <c r="I26" i="1" s="1"/>
  <c r="H10" i="1"/>
  <c r="I10" i="1" s="1"/>
  <c r="J1013" i="1"/>
  <c r="I1013" i="1" s="1"/>
  <c r="H1013" i="1"/>
  <c r="J1010" i="1"/>
  <c r="I1010" i="1" s="1"/>
  <c r="H1010" i="1"/>
  <c r="J1006" i="1"/>
  <c r="I1006" i="1" s="1"/>
  <c r="H1006" i="1"/>
  <c r="J1002" i="1"/>
  <c r="I1002" i="1" s="1"/>
  <c r="H1002" i="1"/>
  <c r="J998" i="1"/>
  <c r="I998" i="1" s="1"/>
  <c r="H998" i="1"/>
  <c r="J994" i="1"/>
  <c r="I994" i="1" s="1"/>
  <c r="H994" i="1"/>
  <c r="J990" i="1"/>
  <c r="I990" i="1" s="1"/>
  <c r="H990" i="1"/>
  <c r="J877" i="1"/>
  <c r="I877" i="1" s="1"/>
  <c r="H877" i="1"/>
  <c r="J873" i="1"/>
  <c r="I873" i="1" s="1"/>
  <c r="H873" i="1"/>
  <c r="J684" i="1"/>
  <c r="I684" i="1" s="1"/>
  <c r="H684" i="1"/>
  <c r="J680" i="1"/>
  <c r="I680" i="1" s="1"/>
  <c r="H680" i="1"/>
  <c r="J676" i="1"/>
  <c r="I676" i="1" s="1"/>
  <c r="H676" i="1"/>
  <c r="J672" i="1"/>
  <c r="H672" i="1"/>
  <c r="J668" i="1"/>
  <c r="I668" i="1" s="1"/>
  <c r="H668" i="1"/>
  <c r="J486" i="1"/>
  <c r="H486" i="1"/>
  <c r="J482" i="1"/>
  <c r="I482" i="1" s="1"/>
  <c r="H482" i="1"/>
  <c r="J478" i="1"/>
  <c r="I478" i="1" s="1"/>
  <c r="H478" i="1"/>
  <c r="J474" i="1"/>
  <c r="I474" i="1" s="1"/>
  <c r="H474" i="1"/>
  <c r="J470" i="1"/>
  <c r="H470" i="1"/>
  <c r="J466" i="1"/>
  <c r="I466" i="1" s="1"/>
  <c r="H466" i="1"/>
  <c r="J129" i="1"/>
  <c r="H129" i="1"/>
  <c r="J125" i="1"/>
  <c r="I125" i="1" s="1"/>
  <c r="H125" i="1"/>
  <c r="J225" i="1"/>
  <c r="H225" i="1"/>
  <c r="J161" i="1"/>
  <c r="I161" i="1" s="1"/>
  <c r="H161" i="1"/>
  <c r="J748" i="1"/>
  <c r="I748" i="1" s="1"/>
  <c r="H748" i="1"/>
  <c r="J986" i="1"/>
  <c r="I986" i="1" s="1"/>
  <c r="H986" i="1"/>
  <c r="J982" i="1"/>
  <c r="I982" i="1" s="1"/>
  <c r="H982" i="1"/>
  <c r="J978" i="1"/>
  <c r="I978" i="1" s="1"/>
  <c r="H978" i="1"/>
  <c r="J974" i="1"/>
  <c r="I974" i="1" s="1"/>
  <c r="H974" i="1"/>
  <c r="J970" i="1"/>
  <c r="I970" i="1" s="1"/>
  <c r="H970" i="1"/>
  <c r="J966" i="1"/>
  <c r="I966" i="1" s="1"/>
  <c r="H966" i="1"/>
  <c r="J962" i="1"/>
  <c r="I962" i="1" s="1"/>
  <c r="H962" i="1"/>
  <c r="J958" i="1"/>
  <c r="I958" i="1" s="1"/>
  <c r="H958" i="1"/>
  <c r="J954" i="1"/>
  <c r="I954" i="1" s="1"/>
  <c r="H954" i="1"/>
  <c r="J950" i="1"/>
  <c r="I950" i="1" s="1"/>
  <c r="H950" i="1"/>
  <c r="J946" i="1"/>
  <c r="I946" i="1" s="1"/>
  <c r="H946" i="1"/>
  <c r="J942" i="1"/>
  <c r="I942" i="1" s="1"/>
  <c r="H942" i="1"/>
  <c r="J938" i="1"/>
  <c r="I938" i="1" s="1"/>
  <c r="H938" i="1"/>
  <c r="J934" i="1"/>
  <c r="H934" i="1"/>
  <c r="J930" i="1"/>
  <c r="I930" i="1" s="1"/>
  <c r="H930" i="1"/>
  <c r="J926" i="1"/>
  <c r="I926" i="1" s="1"/>
  <c r="H926" i="1"/>
  <c r="J922" i="1"/>
  <c r="I922" i="1" s="1"/>
  <c r="H922" i="1"/>
  <c r="J918" i="1"/>
  <c r="I918" i="1" s="1"/>
  <c r="H918" i="1"/>
  <c r="J914" i="1"/>
  <c r="I914" i="1" s="1"/>
  <c r="H914" i="1"/>
  <c r="J910" i="1"/>
  <c r="I910" i="1" s="1"/>
  <c r="H910" i="1"/>
  <c r="J906" i="1"/>
  <c r="I906" i="1" s="1"/>
  <c r="H906" i="1"/>
  <c r="J902" i="1"/>
  <c r="I902" i="1" s="1"/>
  <c r="H902" i="1"/>
  <c r="J898" i="1"/>
  <c r="I898" i="1" s="1"/>
  <c r="H898" i="1"/>
  <c r="J894" i="1"/>
  <c r="I894" i="1" s="1"/>
  <c r="H894" i="1"/>
  <c r="J890" i="1"/>
  <c r="I890" i="1" s="1"/>
  <c r="H890" i="1"/>
  <c r="J886" i="1"/>
  <c r="I886" i="1" s="1"/>
  <c r="H886" i="1"/>
  <c r="J882" i="1"/>
  <c r="I882" i="1" s="1"/>
  <c r="H882" i="1"/>
  <c r="J120" i="1"/>
  <c r="H120" i="1"/>
  <c r="J116" i="1"/>
  <c r="I116" i="1" s="1"/>
  <c r="H116" i="1"/>
  <c r="J112" i="1"/>
  <c r="H112" i="1"/>
  <c r="J108" i="1"/>
  <c r="I108" i="1" s="1"/>
  <c r="H108" i="1"/>
  <c r="J104" i="1"/>
  <c r="H104" i="1"/>
  <c r="J100" i="1"/>
  <c r="I100" i="1" s="1"/>
  <c r="H100" i="1"/>
  <c r="J96" i="1"/>
  <c r="H96" i="1"/>
  <c r="J92" i="1"/>
  <c r="I92" i="1" s="1"/>
  <c r="H92" i="1"/>
  <c r="J88" i="1"/>
  <c r="H88" i="1"/>
  <c r="J84" i="1"/>
  <c r="I84" i="1" s="1"/>
  <c r="H84" i="1"/>
  <c r="J80" i="1"/>
  <c r="H80" i="1"/>
  <c r="J76" i="1"/>
  <c r="I76" i="1" s="1"/>
  <c r="H76" i="1"/>
  <c r="J72" i="1"/>
  <c r="H72" i="1"/>
  <c r="J68" i="1"/>
  <c r="I68" i="1" s="1"/>
  <c r="H68" i="1"/>
  <c r="J64" i="1"/>
  <c r="H64" i="1"/>
  <c r="J60" i="1"/>
  <c r="I60" i="1" s="1"/>
  <c r="H60" i="1"/>
  <c r="J56" i="1"/>
  <c r="H56" i="1"/>
  <c r="J52" i="1"/>
  <c r="I52" i="1" s="1"/>
  <c r="H52" i="1"/>
  <c r="J48" i="1"/>
  <c r="H48" i="1"/>
  <c r="J44" i="1"/>
  <c r="I44" i="1" s="1"/>
  <c r="H44" i="1"/>
  <c r="J40" i="1"/>
  <c r="H40" i="1"/>
  <c r="J36" i="1"/>
  <c r="I36" i="1" s="1"/>
  <c r="H36" i="1"/>
  <c r="J32" i="1"/>
  <c r="H32" i="1"/>
  <c r="J28" i="1"/>
  <c r="I28" i="1" s="1"/>
  <c r="H28" i="1"/>
  <c r="J24" i="1"/>
  <c r="H24" i="1"/>
  <c r="J20" i="1"/>
  <c r="I20" i="1" s="1"/>
  <c r="H20" i="1"/>
  <c r="J16" i="1"/>
  <c r="H16" i="1"/>
  <c r="J12" i="1"/>
  <c r="I12" i="1" s="1"/>
  <c r="H12" i="1"/>
  <c r="J8" i="1"/>
  <c r="H8" i="1"/>
  <c r="J4" i="1"/>
  <c r="I4" i="1" s="1"/>
  <c r="H4" i="1"/>
  <c r="J159" i="1"/>
  <c r="I159" i="1" s="1"/>
  <c r="H159" i="1"/>
  <c r="H1012" i="1"/>
  <c r="H1004" i="1"/>
  <c r="H996" i="1"/>
  <c r="H879" i="1"/>
  <c r="H686" i="1"/>
  <c r="I686" i="1" s="1"/>
  <c r="H670" i="1"/>
  <c r="I670" i="1" s="1"/>
  <c r="H476" i="1"/>
  <c r="H127" i="1"/>
  <c r="I127" i="1" s="1"/>
  <c r="H988" i="1"/>
  <c r="H972" i="1"/>
  <c r="H956" i="1"/>
  <c r="H940" i="1"/>
  <c r="H924" i="1"/>
  <c r="I924" i="1" s="1"/>
  <c r="H908" i="1"/>
  <c r="H892" i="1"/>
  <c r="H118" i="1"/>
  <c r="I118" i="1" s="1"/>
  <c r="H102" i="1"/>
  <c r="I102" i="1" s="1"/>
  <c r="H86" i="1"/>
  <c r="I86" i="1" s="1"/>
  <c r="H70" i="1"/>
  <c r="I70" i="1" s="1"/>
  <c r="H54" i="1"/>
  <c r="I54" i="1" s="1"/>
  <c r="H38" i="1"/>
  <c r="I38" i="1" s="1"/>
  <c r="H22" i="1"/>
  <c r="I22" i="1" s="1"/>
  <c r="H6" i="1"/>
  <c r="I6" i="1" s="1"/>
  <c r="J1009" i="1"/>
  <c r="I1009" i="1" s="1"/>
  <c r="H1009" i="1"/>
  <c r="J1005" i="1"/>
  <c r="I1005" i="1" s="1"/>
  <c r="H1005" i="1"/>
  <c r="J1001" i="1"/>
  <c r="I1001" i="1" s="1"/>
  <c r="H1001" i="1"/>
  <c r="J997" i="1"/>
  <c r="I997" i="1" s="1"/>
  <c r="H997" i="1"/>
  <c r="J993" i="1"/>
  <c r="I993" i="1" s="1"/>
  <c r="H993" i="1"/>
  <c r="J989" i="1"/>
  <c r="I989" i="1" s="1"/>
  <c r="H989" i="1"/>
  <c r="J876" i="1"/>
  <c r="I876" i="1" s="1"/>
  <c r="H876" i="1"/>
  <c r="J872" i="1"/>
  <c r="I872" i="1" s="1"/>
  <c r="H872" i="1"/>
  <c r="J683" i="1"/>
  <c r="I683" i="1" s="1"/>
  <c r="H683" i="1"/>
  <c r="J679" i="1"/>
  <c r="I679" i="1" s="1"/>
  <c r="H679" i="1"/>
  <c r="J675" i="1"/>
  <c r="H675" i="1"/>
  <c r="J671" i="1"/>
  <c r="I671" i="1" s="1"/>
  <c r="H671" i="1"/>
  <c r="J489" i="1"/>
  <c r="H489" i="1"/>
  <c r="J485" i="1"/>
  <c r="I485" i="1" s="1"/>
  <c r="H485" i="1"/>
  <c r="J481" i="1"/>
  <c r="H481" i="1"/>
  <c r="J477" i="1"/>
  <c r="I477" i="1" s="1"/>
  <c r="H477" i="1"/>
  <c r="J473" i="1"/>
  <c r="I473" i="1" s="1"/>
  <c r="H473" i="1"/>
  <c r="J469" i="1"/>
  <c r="I469" i="1" s="1"/>
  <c r="H469" i="1"/>
  <c r="J465" i="1"/>
  <c r="H465" i="1"/>
  <c r="J128" i="1"/>
  <c r="H128" i="1"/>
  <c r="J124" i="1"/>
  <c r="H124" i="1"/>
  <c r="J224" i="1"/>
  <c r="H224" i="1"/>
  <c r="J751" i="1"/>
  <c r="I751" i="1" s="1"/>
  <c r="H751" i="1"/>
  <c r="J747" i="1"/>
  <c r="I747" i="1" s="1"/>
  <c r="H747" i="1"/>
  <c r="J985" i="1"/>
  <c r="I985" i="1" s="1"/>
  <c r="H985" i="1"/>
  <c r="J981" i="1"/>
  <c r="I981" i="1" s="1"/>
  <c r="H981" i="1"/>
  <c r="J977" i="1"/>
  <c r="I977" i="1" s="1"/>
  <c r="H977" i="1"/>
  <c r="J973" i="1"/>
  <c r="I973" i="1" s="1"/>
  <c r="H973" i="1"/>
  <c r="J969" i="1"/>
  <c r="I969" i="1" s="1"/>
  <c r="H969" i="1"/>
  <c r="J965" i="1"/>
  <c r="I965" i="1" s="1"/>
  <c r="H965" i="1"/>
  <c r="J961" i="1"/>
  <c r="I961" i="1" s="1"/>
  <c r="H961" i="1"/>
  <c r="J957" i="1"/>
  <c r="I957" i="1" s="1"/>
  <c r="H957" i="1"/>
  <c r="J953" i="1"/>
  <c r="I953" i="1" s="1"/>
  <c r="H953" i="1"/>
  <c r="J949" i="1"/>
  <c r="I949" i="1" s="1"/>
  <c r="H949" i="1"/>
  <c r="J945" i="1"/>
  <c r="I945" i="1" s="1"/>
  <c r="H945" i="1"/>
  <c r="J941" i="1"/>
  <c r="I941" i="1" s="1"/>
  <c r="H941" i="1"/>
  <c r="J937" i="1"/>
  <c r="I937" i="1" s="1"/>
  <c r="H937" i="1"/>
  <c r="J933" i="1"/>
  <c r="I933" i="1" s="1"/>
  <c r="H933" i="1"/>
  <c r="J929" i="1"/>
  <c r="I929" i="1" s="1"/>
  <c r="H929" i="1"/>
  <c r="J925" i="1"/>
  <c r="I925" i="1" s="1"/>
  <c r="H925" i="1"/>
  <c r="J921" i="1"/>
  <c r="I921" i="1" s="1"/>
  <c r="H921" i="1"/>
  <c r="J917" i="1"/>
  <c r="H917" i="1"/>
  <c r="J913" i="1"/>
  <c r="I913" i="1" s="1"/>
  <c r="H913" i="1"/>
  <c r="J909" i="1"/>
  <c r="H909" i="1"/>
  <c r="J905" i="1"/>
  <c r="I905" i="1" s="1"/>
  <c r="H905" i="1"/>
  <c r="J901" i="1"/>
  <c r="H901" i="1"/>
  <c r="J897" i="1"/>
  <c r="I897" i="1" s="1"/>
  <c r="H897" i="1"/>
  <c r="J893" i="1"/>
  <c r="I893" i="1" s="1"/>
  <c r="H893" i="1"/>
  <c r="J889" i="1"/>
  <c r="I889" i="1" s="1"/>
  <c r="H889" i="1"/>
  <c r="J885" i="1"/>
  <c r="I885" i="1" s="1"/>
  <c r="H885" i="1"/>
  <c r="J881" i="1"/>
  <c r="I881" i="1" s="1"/>
  <c r="H881" i="1"/>
  <c r="J119" i="1"/>
  <c r="H119" i="1"/>
  <c r="J115" i="1"/>
  <c r="H115" i="1"/>
  <c r="J111" i="1"/>
  <c r="H111" i="1"/>
  <c r="J107" i="1"/>
  <c r="H107" i="1"/>
  <c r="J103" i="1"/>
  <c r="H103" i="1"/>
  <c r="J99" i="1"/>
  <c r="H99" i="1"/>
  <c r="J95" i="1"/>
  <c r="H95" i="1"/>
  <c r="J91" i="1"/>
  <c r="H91" i="1"/>
  <c r="J87" i="1"/>
  <c r="H87" i="1"/>
  <c r="J83" i="1"/>
  <c r="H83" i="1"/>
  <c r="J79" i="1"/>
  <c r="H79" i="1"/>
  <c r="J75" i="1"/>
  <c r="H75" i="1"/>
  <c r="J71" i="1"/>
  <c r="H71" i="1"/>
  <c r="J67" i="1"/>
  <c r="H67" i="1"/>
  <c r="J63" i="1"/>
  <c r="H63" i="1"/>
  <c r="J59" i="1"/>
  <c r="H59" i="1"/>
  <c r="J55" i="1"/>
  <c r="H55" i="1"/>
  <c r="J51" i="1"/>
  <c r="H51" i="1"/>
  <c r="J47" i="1"/>
  <c r="H47" i="1"/>
  <c r="J43" i="1"/>
  <c r="H43" i="1"/>
  <c r="J39" i="1"/>
  <c r="H39" i="1"/>
  <c r="J35" i="1"/>
  <c r="H35" i="1"/>
  <c r="J31" i="1"/>
  <c r="H31" i="1"/>
  <c r="J27" i="1"/>
  <c r="H27" i="1"/>
  <c r="J23" i="1"/>
  <c r="H23" i="1"/>
  <c r="J19" i="1"/>
  <c r="H19" i="1"/>
  <c r="J15" i="1"/>
  <c r="H15" i="1"/>
  <c r="J11" i="1"/>
  <c r="H11" i="1"/>
  <c r="J7" i="1"/>
  <c r="H7" i="1"/>
  <c r="J3" i="1"/>
  <c r="H3" i="1"/>
  <c r="J158" i="1"/>
  <c r="I158" i="1" s="1"/>
  <c r="H158" i="1"/>
  <c r="H1011" i="1"/>
  <c r="H1003" i="1"/>
  <c r="H995" i="1"/>
  <c r="H878" i="1"/>
  <c r="H682" i="1"/>
  <c r="H488" i="1"/>
  <c r="H472" i="1"/>
  <c r="H123" i="1"/>
  <c r="I123" i="1" s="1"/>
  <c r="H984" i="1"/>
  <c r="H968" i="1"/>
  <c r="H952" i="1"/>
  <c r="H936" i="1"/>
  <c r="H920" i="1"/>
  <c r="H904" i="1"/>
  <c r="H888" i="1"/>
  <c r="H114" i="1"/>
  <c r="I114" i="1" s="1"/>
  <c r="H98" i="1"/>
  <c r="I98" i="1" s="1"/>
  <c r="H82" i="1"/>
  <c r="I82" i="1" s="1"/>
  <c r="H66" i="1"/>
  <c r="I66" i="1" s="1"/>
  <c r="H50" i="1"/>
  <c r="I50" i="1" s="1"/>
  <c r="H34" i="1"/>
  <c r="I34" i="1" s="1"/>
  <c r="H18" i="1"/>
  <c r="I18" i="1" s="1"/>
  <c r="H2" i="1"/>
  <c r="I2" i="1" s="1"/>
  <c r="G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8" i="1"/>
  <c r="F379" i="1"/>
  <c r="F380" i="1"/>
  <c r="F381" i="1"/>
  <c r="F382" i="1"/>
  <c r="F383" i="1"/>
  <c r="F384" i="1"/>
  <c r="F385" i="1"/>
  <c r="F386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1" i="1"/>
  <c r="F402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1" i="1"/>
  <c r="F462" i="1"/>
  <c r="F463" i="1"/>
  <c r="F491" i="1"/>
  <c r="F492" i="1"/>
  <c r="F493" i="1"/>
  <c r="F494" i="1"/>
  <c r="F495" i="1"/>
  <c r="F496" i="1"/>
  <c r="F498" i="1"/>
  <c r="F499" i="1"/>
  <c r="F500" i="1"/>
  <c r="F501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6" i="1"/>
  <c r="F557" i="1"/>
  <c r="F558" i="1"/>
  <c r="F559" i="1"/>
  <c r="F560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3" i="1"/>
  <c r="F664" i="1"/>
  <c r="F665" i="1"/>
  <c r="F666" i="1"/>
  <c r="F667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4" i="1"/>
  <c r="F855" i="1"/>
  <c r="F856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8" i="1"/>
  <c r="F209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5" i="1"/>
  <c r="F746" i="1"/>
  <c r="F131" i="1"/>
  <c r="F132" i="1"/>
  <c r="F133" i="1"/>
  <c r="F134" i="1"/>
  <c r="F135" i="1"/>
  <c r="F136" i="1"/>
  <c r="F137" i="1"/>
  <c r="F138" i="1"/>
  <c r="F139" i="1"/>
  <c r="F140" i="1"/>
  <c r="F141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226" i="1"/>
  <c r="E226" i="1"/>
  <c r="E227" i="1"/>
  <c r="J227" i="1" s="1"/>
  <c r="I227" i="1" s="1"/>
  <c r="E228" i="1"/>
  <c r="J228" i="1" s="1"/>
  <c r="E229" i="1"/>
  <c r="J229" i="1" s="1"/>
  <c r="E230" i="1"/>
  <c r="J230" i="1" s="1"/>
  <c r="E231" i="1"/>
  <c r="J231" i="1" s="1"/>
  <c r="I231" i="1" s="1"/>
  <c r="E232" i="1"/>
  <c r="J232" i="1" s="1"/>
  <c r="E233" i="1"/>
  <c r="J233" i="1" s="1"/>
  <c r="E234" i="1"/>
  <c r="J234" i="1" s="1"/>
  <c r="E235" i="1"/>
  <c r="J235" i="1" s="1"/>
  <c r="E236" i="1"/>
  <c r="J236" i="1" s="1"/>
  <c r="E237" i="1"/>
  <c r="J237" i="1" s="1"/>
  <c r="I237" i="1" s="1"/>
  <c r="E238" i="1"/>
  <c r="J238" i="1" s="1"/>
  <c r="E239" i="1"/>
  <c r="J239" i="1" s="1"/>
  <c r="E240" i="1"/>
  <c r="J240" i="1" s="1"/>
  <c r="I240" i="1" s="1"/>
  <c r="E241" i="1"/>
  <c r="J241" i="1" s="1"/>
  <c r="E242" i="1"/>
  <c r="J242" i="1" s="1"/>
  <c r="I242" i="1" s="1"/>
  <c r="E243" i="1"/>
  <c r="J243" i="1" s="1"/>
  <c r="E244" i="1"/>
  <c r="J244" i="1" s="1"/>
  <c r="E245" i="1"/>
  <c r="J245" i="1" s="1"/>
  <c r="E246" i="1"/>
  <c r="J246" i="1" s="1"/>
  <c r="E247" i="1"/>
  <c r="J247" i="1" s="1"/>
  <c r="E248" i="1"/>
  <c r="J248" i="1" s="1"/>
  <c r="E249" i="1"/>
  <c r="J249" i="1" s="1"/>
  <c r="I249" i="1" s="1"/>
  <c r="E250" i="1"/>
  <c r="J250" i="1" s="1"/>
  <c r="E251" i="1"/>
  <c r="J251" i="1" s="1"/>
  <c r="E252" i="1"/>
  <c r="J252" i="1" s="1"/>
  <c r="E253" i="1"/>
  <c r="J253" i="1" s="1"/>
  <c r="E254" i="1"/>
  <c r="J254" i="1" s="1"/>
  <c r="E255" i="1"/>
  <c r="J255" i="1" s="1"/>
  <c r="I255" i="1" s="1"/>
  <c r="E256" i="1"/>
  <c r="J256" i="1" s="1"/>
  <c r="I256" i="1" s="1"/>
  <c r="E257" i="1"/>
  <c r="J257" i="1" s="1"/>
  <c r="E258" i="1"/>
  <c r="J258" i="1" s="1"/>
  <c r="I258" i="1" s="1"/>
  <c r="E259" i="1"/>
  <c r="J259" i="1" s="1"/>
  <c r="E260" i="1"/>
  <c r="J260" i="1" s="1"/>
  <c r="E261" i="1"/>
  <c r="J261" i="1" s="1"/>
  <c r="E262" i="1"/>
  <c r="J262" i="1" s="1"/>
  <c r="E263" i="1"/>
  <c r="J263" i="1" s="1"/>
  <c r="I263" i="1" s="1"/>
  <c r="E264" i="1"/>
  <c r="J264" i="1" s="1"/>
  <c r="I264" i="1" s="1"/>
  <c r="E265" i="1"/>
  <c r="J265" i="1" s="1"/>
  <c r="I265" i="1" s="1"/>
  <c r="E266" i="1"/>
  <c r="J266" i="1" s="1"/>
  <c r="E267" i="1"/>
  <c r="J267" i="1" s="1"/>
  <c r="I267" i="1" s="1"/>
  <c r="E268" i="1"/>
  <c r="J268" i="1" s="1"/>
  <c r="E269" i="1"/>
  <c r="J269" i="1" s="1"/>
  <c r="E270" i="1"/>
  <c r="J270" i="1" s="1"/>
  <c r="I270" i="1" s="1"/>
  <c r="E271" i="1"/>
  <c r="J271" i="1" s="1"/>
  <c r="E272" i="1"/>
  <c r="J272" i="1" s="1"/>
  <c r="I272" i="1" s="1"/>
  <c r="E273" i="1"/>
  <c r="J273" i="1" s="1"/>
  <c r="I273" i="1" s="1"/>
  <c r="E274" i="1"/>
  <c r="J274" i="1" s="1"/>
  <c r="E275" i="1"/>
  <c r="J275" i="1" s="1"/>
  <c r="I275" i="1" s="1"/>
  <c r="E276" i="1"/>
  <c r="J276" i="1" s="1"/>
  <c r="I276" i="1" s="1"/>
  <c r="E277" i="1"/>
  <c r="J277" i="1" s="1"/>
  <c r="E278" i="1"/>
  <c r="J278" i="1" s="1"/>
  <c r="E279" i="1"/>
  <c r="J279" i="1" s="1"/>
  <c r="E280" i="1"/>
  <c r="J280" i="1" s="1"/>
  <c r="I280" i="1" s="1"/>
  <c r="E281" i="1"/>
  <c r="J281" i="1" s="1"/>
  <c r="I281" i="1" s="1"/>
  <c r="E282" i="1"/>
  <c r="J282" i="1" s="1"/>
  <c r="E283" i="1"/>
  <c r="J283" i="1" s="1"/>
  <c r="E284" i="1"/>
  <c r="J284" i="1" s="1"/>
  <c r="E285" i="1"/>
  <c r="J285" i="1" s="1"/>
  <c r="I285" i="1" s="1"/>
  <c r="E286" i="1"/>
  <c r="J286" i="1" s="1"/>
  <c r="I286" i="1" s="1"/>
  <c r="E287" i="1"/>
  <c r="J287" i="1" s="1"/>
  <c r="E288" i="1"/>
  <c r="J288" i="1" s="1"/>
  <c r="I288" i="1" s="1"/>
  <c r="E289" i="1"/>
  <c r="J289" i="1" s="1"/>
  <c r="E290" i="1"/>
  <c r="J290" i="1" s="1"/>
  <c r="I290" i="1" s="1"/>
  <c r="E291" i="1"/>
  <c r="J291" i="1" s="1"/>
  <c r="I291" i="1" s="1"/>
  <c r="E292" i="1"/>
  <c r="J292" i="1" s="1"/>
  <c r="E293" i="1"/>
  <c r="J293" i="1" s="1"/>
  <c r="E294" i="1"/>
  <c r="J294" i="1" s="1"/>
  <c r="J295" i="1"/>
  <c r="I295" i="1" s="1"/>
  <c r="E296" i="1"/>
  <c r="J296" i="1" s="1"/>
  <c r="I296" i="1" s="1"/>
  <c r="E297" i="1"/>
  <c r="J297" i="1" s="1"/>
  <c r="E298" i="1"/>
  <c r="J298" i="1" s="1"/>
  <c r="I298" i="1" s="1"/>
  <c r="E299" i="1"/>
  <c r="J299" i="1" s="1"/>
  <c r="I299" i="1" s="1"/>
  <c r="E300" i="1"/>
  <c r="J300" i="1" s="1"/>
  <c r="I300" i="1" s="1"/>
  <c r="J301" i="1"/>
  <c r="E302" i="1"/>
  <c r="J302" i="1" s="1"/>
  <c r="I302" i="1" s="1"/>
  <c r="E303" i="1"/>
  <c r="J303" i="1" s="1"/>
  <c r="E304" i="1"/>
  <c r="J304" i="1" s="1"/>
  <c r="I304" i="1" s="1"/>
  <c r="E305" i="1"/>
  <c r="J305" i="1" s="1"/>
  <c r="I305" i="1" s="1"/>
  <c r="E306" i="1"/>
  <c r="J306" i="1" s="1"/>
  <c r="I306" i="1" s="1"/>
  <c r="E307" i="1"/>
  <c r="J307" i="1" s="1"/>
  <c r="E308" i="1"/>
  <c r="J308" i="1" s="1"/>
  <c r="E309" i="1"/>
  <c r="J309" i="1" s="1"/>
  <c r="I309" i="1" s="1"/>
  <c r="E310" i="1"/>
  <c r="J310" i="1" s="1"/>
  <c r="I310" i="1" s="1"/>
  <c r="E311" i="1"/>
  <c r="J311" i="1" s="1"/>
  <c r="I311" i="1" s="1"/>
  <c r="E312" i="1"/>
  <c r="J312" i="1" s="1"/>
  <c r="I312" i="1" s="1"/>
  <c r="E313" i="1"/>
  <c r="J313" i="1" s="1"/>
  <c r="I313" i="1" s="1"/>
  <c r="E314" i="1"/>
  <c r="J314" i="1" s="1"/>
  <c r="I314" i="1" s="1"/>
  <c r="E315" i="1"/>
  <c r="J315" i="1" s="1"/>
  <c r="E316" i="1"/>
  <c r="J316" i="1" s="1"/>
  <c r="I316" i="1" s="1"/>
  <c r="E317" i="1"/>
  <c r="J317" i="1" s="1"/>
  <c r="I317" i="1" s="1"/>
  <c r="E318" i="1"/>
  <c r="J318" i="1" s="1"/>
  <c r="I318" i="1" s="1"/>
  <c r="E319" i="1"/>
  <c r="J319" i="1" s="1"/>
  <c r="I319" i="1" s="1"/>
  <c r="E320" i="1"/>
  <c r="J320" i="1" s="1"/>
  <c r="E321" i="1"/>
  <c r="J321" i="1" s="1"/>
  <c r="E322" i="1"/>
  <c r="J322" i="1" s="1"/>
  <c r="I322" i="1" s="1"/>
  <c r="E323" i="1"/>
  <c r="J323" i="1" s="1"/>
  <c r="I323" i="1" s="1"/>
  <c r="E324" i="1"/>
  <c r="J324" i="1" s="1"/>
  <c r="E325" i="1"/>
  <c r="J325" i="1" s="1"/>
  <c r="I325" i="1" s="1"/>
  <c r="E326" i="1"/>
  <c r="J326" i="1" s="1"/>
  <c r="I326" i="1" s="1"/>
  <c r="E327" i="1"/>
  <c r="J327" i="1" s="1"/>
  <c r="E328" i="1"/>
  <c r="J328" i="1" s="1"/>
  <c r="E329" i="1"/>
  <c r="J329" i="1" s="1"/>
  <c r="E330" i="1"/>
  <c r="J330" i="1" s="1"/>
  <c r="E331" i="1"/>
  <c r="J331" i="1" s="1"/>
  <c r="I331" i="1" s="1"/>
  <c r="E332" i="1"/>
  <c r="J332" i="1" s="1"/>
  <c r="I332" i="1" s="1"/>
  <c r="E333" i="1"/>
  <c r="J333" i="1" s="1"/>
  <c r="I333" i="1" s="1"/>
  <c r="E334" i="1"/>
  <c r="J334" i="1" s="1"/>
  <c r="I334" i="1" s="1"/>
  <c r="E335" i="1"/>
  <c r="J335" i="1" s="1"/>
  <c r="I335" i="1" s="1"/>
  <c r="E336" i="1"/>
  <c r="J336" i="1" s="1"/>
  <c r="I336" i="1" s="1"/>
  <c r="E337" i="1"/>
  <c r="J337" i="1" s="1"/>
  <c r="I337" i="1" s="1"/>
  <c r="E338" i="1"/>
  <c r="J338" i="1" s="1"/>
  <c r="I338" i="1" s="1"/>
  <c r="E339" i="1"/>
  <c r="J339" i="1" s="1"/>
  <c r="I339" i="1" s="1"/>
  <c r="E340" i="1"/>
  <c r="J340" i="1" s="1"/>
  <c r="I340" i="1" s="1"/>
  <c r="E341" i="1"/>
  <c r="J341" i="1" s="1"/>
  <c r="E342" i="1"/>
  <c r="J342" i="1" s="1"/>
  <c r="E343" i="1"/>
  <c r="J343" i="1" s="1"/>
  <c r="E344" i="1"/>
  <c r="J344" i="1" s="1"/>
  <c r="E345" i="1"/>
  <c r="J345" i="1" s="1"/>
  <c r="E346" i="1"/>
  <c r="J346" i="1" s="1"/>
  <c r="E347" i="1"/>
  <c r="J347" i="1" s="1"/>
  <c r="I347" i="1" s="1"/>
  <c r="E348" i="1"/>
  <c r="J348" i="1" s="1"/>
  <c r="I348" i="1" s="1"/>
  <c r="E349" i="1"/>
  <c r="J349" i="1" s="1"/>
  <c r="I349" i="1" s="1"/>
  <c r="E350" i="1"/>
  <c r="J350" i="1" s="1"/>
  <c r="I350" i="1" s="1"/>
  <c r="E351" i="1"/>
  <c r="J351" i="1" s="1"/>
  <c r="I351" i="1" s="1"/>
  <c r="E352" i="1"/>
  <c r="J352" i="1" s="1"/>
  <c r="E353" i="1"/>
  <c r="J353" i="1" s="1"/>
  <c r="I353" i="1" s="1"/>
  <c r="E354" i="1"/>
  <c r="J354" i="1" s="1"/>
  <c r="J355" i="1"/>
  <c r="I355" i="1" s="1"/>
  <c r="E356" i="1"/>
  <c r="J356" i="1" s="1"/>
  <c r="I356" i="1" s="1"/>
  <c r="E357" i="1"/>
  <c r="J357" i="1" s="1"/>
  <c r="I357" i="1" s="1"/>
  <c r="E358" i="1"/>
  <c r="J358" i="1" s="1"/>
  <c r="I358" i="1" s="1"/>
  <c r="E359" i="1"/>
  <c r="J359" i="1" s="1"/>
  <c r="E360" i="1"/>
  <c r="J360" i="1" s="1"/>
  <c r="I360" i="1" s="1"/>
  <c r="E361" i="1"/>
  <c r="J361" i="1" s="1"/>
  <c r="I361" i="1" s="1"/>
  <c r="E362" i="1"/>
  <c r="J362" i="1" s="1"/>
  <c r="I362" i="1" s="1"/>
  <c r="E363" i="1"/>
  <c r="J363" i="1" s="1"/>
  <c r="I363" i="1" s="1"/>
  <c r="E364" i="1"/>
  <c r="J364" i="1" s="1"/>
  <c r="I364" i="1" s="1"/>
  <c r="E365" i="1"/>
  <c r="J365" i="1" s="1"/>
  <c r="I365" i="1" s="1"/>
  <c r="E366" i="1"/>
  <c r="J366" i="1" s="1"/>
  <c r="I366" i="1" s="1"/>
  <c r="E367" i="1"/>
  <c r="J367" i="1" s="1"/>
  <c r="E368" i="1"/>
  <c r="J368" i="1" s="1"/>
  <c r="I368" i="1" s="1"/>
  <c r="E369" i="1"/>
  <c r="J369" i="1" s="1"/>
  <c r="I369" i="1" s="1"/>
  <c r="E370" i="1"/>
  <c r="J370" i="1" s="1"/>
  <c r="E371" i="1"/>
  <c r="J371" i="1" s="1"/>
  <c r="I371" i="1" s="1"/>
  <c r="E372" i="1"/>
  <c r="J372" i="1" s="1"/>
  <c r="I372" i="1" s="1"/>
  <c r="E373" i="1"/>
  <c r="J373" i="1" s="1"/>
  <c r="I373" i="1" s="1"/>
  <c r="E374" i="1"/>
  <c r="J374" i="1" s="1"/>
  <c r="I374" i="1" s="1"/>
  <c r="E375" i="1"/>
  <c r="J375" i="1" s="1"/>
  <c r="E376" i="1"/>
  <c r="J376" i="1" s="1"/>
  <c r="E377" i="1"/>
  <c r="E378" i="1"/>
  <c r="J378" i="1" s="1"/>
  <c r="I378" i="1" s="1"/>
  <c r="E379" i="1"/>
  <c r="J379" i="1" s="1"/>
  <c r="I379" i="1" s="1"/>
  <c r="E380" i="1"/>
  <c r="J380" i="1" s="1"/>
  <c r="E381" i="1"/>
  <c r="J381" i="1" s="1"/>
  <c r="I381" i="1" s="1"/>
  <c r="E382" i="1"/>
  <c r="J382" i="1" s="1"/>
  <c r="J383" i="1"/>
  <c r="I383" i="1" s="1"/>
  <c r="E384" i="1"/>
  <c r="J384" i="1" s="1"/>
  <c r="I384" i="1" s="1"/>
  <c r="E385" i="1"/>
  <c r="J385" i="1" s="1"/>
  <c r="I385" i="1" s="1"/>
  <c r="E386" i="1"/>
  <c r="J386" i="1" s="1"/>
  <c r="I386" i="1" s="1"/>
  <c r="J387" i="1"/>
  <c r="I387" i="1" s="1"/>
  <c r="E388" i="1"/>
  <c r="J388" i="1" s="1"/>
  <c r="I388" i="1" s="1"/>
  <c r="E389" i="1"/>
  <c r="J389" i="1" s="1"/>
  <c r="I389" i="1" s="1"/>
  <c r="E390" i="1"/>
  <c r="J390" i="1" s="1"/>
  <c r="I390" i="1" s="1"/>
  <c r="E391" i="1"/>
  <c r="J391" i="1" s="1"/>
  <c r="E392" i="1"/>
  <c r="J392" i="1" s="1"/>
  <c r="I392" i="1" s="1"/>
  <c r="E393" i="1"/>
  <c r="J393" i="1" s="1"/>
  <c r="E394" i="1"/>
  <c r="J394" i="1" s="1"/>
  <c r="E395" i="1"/>
  <c r="J395" i="1" s="1"/>
  <c r="I395" i="1" s="1"/>
  <c r="E396" i="1"/>
  <c r="J396" i="1" s="1"/>
  <c r="I396" i="1" s="1"/>
  <c r="E398" i="1"/>
  <c r="J398" i="1" s="1"/>
  <c r="E399" i="1"/>
  <c r="J399" i="1" s="1"/>
  <c r="I399" i="1" s="1"/>
  <c r="E400" i="1"/>
  <c r="E401" i="1"/>
  <c r="J401" i="1" s="1"/>
  <c r="I401" i="1" s="1"/>
  <c r="E402" i="1"/>
  <c r="J402" i="1" s="1"/>
  <c r="E403" i="1"/>
  <c r="E404" i="1"/>
  <c r="E405" i="1"/>
  <c r="J405" i="1" s="1"/>
  <c r="I405" i="1" s="1"/>
  <c r="E406" i="1"/>
  <c r="J406" i="1" s="1"/>
  <c r="E407" i="1"/>
  <c r="J407" i="1" s="1"/>
  <c r="E408" i="1"/>
  <c r="J408" i="1" s="1"/>
  <c r="E409" i="1"/>
  <c r="J409" i="1" s="1"/>
  <c r="E410" i="1"/>
  <c r="J410" i="1" s="1"/>
  <c r="E411" i="1"/>
  <c r="J411" i="1" s="1"/>
  <c r="I411" i="1" s="1"/>
  <c r="E412" i="1"/>
  <c r="J412" i="1" s="1"/>
  <c r="I412" i="1" s="1"/>
  <c r="E413" i="1"/>
  <c r="J413" i="1" s="1"/>
  <c r="I413" i="1" s="1"/>
  <c r="E414" i="1"/>
  <c r="J414" i="1" s="1"/>
  <c r="I414" i="1" s="1"/>
  <c r="E415" i="1"/>
  <c r="J415" i="1" s="1"/>
  <c r="I415" i="1" s="1"/>
  <c r="E416" i="1"/>
  <c r="J416" i="1" s="1"/>
  <c r="I416" i="1" s="1"/>
  <c r="E417" i="1"/>
  <c r="J417" i="1" s="1"/>
  <c r="I417" i="1" s="1"/>
  <c r="E418" i="1"/>
  <c r="J418" i="1" s="1"/>
  <c r="E419" i="1"/>
  <c r="J419" i="1" s="1"/>
  <c r="I419" i="1" s="1"/>
  <c r="E420" i="1"/>
  <c r="J420" i="1" s="1"/>
  <c r="I420" i="1" s="1"/>
  <c r="E421" i="1"/>
  <c r="J421" i="1" s="1"/>
  <c r="E422" i="1"/>
  <c r="J422" i="1" s="1"/>
  <c r="I422" i="1" s="1"/>
  <c r="E423" i="1"/>
  <c r="J423" i="1" s="1"/>
  <c r="I423" i="1" s="1"/>
  <c r="E424" i="1"/>
  <c r="J424" i="1" s="1"/>
  <c r="I424" i="1" s="1"/>
  <c r="E425" i="1"/>
  <c r="J425" i="1" s="1"/>
  <c r="I425" i="1" s="1"/>
  <c r="E426" i="1"/>
  <c r="J426" i="1" s="1"/>
  <c r="I426" i="1" s="1"/>
  <c r="E427" i="1"/>
  <c r="J427" i="1" s="1"/>
  <c r="I427" i="1" s="1"/>
  <c r="E428" i="1"/>
  <c r="J428" i="1" s="1"/>
  <c r="I428" i="1" s="1"/>
  <c r="E429" i="1"/>
  <c r="J429" i="1" s="1"/>
  <c r="I429" i="1" s="1"/>
  <c r="E430" i="1"/>
  <c r="J430" i="1" s="1"/>
  <c r="I430" i="1" s="1"/>
  <c r="E431" i="1"/>
  <c r="J431" i="1" s="1"/>
  <c r="I431" i="1" s="1"/>
  <c r="E432" i="1"/>
  <c r="J432" i="1" s="1"/>
  <c r="I432" i="1" s="1"/>
  <c r="E433" i="1"/>
  <c r="J433" i="1" s="1"/>
  <c r="I433" i="1" s="1"/>
  <c r="E434" i="1"/>
  <c r="J434" i="1" s="1"/>
  <c r="I434" i="1" s="1"/>
  <c r="E435" i="1"/>
  <c r="J435" i="1" s="1"/>
  <c r="J436" i="1"/>
  <c r="I436" i="1" s="1"/>
  <c r="E437" i="1"/>
  <c r="J437" i="1" s="1"/>
  <c r="I437" i="1" s="1"/>
  <c r="E438" i="1"/>
  <c r="J438" i="1" s="1"/>
  <c r="I438" i="1" s="1"/>
  <c r="E439" i="1"/>
  <c r="J439" i="1" s="1"/>
  <c r="I439" i="1" s="1"/>
  <c r="E440" i="1"/>
  <c r="J440" i="1" s="1"/>
  <c r="E441" i="1"/>
  <c r="J441" i="1" s="1"/>
  <c r="E442" i="1"/>
  <c r="J442" i="1" s="1"/>
  <c r="I442" i="1" s="1"/>
  <c r="E443" i="1"/>
  <c r="J443" i="1" s="1"/>
  <c r="I443" i="1" s="1"/>
  <c r="E444" i="1"/>
  <c r="J444" i="1" s="1"/>
  <c r="I444" i="1" s="1"/>
  <c r="E445" i="1"/>
  <c r="E446" i="1"/>
  <c r="J446" i="1" s="1"/>
  <c r="I446" i="1" s="1"/>
  <c r="E447" i="1"/>
  <c r="J447" i="1" s="1"/>
  <c r="E448" i="1"/>
  <c r="J448" i="1" s="1"/>
  <c r="E449" i="1"/>
  <c r="J449" i="1" s="1"/>
  <c r="I449" i="1" s="1"/>
  <c r="E450" i="1"/>
  <c r="J450" i="1" s="1"/>
  <c r="I450" i="1" s="1"/>
  <c r="E451" i="1"/>
  <c r="J451" i="1" s="1"/>
  <c r="I451" i="1" s="1"/>
  <c r="E452" i="1"/>
  <c r="J452" i="1" s="1"/>
  <c r="E453" i="1"/>
  <c r="J453" i="1" s="1"/>
  <c r="E454" i="1"/>
  <c r="J454" i="1" s="1"/>
  <c r="I454" i="1" s="1"/>
  <c r="E455" i="1"/>
  <c r="J455" i="1" s="1"/>
  <c r="I455" i="1" s="1"/>
  <c r="E456" i="1"/>
  <c r="J456" i="1" s="1"/>
  <c r="I456" i="1" s="1"/>
  <c r="E457" i="1"/>
  <c r="J457" i="1" s="1"/>
  <c r="I457" i="1" s="1"/>
  <c r="E458" i="1"/>
  <c r="J458" i="1" s="1"/>
  <c r="I458" i="1" s="1"/>
  <c r="E459" i="1"/>
  <c r="J459" i="1" s="1"/>
  <c r="E460" i="1"/>
  <c r="E461" i="1"/>
  <c r="J461" i="1" s="1"/>
  <c r="E462" i="1"/>
  <c r="J462" i="1" s="1"/>
  <c r="I462" i="1" s="1"/>
  <c r="E463" i="1"/>
  <c r="J463" i="1" s="1"/>
  <c r="I463" i="1" s="1"/>
  <c r="E490" i="1"/>
  <c r="J490" i="1" s="1"/>
  <c r="E491" i="1"/>
  <c r="J491" i="1" s="1"/>
  <c r="E492" i="1"/>
  <c r="J492" i="1" s="1"/>
  <c r="E493" i="1"/>
  <c r="J493" i="1" s="1"/>
  <c r="I493" i="1" s="1"/>
  <c r="E494" i="1"/>
  <c r="J494" i="1" s="1"/>
  <c r="I494" i="1" s="1"/>
  <c r="E496" i="1"/>
  <c r="J496" i="1" s="1"/>
  <c r="E497" i="1"/>
  <c r="E498" i="1"/>
  <c r="J498" i="1" s="1"/>
  <c r="I498" i="1" s="1"/>
  <c r="E499" i="1"/>
  <c r="J499" i="1" s="1"/>
  <c r="E500" i="1"/>
  <c r="J500" i="1" s="1"/>
  <c r="E501" i="1"/>
  <c r="J501" i="1" s="1"/>
  <c r="E502" i="1"/>
  <c r="J502" i="1" s="1"/>
  <c r="E503" i="1"/>
  <c r="J503" i="1" s="1"/>
  <c r="E504" i="1"/>
  <c r="J504" i="1" s="1"/>
  <c r="I504" i="1" s="1"/>
  <c r="E505" i="1"/>
  <c r="J505" i="1" s="1"/>
  <c r="I505" i="1" s="1"/>
  <c r="E506" i="1"/>
  <c r="J506" i="1" s="1"/>
  <c r="E507" i="1"/>
  <c r="J507" i="1" s="1"/>
  <c r="E508" i="1"/>
  <c r="J508" i="1" s="1"/>
  <c r="E509" i="1"/>
  <c r="J509" i="1" s="1"/>
  <c r="E510" i="1"/>
  <c r="J510" i="1" s="1"/>
  <c r="E511" i="1"/>
  <c r="J511" i="1" s="1"/>
  <c r="I511" i="1" s="1"/>
  <c r="E512" i="1"/>
  <c r="J512" i="1" s="1"/>
  <c r="E513" i="1"/>
  <c r="J513" i="1" s="1"/>
  <c r="E514" i="1"/>
  <c r="J514" i="1" s="1"/>
  <c r="E515" i="1"/>
  <c r="J515" i="1" s="1"/>
  <c r="E516" i="1"/>
  <c r="J516" i="1" s="1"/>
  <c r="I516" i="1" s="1"/>
  <c r="E517" i="1"/>
  <c r="J517" i="1" s="1"/>
  <c r="E518" i="1"/>
  <c r="J518" i="1" s="1"/>
  <c r="E519" i="1"/>
  <c r="J519" i="1" s="1"/>
  <c r="E520" i="1"/>
  <c r="J520" i="1" s="1"/>
  <c r="E521" i="1"/>
  <c r="J521" i="1" s="1"/>
  <c r="E522" i="1"/>
  <c r="J522" i="1" s="1"/>
  <c r="E523" i="1"/>
  <c r="J523" i="1" s="1"/>
  <c r="E524" i="1"/>
  <c r="J524" i="1" s="1"/>
  <c r="E525" i="1"/>
  <c r="J525" i="1" s="1"/>
  <c r="E526" i="1"/>
  <c r="J526" i="1" s="1"/>
  <c r="E527" i="1"/>
  <c r="J527" i="1" s="1"/>
  <c r="E528" i="1"/>
  <c r="J528" i="1" s="1"/>
  <c r="E529" i="1"/>
  <c r="J529" i="1" s="1"/>
  <c r="E530" i="1"/>
  <c r="J530" i="1" s="1"/>
  <c r="E531" i="1"/>
  <c r="J531" i="1" s="1"/>
  <c r="E532" i="1"/>
  <c r="J532" i="1" s="1"/>
  <c r="E533" i="1"/>
  <c r="J533" i="1" s="1"/>
  <c r="E534" i="1"/>
  <c r="J534" i="1" s="1"/>
  <c r="E535" i="1"/>
  <c r="J535" i="1" s="1"/>
  <c r="E536" i="1"/>
  <c r="J536" i="1" s="1"/>
  <c r="E537" i="1"/>
  <c r="J537" i="1" s="1"/>
  <c r="E538" i="1"/>
  <c r="J538" i="1" s="1"/>
  <c r="E539" i="1"/>
  <c r="J539" i="1" s="1"/>
  <c r="E540" i="1"/>
  <c r="J540" i="1" s="1"/>
  <c r="E541" i="1"/>
  <c r="J541" i="1" s="1"/>
  <c r="E542" i="1"/>
  <c r="J542" i="1" s="1"/>
  <c r="E543" i="1"/>
  <c r="J543" i="1" s="1"/>
  <c r="E544" i="1"/>
  <c r="J544" i="1" s="1"/>
  <c r="E545" i="1"/>
  <c r="J545" i="1" s="1"/>
  <c r="E546" i="1"/>
  <c r="J546" i="1" s="1"/>
  <c r="E547" i="1"/>
  <c r="J547" i="1" s="1"/>
  <c r="E548" i="1"/>
  <c r="J548" i="1" s="1"/>
  <c r="E549" i="1"/>
  <c r="J549" i="1" s="1"/>
  <c r="E550" i="1"/>
  <c r="J550" i="1" s="1"/>
  <c r="E551" i="1"/>
  <c r="J551" i="1" s="1"/>
  <c r="E552" i="1"/>
  <c r="J552" i="1" s="1"/>
  <c r="E553" i="1"/>
  <c r="J553" i="1" s="1"/>
  <c r="E554" i="1"/>
  <c r="J554" i="1" s="1"/>
  <c r="E555" i="1"/>
  <c r="E556" i="1"/>
  <c r="J556" i="1" s="1"/>
  <c r="I556" i="1" s="1"/>
  <c r="E557" i="1"/>
  <c r="J557" i="1" s="1"/>
  <c r="E558" i="1"/>
  <c r="J558" i="1" s="1"/>
  <c r="E559" i="1"/>
  <c r="J559" i="1" s="1"/>
  <c r="E560" i="1"/>
  <c r="J560" i="1" s="1"/>
  <c r="E561" i="1"/>
  <c r="J561" i="1" s="1"/>
  <c r="E562" i="1"/>
  <c r="J562" i="1" s="1"/>
  <c r="E563" i="1"/>
  <c r="J563" i="1" s="1"/>
  <c r="E564" i="1"/>
  <c r="J564" i="1" s="1"/>
  <c r="I564" i="1" s="1"/>
  <c r="E565" i="1"/>
  <c r="J565" i="1" s="1"/>
  <c r="E566" i="1"/>
  <c r="J566" i="1" s="1"/>
  <c r="E567" i="1"/>
  <c r="J567" i="1" s="1"/>
  <c r="E568" i="1"/>
  <c r="J568" i="1" s="1"/>
  <c r="E569" i="1"/>
  <c r="J569" i="1" s="1"/>
  <c r="E570" i="1"/>
  <c r="J570" i="1" s="1"/>
  <c r="E571" i="1"/>
  <c r="J571" i="1" s="1"/>
  <c r="E572" i="1"/>
  <c r="J572" i="1" s="1"/>
  <c r="E573" i="1"/>
  <c r="J573" i="1" s="1"/>
  <c r="I573" i="1" s="1"/>
  <c r="E574" i="1"/>
  <c r="J574" i="1" s="1"/>
  <c r="E575" i="1"/>
  <c r="J575" i="1" s="1"/>
  <c r="E576" i="1"/>
  <c r="J576" i="1" s="1"/>
  <c r="E577" i="1"/>
  <c r="J577" i="1" s="1"/>
  <c r="E578" i="1"/>
  <c r="J578" i="1" s="1"/>
  <c r="E580" i="1"/>
  <c r="J580" i="1" s="1"/>
  <c r="E581" i="1"/>
  <c r="J581" i="1" s="1"/>
  <c r="E582" i="1"/>
  <c r="J582" i="1" s="1"/>
  <c r="E583" i="1"/>
  <c r="J583" i="1" s="1"/>
  <c r="E584" i="1"/>
  <c r="J584" i="1" s="1"/>
  <c r="E586" i="1"/>
  <c r="J586" i="1" s="1"/>
  <c r="E587" i="1"/>
  <c r="J587" i="1" s="1"/>
  <c r="E588" i="1"/>
  <c r="J588" i="1" s="1"/>
  <c r="E589" i="1"/>
  <c r="J589" i="1" s="1"/>
  <c r="E590" i="1"/>
  <c r="J590" i="1" s="1"/>
  <c r="E591" i="1"/>
  <c r="J591" i="1" s="1"/>
  <c r="I591" i="1" s="1"/>
  <c r="E592" i="1"/>
  <c r="J592" i="1" s="1"/>
  <c r="E593" i="1"/>
  <c r="J593" i="1" s="1"/>
  <c r="E594" i="1"/>
  <c r="J594" i="1" s="1"/>
  <c r="E595" i="1"/>
  <c r="J595" i="1" s="1"/>
  <c r="E596" i="1"/>
  <c r="J596" i="1" s="1"/>
  <c r="E597" i="1"/>
  <c r="J597" i="1" s="1"/>
  <c r="E598" i="1"/>
  <c r="J598" i="1" s="1"/>
  <c r="J599" i="1"/>
  <c r="E600" i="1"/>
  <c r="J600" i="1" s="1"/>
  <c r="E601" i="1"/>
  <c r="J601" i="1" s="1"/>
  <c r="E602" i="1"/>
  <c r="J602" i="1" s="1"/>
  <c r="I602" i="1" s="1"/>
  <c r="E603" i="1"/>
  <c r="J603" i="1" s="1"/>
  <c r="E604" i="1"/>
  <c r="J604" i="1" s="1"/>
  <c r="E605" i="1"/>
  <c r="J605" i="1" s="1"/>
  <c r="E606" i="1"/>
  <c r="J606" i="1" s="1"/>
  <c r="E607" i="1"/>
  <c r="J607" i="1" s="1"/>
  <c r="E608" i="1"/>
  <c r="E609" i="1"/>
  <c r="J609" i="1" s="1"/>
  <c r="E610" i="1"/>
  <c r="J610" i="1" s="1"/>
  <c r="E611" i="1"/>
  <c r="J611" i="1" s="1"/>
  <c r="E612" i="1"/>
  <c r="J612" i="1" s="1"/>
  <c r="E613" i="1"/>
  <c r="J613" i="1" s="1"/>
  <c r="E614" i="1"/>
  <c r="J614" i="1" s="1"/>
  <c r="E615" i="1"/>
  <c r="J615" i="1" s="1"/>
  <c r="E616" i="1"/>
  <c r="J616" i="1" s="1"/>
  <c r="E617" i="1"/>
  <c r="J617" i="1" s="1"/>
  <c r="E618" i="1"/>
  <c r="J618" i="1" s="1"/>
  <c r="I618" i="1" s="1"/>
  <c r="E619" i="1"/>
  <c r="J619" i="1" s="1"/>
  <c r="I619" i="1" s="1"/>
  <c r="E620" i="1"/>
  <c r="J620" i="1" s="1"/>
  <c r="E621" i="1"/>
  <c r="J621" i="1" s="1"/>
  <c r="I621" i="1" s="1"/>
  <c r="E622" i="1"/>
  <c r="J622" i="1" s="1"/>
  <c r="E623" i="1"/>
  <c r="E624" i="1"/>
  <c r="J624" i="1" s="1"/>
  <c r="E625" i="1"/>
  <c r="J625" i="1" s="1"/>
  <c r="E626" i="1"/>
  <c r="J626" i="1" s="1"/>
  <c r="I626" i="1" s="1"/>
  <c r="E627" i="1"/>
  <c r="J627" i="1" s="1"/>
  <c r="I627" i="1" s="1"/>
  <c r="E628" i="1"/>
  <c r="J628" i="1" s="1"/>
  <c r="E629" i="1"/>
  <c r="J629" i="1" s="1"/>
  <c r="E630" i="1"/>
  <c r="J630" i="1" s="1"/>
  <c r="E631" i="1"/>
  <c r="J631" i="1" s="1"/>
  <c r="E632" i="1"/>
  <c r="J632" i="1" s="1"/>
  <c r="I632" i="1" s="1"/>
  <c r="E633" i="1"/>
  <c r="J633" i="1" s="1"/>
  <c r="E634" i="1"/>
  <c r="J634" i="1" s="1"/>
  <c r="E635" i="1"/>
  <c r="J635" i="1" s="1"/>
  <c r="I635" i="1" s="1"/>
  <c r="E636" i="1"/>
  <c r="J636" i="1" s="1"/>
  <c r="E637" i="1"/>
  <c r="J637" i="1" s="1"/>
  <c r="I637" i="1" s="1"/>
  <c r="E638" i="1"/>
  <c r="J638" i="1" s="1"/>
  <c r="E639" i="1"/>
  <c r="J639" i="1" s="1"/>
  <c r="E640" i="1"/>
  <c r="J640" i="1" s="1"/>
  <c r="I640" i="1" s="1"/>
  <c r="E641" i="1"/>
  <c r="J641" i="1" s="1"/>
  <c r="I641" i="1" s="1"/>
  <c r="E642" i="1"/>
  <c r="J642" i="1" s="1"/>
  <c r="E643" i="1"/>
  <c r="J643" i="1" s="1"/>
  <c r="E644" i="1"/>
  <c r="J644" i="1" s="1"/>
  <c r="I644" i="1" s="1"/>
  <c r="E645" i="1"/>
  <c r="J645" i="1" s="1"/>
  <c r="E646" i="1"/>
  <c r="J646" i="1" s="1"/>
  <c r="E647" i="1"/>
  <c r="J647" i="1" s="1"/>
  <c r="E648" i="1"/>
  <c r="J648" i="1" s="1"/>
  <c r="E649" i="1"/>
  <c r="J649" i="1" s="1"/>
  <c r="I649" i="1" s="1"/>
  <c r="E650" i="1"/>
  <c r="J650" i="1" s="1"/>
  <c r="I650" i="1" s="1"/>
  <c r="E651" i="1"/>
  <c r="J651" i="1" s="1"/>
  <c r="I651" i="1" s="1"/>
  <c r="E652" i="1"/>
  <c r="J652" i="1" s="1"/>
  <c r="E653" i="1"/>
  <c r="J653" i="1" s="1"/>
  <c r="I653" i="1" s="1"/>
  <c r="E654" i="1"/>
  <c r="J654" i="1" s="1"/>
  <c r="I654" i="1" s="1"/>
  <c r="E655" i="1"/>
  <c r="J655" i="1" s="1"/>
  <c r="I655" i="1" s="1"/>
  <c r="E656" i="1"/>
  <c r="J656" i="1" s="1"/>
  <c r="E657" i="1"/>
  <c r="J657" i="1" s="1"/>
  <c r="E658" i="1"/>
  <c r="J658" i="1" s="1"/>
  <c r="E659" i="1"/>
  <c r="J659" i="1" s="1"/>
  <c r="E660" i="1"/>
  <c r="J660" i="1" s="1"/>
  <c r="I660" i="1" s="1"/>
  <c r="E661" i="1"/>
  <c r="J661" i="1" s="1"/>
  <c r="I661" i="1" s="1"/>
  <c r="E662" i="1"/>
  <c r="J662" i="1" s="1"/>
  <c r="E663" i="1"/>
  <c r="J663" i="1" s="1"/>
  <c r="E664" i="1"/>
  <c r="J664" i="1" s="1"/>
  <c r="E665" i="1"/>
  <c r="J665" i="1" s="1"/>
  <c r="E666" i="1"/>
  <c r="J666" i="1" s="1"/>
  <c r="E667" i="1"/>
  <c r="J667" i="1" s="1"/>
  <c r="E752" i="1"/>
  <c r="J752" i="1" s="1"/>
  <c r="I752" i="1" s="1"/>
  <c r="E753" i="1"/>
  <c r="J753" i="1" s="1"/>
  <c r="E754" i="1"/>
  <c r="J754" i="1" s="1"/>
  <c r="E755" i="1"/>
  <c r="J755" i="1" s="1"/>
  <c r="E756" i="1"/>
  <c r="J756" i="1" s="1"/>
  <c r="E757" i="1"/>
  <c r="J757" i="1" s="1"/>
  <c r="E758" i="1"/>
  <c r="J758" i="1" s="1"/>
  <c r="I758" i="1" s="1"/>
  <c r="E759" i="1"/>
  <c r="J759" i="1" s="1"/>
  <c r="E760" i="1"/>
  <c r="J760" i="1" s="1"/>
  <c r="E761" i="1"/>
  <c r="J761" i="1" s="1"/>
  <c r="E762" i="1"/>
  <c r="J762" i="1" s="1"/>
  <c r="I762" i="1" s="1"/>
  <c r="E763" i="1"/>
  <c r="J763" i="1" s="1"/>
  <c r="E764" i="1"/>
  <c r="J764" i="1" s="1"/>
  <c r="I764" i="1" s="1"/>
  <c r="E765" i="1"/>
  <c r="J765" i="1" s="1"/>
  <c r="I765" i="1" s="1"/>
  <c r="E766" i="1"/>
  <c r="J766" i="1" s="1"/>
  <c r="E767" i="1"/>
  <c r="J767" i="1" s="1"/>
  <c r="E768" i="1"/>
  <c r="J768" i="1" s="1"/>
  <c r="I768" i="1" s="1"/>
  <c r="E769" i="1"/>
  <c r="J769" i="1" s="1"/>
  <c r="I769" i="1" s="1"/>
  <c r="E770" i="1"/>
  <c r="J770" i="1" s="1"/>
  <c r="I770" i="1" s="1"/>
  <c r="E771" i="1"/>
  <c r="J771" i="1" s="1"/>
  <c r="I771" i="1" s="1"/>
  <c r="E772" i="1"/>
  <c r="J772" i="1" s="1"/>
  <c r="I772" i="1" s="1"/>
  <c r="E773" i="1"/>
  <c r="J773" i="1" s="1"/>
  <c r="E774" i="1"/>
  <c r="J774" i="1" s="1"/>
  <c r="E775" i="1"/>
  <c r="J775" i="1" s="1"/>
  <c r="E776" i="1"/>
  <c r="J776" i="1" s="1"/>
  <c r="I776" i="1" s="1"/>
  <c r="E777" i="1"/>
  <c r="J777" i="1" s="1"/>
  <c r="I777" i="1" s="1"/>
  <c r="E778" i="1"/>
  <c r="J778" i="1" s="1"/>
  <c r="I778" i="1" s="1"/>
  <c r="E780" i="1"/>
  <c r="J780" i="1" s="1"/>
  <c r="I780" i="1" s="1"/>
  <c r="E781" i="1"/>
  <c r="J781" i="1" s="1"/>
  <c r="E782" i="1"/>
  <c r="J782" i="1" s="1"/>
  <c r="I782" i="1" s="1"/>
  <c r="E783" i="1"/>
  <c r="J783" i="1" s="1"/>
  <c r="E784" i="1"/>
  <c r="J784" i="1" s="1"/>
  <c r="I784" i="1" s="1"/>
  <c r="E785" i="1"/>
  <c r="J785" i="1" s="1"/>
  <c r="E786" i="1"/>
  <c r="J786" i="1" s="1"/>
  <c r="I786" i="1" s="1"/>
  <c r="E787" i="1"/>
  <c r="J787" i="1" s="1"/>
  <c r="I787" i="1" s="1"/>
  <c r="E788" i="1"/>
  <c r="J788" i="1" s="1"/>
  <c r="E789" i="1"/>
  <c r="J789" i="1" s="1"/>
  <c r="I789" i="1" s="1"/>
  <c r="E790" i="1"/>
  <c r="J790" i="1" s="1"/>
  <c r="E791" i="1"/>
  <c r="J791" i="1" s="1"/>
  <c r="E792" i="1"/>
  <c r="J792" i="1" s="1"/>
  <c r="E793" i="1"/>
  <c r="J793" i="1" s="1"/>
  <c r="I793" i="1" s="1"/>
  <c r="E794" i="1"/>
  <c r="J794" i="1" s="1"/>
  <c r="I794" i="1" s="1"/>
  <c r="E795" i="1"/>
  <c r="J795" i="1" s="1"/>
  <c r="I795" i="1" s="1"/>
  <c r="E796" i="1"/>
  <c r="J796" i="1" s="1"/>
  <c r="I796" i="1" s="1"/>
  <c r="E797" i="1"/>
  <c r="J797" i="1" s="1"/>
  <c r="I797" i="1" s="1"/>
  <c r="E798" i="1"/>
  <c r="J798" i="1" s="1"/>
  <c r="E799" i="1"/>
  <c r="J799" i="1" s="1"/>
  <c r="I799" i="1" s="1"/>
  <c r="E800" i="1"/>
  <c r="J800" i="1" s="1"/>
  <c r="I800" i="1" s="1"/>
  <c r="E801" i="1"/>
  <c r="J801" i="1" s="1"/>
  <c r="I801" i="1" s="1"/>
  <c r="E802" i="1"/>
  <c r="J802" i="1" s="1"/>
  <c r="E803" i="1"/>
  <c r="J803" i="1" s="1"/>
  <c r="E804" i="1"/>
  <c r="J804" i="1" s="1"/>
  <c r="E805" i="1"/>
  <c r="J805" i="1" s="1"/>
  <c r="I805" i="1" s="1"/>
  <c r="E806" i="1"/>
  <c r="J806" i="1" s="1"/>
  <c r="E807" i="1"/>
  <c r="J807" i="1" s="1"/>
  <c r="I807" i="1" s="1"/>
  <c r="E808" i="1"/>
  <c r="J808" i="1" s="1"/>
  <c r="I808" i="1" s="1"/>
  <c r="E809" i="1"/>
  <c r="J809" i="1" s="1"/>
  <c r="I809" i="1" s="1"/>
  <c r="E810" i="1"/>
  <c r="J810" i="1" s="1"/>
  <c r="I810" i="1" s="1"/>
  <c r="E811" i="1"/>
  <c r="J811" i="1" s="1"/>
  <c r="I811" i="1" s="1"/>
  <c r="E812" i="1"/>
  <c r="J812" i="1" s="1"/>
  <c r="I812" i="1" s="1"/>
  <c r="E813" i="1"/>
  <c r="J813" i="1" s="1"/>
  <c r="I813" i="1" s="1"/>
  <c r="E814" i="1"/>
  <c r="J814" i="1" s="1"/>
  <c r="I814" i="1" s="1"/>
  <c r="E815" i="1"/>
  <c r="J815" i="1" s="1"/>
  <c r="I815" i="1" s="1"/>
  <c r="E816" i="1"/>
  <c r="J816" i="1" s="1"/>
  <c r="E817" i="1"/>
  <c r="J817" i="1" s="1"/>
  <c r="E818" i="1"/>
  <c r="J818" i="1" s="1"/>
  <c r="I818" i="1" s="1"/>
  <c r="E819" i="1"/>
  <c r="J819" i="1" s="1"/>
  <c r="E820" i="1"/>
  <c r="J820" i="1" s="1"/>
  <c r="E821" i="1"/>
  <c r="J821" i="1" s="1"/>
  <c r="E822" i="1"/>
  <c r="J822" i="1" s="1"/>
  <c r="E823" i="1"/>
  <c r="J823" i="1" s="1"/>
  <c r="E824" i="1"/>
  <c r="J824" i="1" s="1"/>
  <c r="E825" i="1"/>
  <c r="J825" i="1" s="1"/>
  <c r="I825" i="1" s="1"/>
  <c r="E826" i="1"/>
  <c r="E827" i="1"/>
  <c r="J827" i="1" s="1"/>
  <c r="E828" i="1"/>
  <c r="J828" i="1" s="1"/>
  <c r="I828" i="1" s="1"/>
  <c r="E829" i="1"/>
  <c r="J829" i="1" s="1"/>
  <c r="I829" i="1" s="1"/>
  <c r="E830" i="1"/>
  <c r="J830" i="1" s="1"/>
  <c r="E831" i="1"/>
  <c r="J831" i="1" s="1"/>
  <c r="I831" i="1" s="1"/>
  <c r="E832" i="1"/>
  <c r="J832" i="1" s="1"/>
  <c r="E833" i="1"/>
  <c r="J833" i="1" s="1"/>
  <c r="E834" i="1"/>
  <c r="J834" i="1" s="1"/>
  <c r="I834" i="1" s="1"/>
  <c r="E835" i="1"/>
  <c r="J835" i="1" s="1"/>
  <c r="I835" i="1" s="1"/>
  <c r="E836" i="1"/>
  <c r="J836" i="1" s="1"/>
  <c r="E837" i="1"/>
  <c r="J837" i="1" s="1"/>
  <c r="I837" i="1" s="1"/>
  <c r="E838" i="1"/>
  <c r="J838" i="1" s="1"/>
  <c r="E839" i="1"/>
  <c r="J839" i="1" s="1"/>
  <c r="E840" i="1"/>
  <c r="J840" i="1" s="1"/>
  <c r="I840" i="1" s="1"/>
  <c r="E841" i="1"/>
  <c r="J841" i="1" s="1"/>
  <c r="E842" i="1"/>
  <c r="J842" i="1" s="1"/>
  <c r="I842" i="1" s="1"/>
  <c r="E843" i="1"/>
  <c r="J843" i="1" s="1"/>
  <c r="I843" i="1" s="1"/>
  <c r="E844" i="1"/>
  <c r="J844" i="1" s="1"/>
  <c r="I844" i="1" s="1"/>
  <c r="E845" i="1"/>
  <c r="J845" i="1" s="1"/>
  <c r="E846" i="1"/>
  <c r="J846" i="1" s="1"/>
  <c r="I846" i="1" s="1"/>
  <c r="E848" i="1"/>
  <c r="J848" i="1" s="1"/>
  <c r="E849" i="1"/>
  <c r="J849" i="1" s="1"/>
  <c r="E850" i="1"/>
  <c r="J850" i="1" s="1"/>
  <c r="E851" i="1"/>
  <c r="J851" i="1" s="1"/>
  <c r="I851" i="1" s="1"/>
  <c r="E852" i="1"/>
  <c r="J852" i="1" s="1"/>
  <c r="E853" i="1"/>
  <c r="E854" i="1"/>
  <c r="J854" i="1" s="1"/>
  <c r="E855" i="1"/>
  <c r="J855" i="1" s="1"/>
  <c r="E856" i="1"/>
  <c r="J856" i="1" s="1"/>
  <c r="I856" i="1" s="1"/>
  <c r="E857" i="1"/>
  <c r="E858" i="1"/>
  <c r="J858" i="1" s="1"/>
  <c r="E859" i="1"/>
  <c r="J859" i="1" s="1"/>
  <c r="I859" i="1" s="1"/>
  <c r="E860" i="1"/>
  <c r="J860" i="1" s="1"/>
  <c r="E861" i="1"/>
  <c r="J861" i="1" s="1"/>
  <c r="I861" i="1" s="1"/>
  <c r="E862" i="1"/>
  <c r="J862" i="1" s="1"/>
  <c r="I862" i="1" s="1"/>
  <c r="E863" i="1"/>
  <c r="J863" i="1" s="1"/>
  <c r="E864" i="1"/>
  <c r="J864" i="1" s="1"/>
  <c r="I864" i="1" s="1"/>
  <c r="E865" i="1"/>
  <c r="J865" i="1" s="1"/>
  <c r="I865" i="1" s="1"/>
  <c r="E866" i="1"/>
  <c r="J866" i="1" s="1"/>
  <c r="I866" i="1" s="1"/>
  <c r="E867" i="1"/>
  <c r="J867" i="1" s="1"/>
  <c r="E868" i="1"/>
  <c r="J868" i="1" s="1"/>
  <c r="I868" i="1" s="1"/>
  <c r="E869" i="1"/>
  <c r="J869" i="1" s="1"/>
  <c r="I869" i="1" s="1"/>
  <c r="E870" i="1"/>
  <c r="J870" i="1" s="1"/>
  <c r="E871" i="1"/>
  <c r="E164" i="1"/>
  <c r="J164" i="1" s="1"/>
  <c r="I164" i="1" s="1"/>
  <c r="E165" i="1"/>
  <c r="J165" i="1" s="1"/>
  <c r="E166" i="1"/>
  <c r="J166" i="1" s="1"/>
  <c r="E167" i="1"/>
  <c r="J167" i="1" s="1"/>
  <c r="E168" i="1"/>
  <c r="J168" i="1" s="1"/>
  <c r="E169" i="1"/>
  <c r="J169" i="1" s="1"/>
  <c r="E170" i="1"/>
  <c r="J170" i="1" s="1"/>
  <c r="I170" i="1" s="1"/>
  <c r="E171" i="1"/>
  <c r="J171" i="1" s="1"/>
  <c r="I171" i="1" s="1"/>
  <c r="E172" i="1"/>
  <c r="J172" i="1" s="1"/>
  <c r="E173" i="1"/>
  <c r="J173" i="1" s="1"/>
  <c r="E174" i="1"/>
  <c r="J174" i="1" s="1"/>
  <c r="I174" i="1" s="1"/>
  <c r="E175" i="1"/>
  <c r="J175" i="1" s="1"/>
  <c r="E176" i="1"/>
  <c r="J176" i="1" s="1"/>
  <c r="E177" i="1"/>
  <c r="J177" i="1" s="1"/>
  <c r="I177" i="1" s="1"/>
  <c r="E178" i="1"/>
  <c r="J178" i="1" s="1"/>
  <c r="E179" i="1"/>
  <c r="J179" i="1" s="1"/>
  <c r="E180" i="1"/>
  <c r="J180" i="1" s="1"/>
  <c r="E181" i="1"/>
  <c r="J181" i="1" s="1"/>
  <c r="E182" i="1"/>
  <c r="J182" i="1" s="1"/>
  <c r="E183" i="1"/>
  <c r="J183" i="1" s="1"/>
  <c r="I183" i="1" s="1"/>
  <c r="E184" i="1"/>
  <c r="J184" i="1" s="1"/>
  <c r="E185" i="1"/>
  <c r="J185" i="1" s="1"/>
  <c r="E186" i="1"/>
  <c r="J186" i="1" s="1"/>
  <c r="E187" i="1"/>
  <c r="J187" i="1" s="1"/>
  <c r="E188" i="1"/>
  <c r="J188" i="1" s="1"/>
  <c r="E189" i="1"/>
  <c r="J189" i="1" s="1"/>
  <c r="E190" i="1"/>
  <c r="J190" i="1" s="1"/>
  <c r="E191" i="1"/>
  <c r="J191" i="1" s="1"/>
  <c r="E192" i="1"/>
  <c r="J192" i="1" s="1"/>
  <c r="E193" i="1"/>
  <c r="J193" i="1" s="1"/>
  <c r="E194" i="1"/>
  <c r="J194" i="1" s="1"/>
  <c r="E195" i="1"/>
  <c r="J195" i="1" s="1"/>
  <c r="E196" i="1"/>
  <c r="J196" i="1" s="1"/>
  <c r="E197" i="1"/>
  <c r="J197" i="1" s="1"/>
  <c r="E198" i="1"/>
  <c r="J198" i="1" s="1"/>
  <c r="E199" i="1"/>
  <c r="J199" i="1" s="1"/>
  <c r="E200" i="1"/>
  <c r="J200" i="1" s="1"/>
  <c r="E201" i="1"/>
  <c r="J201" i="1" s="1"/>
  <c r="E202" i="1"/>
  <c r="J202" i="1" s="1"/>
  <c r="J203" i="1"/>
  <c r="E204" i="1"/>
  <c r="J204" i="1" s="1"/>
  <c r="J205" i="1"/>
  <c r="E206" i="1"/>
  <c r="J206" i="1" s="1"/>
  <c r="I206" i="1" s="1"/>
  <c r="E207" i="1"/>
  <c r="J207" i="1" s="1"/>
  <c r="E208" i="1"/>
  <c r="J208" i="1" s="1"/>
  <c r="I208" i="1" s="1"/>
  <c r="E209" i="1"/>
  <c r="J209" i="1" s="1"/>
  <c r="E210" i="1"/>
  <c r="J210" i="1" s="1"/>
  <c r="E211" i="1"/>
  <c r="J211" i="1" s="1"/>
  <c r="E212" i="1"/>
  <c r="J212" i="1" s="1"/>
  <c r="E213" i="1"/>
  <c r="J213" i="1" s="1"/>
  <c r="E214" i="1"/>
  <c r="J214" i="1" s="1"/>
  <c r="E215" i="1"/>
  <c r="J215" i="1" s="1"/>
  <c r="E216" i="1"/>
  <c r="J216" i="1" s="1"/>
  <c r="E217" i="1"/>
  <c r="J217" i="1" s="1"/>
  <c r="E218" i="1"/>
  <c r="J218" i="1" s="1"/>
  <c r="E219" i="1"/>
  <c r="J219" i="1" s="1"/>
  <c r="E220" i="1"/>
  <c r="J220" i="1" s="1"/>
  <c r="E221" i="1"/>
  <c r="J221" i="1" s="1"/>
  <c r="E222" i="1"/>
  <c r="J222" i="1" s="1"/>
  <c r="E223" i="1"/>
  <c r="J223" i="1" s="1"/>
  <c r="E687" i="1"/>
  <c r="J687" i="1" s="1"/>
  <c r="I687" i="1" s="1"/>
  <c r="E688" i="1"/>
  <c r="J688" i="1" s="1"/>
  <c r="I688" i="1" s="1"/>
  <c r="E689" i="1"/>
  <c r="J689" i="1" s="1"/>
  <c r="I689" i="1" s="1"/>
  <c r="E690" i="1"/>
  <c r="J690" i="1" s="1"/>
  <c r="E691" i="1"/>
  <c r="J691" i="1" s="1"/>
  <c r="I691" i="1" s="1"/>
  <c r="E692" i="1"/>
  <c r="J692" i="1" s="1"/>
  <c r="I692" i="1" s="1"/>
  <c r="E693" i="1"/>
  <c r="J693" i="1" s="1"/>
  <c r="E694" i="1"/>
  <c r="J694" i="1" s="1"/>
  <c r="I694" i="1" s="1"/>
  <c r="E695" i="1"/>
  <c r="J695" i="1" s="1"/>
  <c r="I695" i="1" s="1"/>
  <c r="E696" i="1"/>
  <c r="J696" i="1" s="1"/>
  <c r="I696" i="1" s="1"/>
  <c r="E697" i="1"/>
  <c r="J697" i="1" s="1"/>
  <c r="I697" i="1" s="1"/>
  <c r="E698" i="1"/>
  <c r="J698" i="1" s="1"/>
  <c r="I698" i="1" s="1"/>
  <c r="E699" i="1"/>
  <c r="J699" i="1" s="1"/>
  <c r="I699" i="1" s="1"/>
  <c r="E700" i="1"/>
  <c r="J700" i="1" s="1"/>
  <c r="E701" i="1"/>
  <c r="J701" i="1" s="1"/>
  <c r="E702" i="1"/>
  <c r="J702" i="1" s="1"/>
  <c r="E703" i="1"/>
  <c r="J703" i="1" s="1"/>
  <c r="I703" i="1" s="1"/>
  <c r="E704" i="1"/>
  <c r="J704" i="1" s="1"/>
  <c r="I704" i="1" s="1"/>
  <c r="E705" i="1"/>
  <c r="J705" i="1" s="1"/>
  <c r="I705" i="1" s="1"/>
  <c r="E706" i="1"/>
  <c r="J706" i="1" s="1"/>
  <c r="I706" i="1" s="1"/>
  <c r="E707" i="1"/>
  <c r="J707" i="1" s="1"/>
  <c r="I707" i="1" s="1"/>
  <c r="E708" i="1"/>
  <c r="J708" i="1" s="1"/>
  <c r="E709" i="1"/>
  <c r="J709" i="1" s="1"/>
  <c r="I709" i="1" s="1"/>
  <c r="E710" i="1"/>
  <c r="J710" i="1" s="1"/>
  <c r="I710" i="1" s="1"/>
  <c r="E711" i="1"/>
  <c r="J711" i="1" s="1"/>
  <c r="E712" i="1"/>
  <c r="J712" i="1" s="1"/>
  <c r="I712" i="1" s="1"/>
  <c r="E713" i="1"/>
  <c r="J713" i="1" s="1"/>
  <c r="I713" i="1" s="1"/>
  <c r="E714" i="1"/>
  <c r="J714" i="1" s="1"/>
  <c r="I714" i="1" s="1"/>
  <c r="E715" i="1"/>
  <c r="J715" i="1" s="1"/>
  <c r="I715" i="1" s="1"/>
  <c r="E716" i="1"/>
  <c r="J716" i="1" s="1"/>
  <c r="I716" i="1" s="1"/>
  <c r="E717" i="1"/>
  <c r="J717" i="1" s="1"/>
  <c r="I717" i="1" s="1"/>
  <c r="E718" i="1"/>
  <c r="J718" i="1" s="1"/>
  <c r="I718" i="1" s="1"/>
  <c r="E719" i="1"/>
  <c r="J719" i="1" s="1"/>
  <c r="E720" i="1"/>
  <c r="J720" i="1" s="1"/>
  <c r="I720" i="1" s="1"/>
  <c r="E721" i="1"/>
  <c r="J721" i="1" s="1"/>
  <c r="I721" i="1" s="1"/>
  <c r="E722" i="1"/>
  <c r="J722" i="1" s="1"/>
  <c r="I722" i="1" s="1"/>
  <c r="E723" i="1"/>
  <c r="J723" i="1" s="1"/>
  <c r="I723" i="1" s="1"/>
  <c r="E724" i="1"/>
  <c r="J724" i="1" s="1"/>
  <c r="I724" i="1" s="1"/>
  <c r="E725" i="1"/>
  <c r="J725" i="1" s="1"/>
  <c r="I725" i="1" s="1"/>
  <c r="E726" i="1"/>
  <c r="J726" i="1" s="1"/>
  <c r="I726" i="1" s="1"/>
  <c r="E727" i="1"/>
  <c r="J727" i="1" s="1"/>
  <c r="E728" i="1"/>
  <c r="J728" i="1" s="1"/>
  <c r="I728" i="1" s="1"/>
  <c r="E729" i="1"/>
  <c r="J729" i="1" s="1"/>
  <c r="I729" i="1" s="1"/>
  <c r="E730" i="1"/>
  <c r="J730" i="1" s="1"/>
  <c r="I730" i="1" s="1"/>
  <c r="E731" i="1"/>
  <c r="J731" i="1" s="1"/>
  <c r="I731" i="1" s="1"/>
  <c r="E732" i="1"/>
  <c r="J732" i="1" s="1"/>
  <c r="E733" i="1"/>
  <c r="J733" i="1" s="1"/>
  <c r="E734" i="1"/>
  <c r="J734" i="1" s="1"/>
  <c r="E735" i="1"/>
  <c r="J735" i="1" s="1"/>
  <c r="I735" i="1" s="1"/>
  <c r="E736" i="1"/>
  <c r="J736" i="1" s="1"/>
  <c r="I736" i="1" s="1"/>
  <c r="E737" i="1"/>
  <c r="J737" i="1" s="1"/>
  <c r="I737" i="1" s="1"/>
  <c r="E738" i="1"/>
  <c r="J738" i="1" s="1"/>
  <c r="I738" i="1" s="1"/>
  <c r="E740" i="1"/>
  <c r="J740" i="1" s="1"/>
  <c r="E741" i="1"/>
  <c r="J741" i="1" s="1"/>
  <c r="I741" i="1" s="1"/>
  <c r="E742" i="1"/>
  <c r="J742" i="1" s="1"/>
  <c r="I742" i="1" s="1"/>
  <c r="E743" i="1"/>
  <c r="J743" i="1" s="1"/>
  <c r="I743" i="1" s="1"/>
  <c r="E744" i="1"/>
  <c r="E745" i="1"/>
  <c r="J745" i="1" s="1"/>
  <c r="I745" i="1" s="1"/>
  <c r="E746" i="1"/>
  <c r="J746" i="1" s="1"/>
  <c r="I746" i="1" s="1"/>
  <c r="E131" i="1"/>
  <c r="J131" i="1" s="1"/>
  <c r="I131" i="1" s="1"/>
  <c r="E132" i="1"/>
  <c r="J132" i="1" s="1"/>
  <c r="I132" i="1" s="1"/>
  <c r="E133" i="1"/>
  <c r="J133" i="1" s="1"/>
  <c r="I133" i="1" s="1"/>
  <c r="E134" i="1"/>
  <c r="J134" i="1" s="1"/>
  <c r="I134" i="1" s="1"/>
  <c r="E135" i="1"/>
  <c r="J135" i="1" s="1"/>
  <c r="I135" i="1" s="1"/>
  <c r="E136" i="1"/>
  <c r="J136" i="1" s="1"/>
  <c r="I136" i="1" s="1"/>
  <c r="E137" i="1"/>
  <c r="J137" i="1" s="1"/>
  <c r="I137" i="1" s="1"/>
  <c r="E138" i="1"/>
  <c r="J138" i="1" s="1"/>
  <c r="I138" i="1" s="1"/>
  <c r="E139" i="1"/>
  <c r="J139" i="1" s="1"/>
  <c r="I139" i="1" s="1"/>
  <c r="E140" i="1"/>
  <c r="J140" i="1" s="1"/>
  <c r="I140" i="1" s="1"/>
  <c r="E141" i="1"/>
  <c r="J141" i="1" s="1"/>
  <c r="I141" i="1" s="1"/>
  <c r="E142" i="1"/>
  <c r="E143" i="1"/>
  <c r="J143" i="1" s="1"/>
  <c r="I143" i="1" s="1"/>
  <c r="E144" i="1"/>
  <c r="J144" i="1" s="1"/>
  <c r="I144" i="1" s="1"/>
  <c r="E145" i="1"/>
  <c r="J145" i="1" s="1"/>
  <c r="I145" i="1" s="1"/>
  <c r="E146" i="1"/>
  <c r="J146" i="1" s="1"/>
  <c r="I146" i="1" s="1"/>
  <c r="E147" i="1"/>
  <c r="J147" i="1" s="1"/>
  <c r="I147" i="1" s="1"/>
  <c r="E148" i="1"/>
  <c r="J148" i="1" s="1"/>
  <c r="I148" i="1" s="1"/>
  <c r="E149" i="1"/>
  <c r="J149" i="1" s="1"/>
  <c r="I149" i="1" s="1"/>
  <c r="E150" i="1"/>
  <c r="J150" i="1" s="1"/>
  <c r="I150" i="1" s="1"/>
  <c r="E151" i="1"/>
  <c r="J151" i="1" s="1"/>
  <c r="I151" i="1" s="1"/>
  <c r="E152" i="1"/>
  <c r="J152" i="1" s="1"/>
  <c r="I152" i="1" s="1"/>
  <c r="E153" i="1"/>
  <c r="J153" i="1" s="1"/>
  <c r="I153" i="1" s="1"/>
  <c r="E154" i="1"/>
  <c r="J154" i="1" s="1"/>
  <c r="I154" i="1" s="1"/>
  <c r="E155" i="1"/>
  <c r="J155" i="1" s="1"/>
  <c r="I155" i="1" s="1"/>
  <c r="E156" i="1"/>
  <c r="J156" i="1" s="1"/>
  <c r="I156" i="1" s="1"/>
  <c r="F142" i="1"/>
  <c r="F744" i="1"/>
  <c r="E739" i="1"/>
  <c r="J739" i="1" s="1"/>
  <c r="I739" i="1" s="1"/>
  <c r="F871" i="1"/>
  <c r="F857" i="1"/>
  <c r="F853" i="1"/>
  <c r="E847" i="1"/>
  <c r="J847" i="1" s="1"/>
  <c r="I847" i="1" s="1"/>
  <c r="F826" i="1"/>
  <c r="E779" i="1"/>
  <c r="J779" i="1" s="1"/>
  <c r="I779" i="1" s="1"/>
  <c r="F623" i="1"/>
  <c r="F608" i="1"/>
  <c r="E585" i="1"/>
  <c r="J585" i="1" s="1"/>
  <c r="I585" i="1" s="1"/>
  <c r="E579" i="1"/>
  <c r="F555" i="1"/>
  <c r="F497" i="1"/>
  <c r="E495" i="1"/>
  <c r="F460" i="1"/>
  <c r="F445" i="1"/>
  <c r="F404" i="1"/>
  <c r="F403" i="1"/>
  <c r="F400" i="1"/>
  <c r="E397" i="1"/>
  <c r="J397" i="1" s="1"/>
  <c r="I397" i="1" s="1"/>
  <c r="F377" i="1"/>
  <c r="I8" i="1" l="1"/>
  <c r="I16" i="1"/>
  <c r="I24" i="1"/>
  <c r="I32" i="1"/>
  <c r="I40" i="1"/>
  <c r="I48" i="1"/>
  <c r="I56" i="1"/>
  <c r="I64" i="1"/>
  <c r="I72" i="1"/>
  <c r="I80" i="1"/>
  <c r="I88" i="1"/>
  <c r="I96" i="1"/>
  <c r="I104" i="1"/>
  <c r="I112" i="1"/>
  <c r="I120" i="1"/>
  <c r="I934" i="1"/>
  <c r="I225" i="1"/>
  <c r="I129" i="1"/>
  <c r="I470" i="1"/>
  <c r="I486" i="1"/>
  <c r="I672" i="1"/>
  <c r="I9" i="1"/>
  <c r="I17" i="1"/>
  <c r="I25" i="1"/>
  <c r="I33" i="1"/>
  <c r="I41" i="1"/>
  <c r="I49" i="1"/>
  <c r="I57" i="1"/>
  <c r="I65" i="1"/>
  <c r="I73" i="1"/>
  <c r="I81" i="1"/>
  <c r="I89" i="1"/>
  <c r="I97" i="1"/>
  <c r="I105" i="1"/>
  <c r="I113" i="1"/>
  <c r="I121" i="1"/>
  <c r="I911" i="1"/>
  <c r="I122" i="1"/>
  <c r="I130" i="1"/>
  <c r="I673" i="1"/>
  <c r="H579" i="1"/>
  <c r="J579" i="1"/>
  <c r="I579" i="1" s="1"/>
  <c r="H495" i="1"/>
  <c r="J495" i="1"/>
  <c r="I495" i="1" s="1"/>
  <c r="J744" i="1"/>
  <c r="I744" i="1" s="1"/>
  <c r="J871" i="1"/>
  <c r="I871" i="1" s="1"/>
  <c r="J142" i="1"/>
  <c r="I142" i="1" s="1"/>
  <c r="J826" i="1"/>
  <c r="I826" i="1" s="1"/>
  <c r="J555" i="1"/>
  <c r="I555" i="1" s="1"/>
  <c r="J460" i="1"/>
  <c r="I460" i="1" s="1"/>
  <c r="J404" i="1"/>
  <c r="I404" i="1" s="1"/>
  <c r="J400" i="1"/>
  <c r="I400" i="1" s="1"/>
  <c r="J608" i="1"/>
  <c r="I608" i="1" s="1"/>
  <c r="J403" i="1"/>
  <c r="I403" i="1" s="1"/>
  <c r="I7" i="1"/>
  <c r="I15" i="1"/>
  <c r="I23" i="1"/>
  <c r="I31" i="1"/>
  <c r="I39" i="1"/>
  <c r="I47" i="1"/>
  <c r="I55" i="1"/>
  <c r="I63" i="1"/>
  <c r="I71" i="1"/>
  <c r="I79" i="1"/>
  <c r="I87" i="1"/>
  <c r="I95" i="1"/>
  <c r="I103" i="1"/>
  <c r="I111" i="1"/>
  <c r="I119" i="1"/>
  <c r="I901" i="1"/>
  <c r="I909" i="1"/>
  <c r="I917" i="1"/>
  <c r="I224" i="1"/>
  <c r="I128" i="1"/>
  <c r="J857" i="1"/>
  <c r="I857" i="1" s="1"/>
  <c r="J853" i="1"/>
  <c r="I853" i="1" s="1"/>
  <c r="J623" i="1"/>
  <c r="I623" i="1" s="1"/>
  <c r="J497" i="1"/>
  <c r="I497" i="1" s="1"/>
  <c r="J377" i="1"/>
  <c r="I377" i="1" s="1"/>
  <c r="J445" i="1"/>
  <c r="I445" i="1" s="1"/>
  <c r="I3" i="1"/>
  <c r="I11" i="1"/>
  <c r="I19" i="1"/>
  <c r="I27" i="1"/>
  <c r="I35" i="1"/>
  <c r="I43" i="1"/>
  <c r="I51" i="1"/>
  <c r="I59" i="1"/>
  <c r="I67" i="1"/>
  <c r="I75" i="1"/>
  <c r="I83" i="1"/>
  <c r="I91" i="1"/>
  <c r="I99" i="1"/>
  <c r="I107" i="1"/>
  <c r="I115" i="1"/>
  <c r="I124" i="1"/>
  <c r="I465" i="1"/>
  <c r="I481" i="1"/>
  <c r="I489" i="1"/>
  <c r="I675" i="1"/>
  <c r="J226" i="1"/>
  <c r="H154" i="1"/>
  <c r="H150" i="1"/>
  <c r="H146" i="1"/>
  <c r="H142" i="1"/>
  <c r="H138" i="1"/>
  <c r="H134" i="1"/>
  <c r="H746" i="1"/>
  <c r="H742" i="1"/>
  <c r="H738" i="1"/>
  <c r="H730" i="1"/>
  <c r="H726" i="1"/>
  <c r="H722" i="1"/>
  <c r="H714" i="1"/>
  <c r="H710" i="1"/>
  <c r="H706" i="1"/>
  <c r="H698" i="1"/>
  <c r="H694" i="1"/>
  <c r="H690" i="1"/>
  <c r="I690" i="1" s="1"/>
  <c r="H219" i="1"/>
  <c r="I219" i="1" s="1"/>
  <c r="H215" i="1"/>
  <c r="I215" i="1" s="1"/>
  <c r="H211" i="1"/>
  <c r="I211" i="1" s="1"/>
  <c r="H203" i="1"/>
  <c r="I203" i="1" s="1"/>
  <c r="H199" i="1"/>
  <c r="I199" i="1" s="1"/>
  <c r="H195" i="1"/>
  <c r="I195" i="1" s="1"/>
  <c r="H187" i="1"/>
  <c r="I187" i="1" s="1"/>
  <c r="H183" i="1"/>
  <c r="H179" i="1"/>
  <c r="I179" i="1" s="1"/>
  <c r="H171" i="1"/>
  <c r="H167" i="1"/>
  <c r="I167" i="1" s="1"/>
  <c r="H871" i="1"/>
  <c r="H863" i="1"/>
  <c r="I863" i="1" s="1"/>
  <c r="H859" i="1"/>
  <c r="H855" i="1"/>
  <c r="I855" i="1" s="1"/>
  <c r="H847" i="1"/>
  <c r="H843" i="1"/>
  <c r="H839" i="1"/>
  <c r="I839" i="1" s="1"/>
  <c r="H831" i="1"/>
  <c r="H827" i="1"/>
  <c r="I827" i="1" s="1"/>
  <c r="H823" i="1"/>
  <c r="I823" i="1" s="1"/>
  <c r="H815" i="1"/>
  <c r="H811" i="1"/>
  <c r="H807" i="1"/>
  <c r="H799" i="1"/>
  <c r="H795" i="1"/>
  <c r="H791" i="1"/>
  <c r="I791" i="1" s="1"/>
  <c r="H783" i="1"/>
  <c r="I783" i="1" s="1"/>
  <c r="H779" i="1"/>
  <c r="H775" i="1"/>
  <c r="I775" i="1" s="1"/>
  <c r="H767" i="1"/>
  <c r="I767" i="1" s="1"/>
  <c r="H763" i="1"/>
  <c r="I763" i="1" s="1"/>
  <c r="H759" i="1"/>
  <c r="I759" i="1" s="1"/>
  <c r="H667" i="1"/>
  <c r="I667" i="1" s="1"/>
  <c r="H663" i="1"/>
  <c r="I663" i="1" s="1"/>
  <c r="H659" i="1"/>
  <c r="I659" i="1" s="1"/>
  <c r="H651" i="1"/>
  <c r="H647" i="1"/>
  <c r="I647" i="1" s="1"/>
  <c r="H643" i="1"/>
  <c r="I643" i="1" s="1"/>
  <c r="H635" i="1"/>
  <c r="H631" i="1"/>
  <c r="I631" i="1" s="1"/>
  <c r="H627" i="1"/>
  <c r="H619" i="1"/>
  <c r="H615" i="1"/>
  <c r="I615" i="1" s="1"/>
  <c r="H611" i="1"/>
  <c r="I611" i="1" s="1"/>
  <c r="H603" i="1"/>
  <c r="I603" i="1" s="1"/>
  <c r="H599" i="1"/>
  <c r="I599" i="1" s="1"/>
  <c r="H595" i="1"/>
  <c r="I595" i="1" s="1"/>
  <c r="H587" i="1"/>
  <c r="I587" i="1" s="1"/>
  <c r="H583" i="1"/>
  <c r="I583" i="1" s="1"/>
  <c r="H571" i="1"/>
  <c r="I571" i="1" s="1"/>
  <c r="H567" i="1"/>
  <c r="I567" i="1" s="1"/>
  <c r="H563" i="1"/>
  <c r="I563" i="1" s="1"/>
  <c r="H555" i="1"/>
  <c r="H551" i="1"/>
  <c r="I551" i="1" s="1"/>
  <c r="H547" i="1"/>
  <c r="I547" i="1" s="1"/>
  <c r="H539" i="1"/>
  <c r="I539" i="1" s="1"/>
  <c r="H535" i="1"/>
  <c r="I535" i="1" s="1"/>
  <c r="H531" i="1"/>
  <c r="I531" i="1" s="1"/>
  <c r="H523" i="1"/>
  <c r="I523" i="1" s="1"/>
  <c r="H519" i="1"/>
  <c r="I519" i="1" s="1"/>
  <c r="H515" i="1"/>
  <c r="I515" i="1" s="1"/>
  <c r="H507" i="1"/>
  <c r="I507" i="1" s="1"/>
  <c r="H503" i="1"/>
  <c r="I503" i="1" s="1"/>
  <c r="H453" i="1"/>
  <c r="I453" i="1" s="1"/>
  <c r="H445" i="1"/>
  <c r="H437" i="1"/>
  <c r="H421" i="1"/>
  <c r="I421" i="1" s="1"/>
  <c r="H153" i="1"/>
  <c r="H149" i="1"/>
  <c r="H145" i="1"/>
  <c r="H141" i="1"/>
  <c r="H137" i="1"/>
  <c r="H133" i="1"/>
  <c r="H741" i="1"/>
  <c r="H737" i="1"/>
  <c r="H733" i="1"/>
  <c r="I733" i="1" s="1"/>
  <c r="H725" i="1"/>
  <c r="H721" i="1"/>
  <c r="H717" i="1"/>
  <c r="H709" i="1"/>
  <c r="H705" i="1"/>
  <c r="H701" i="1"/>
  <c r="I701" i="1" s="1"/>
  <c r="H693" i="1"/>
  <c r="I693" i="1" s="1"/>
  <c r="H689" i="1"/>
  <c r="H222" i="1"/>
  <c r="I222" i="1" s="1"/>
  <c r="H214" i="1"/>
  <c r="I214" i="1" s="1"/>
  <c r="H210" i="1"/>
  <c r="I210" i="1" s="1"/>
  <c r="H206" i="1"/>
  <c r="H198" i="1"/>
  <c r="I198" i="1" s="1"/>
  <c r="H194" i="1"/>
  <c r="I194" i="1" s="1"/>
  <c r="H190" i="1"/>
  <c r="I190" i="1" s="1"/>
  <c r="H182" i="1"/>
  <c r="I182" i="1" s="1"/>
  <c r="H178" i="1"/>
  <c r="I178" i="1" s="1"/>
  <c r="H174" i="1"/>
  <c r="H166" i="1"/>
  <c r="I166" i="1" s="1"/>
  <c r="H870" i="1"/>
  <c r="I870" i="1" s="1"/>
  <c r="H866" i="1"/>
  <c r="H858" i="1"/>
  <c r="I858" i="1" s="1"/>
  <c r="H854" i="1"/>
  <c r="I854" i="1" s="1"/>
  <c r="H850" i="1"/>
  <c r="I850" i="1" s="1"/>
  <c r="H842" i="1"/>
  <c r="H838" i="1"/>
  <c r="I838" i="1" s="1"/>
  <c r="H834" i="1"/>
  <c r="H826" i="1"/>
  <c r="H822" i="1"/>
  <c r="I822" i="1" s="1"/>
  <c r="H818" i="1"/>
  <c r="H810" i="1"/>
  <c r="H806" i="1"/>
  <c r="I806" i="1" s="1"/>
  <c r="H802" i="1"/>
  <c r="I802" i="1" s="1"/>
  <c r="H794" i="1"/>
  <c r="H790" i="1"/>
  <c r="I790" i="1" s="1"/>
  <c r="H786" i="1"/>
  <c r="H778" i="1"/>
  <c r="H774" i="1"/>
  <c r="I774" i="1" s="1"/>
  <c r="H770" i="1"/>
  <c r="H762" i="1"/>
  <c r="H758" i="1"/>
  <c r="H754" i="1"/>
  <c r="I754" i="1" s="1"/>
  <c r="H662" i="1"/>
  <c r="I662" i="1" s="1"/>
  <c r="H658" i="1"/>
  <c r="I658" i="1" s="1"/>
  <c r="H654" i="1"/>
  <c r="H646" i="1"/>
  <c r="I646" i="1" s="1"/>
  <c r="H642" i="1"/>
  <c r="I642" i="1" s="1"/>
  <c r="H638" i="1"/>
  <c r="I638" i="1" s="1"/>
  <c r="H630" i="1"/>
  <c r="I630" i="1" s="1"/>
  <c r="H626" i="1"/>
  <c r="H622" i="1"/>
  <c r="I622" i="1" s="1"/>
  <c r="H614" i="1"/>
  <c r="I614" i="1" s="1"/>
  <c r="H610" i="1"/>
  <c r="I610" i="1" s="1"/>
  <c r="H606" i="1"/>
  <c r="I606" i="1" s="1"/>
  <c r="H598" i="1"/>
  <c r="I598" i="1" s="1"/>
  <c r="H594" i="1"/>
  <c r="I594" i="1" s="1"/>
  <c r="H590" i="1"/>
  <c r="I590" i="1" s="1"/>
  <c r="H582" i="1"/>
  <c r="I582" i="1" s="1"/>
  <c r="H578" i="1"/>
  <c r="I578" i="1" s="1"/>
  <c r="H574" i="1"/>
  <c r="I574" i="1" s="1"/>
  <c r="H566" i="1"/>
  <c r="I566" i="1" s="1"/>
  <c r="H562" i="1"/>
  <c r="I562" i="1" s="1"/>
  <c r="H558" i="1"/>
  <c r="I558" i="1" s="1"/>
  <c r="H550" i="1"/>
  <c r="I550" i="1" s="1"/>
  <c r="H546" i="1"/>
  <c r="I546" i="1" s="1"/>
  <c r="H542" i="1"/>
  <c r="I542" i="1" s="1"/>
  <c r="H534" i="1"/>
  <c r="I534" i="1" s="1"/>
  <c r="H530" i="1"/>
  <c r="I530" i="1" s="1"/>
  <c r="H526" i="1"/>
  <c r="I526" i="1" s="1"/>
  <c r="H518" i="1"/>
  <c r="I518" i="1" s="1"/>
  <c r="H514" i="1"/>
  <c r="I514" i="1" s="1"/>
  <c r="H510" i="1"/>
  <c r="I510" i="1" s="1"/>
  <c r="H502" i="1"/>
  <c r="I502" i="1" s="1"/>
  <c r="H155" i="1"/>
  <c r="H151" i="1"/>
  <c r="H147" i="1"/>
  <c r="H143" i="1"/>
  <c r="H139" i="1"/>
  <c r="H135" i="1"/>
  <c r="H131" i="1"/>
  <c r="H743" i="1"/>
  <c r="H735" i="1"/>
  <c r="H731" i="1"/>
  <c r="H727" i="1"/>
  <c r="I727" i="1" s="1"/>
  <c r="H719" i="1"/>
  <c r="I719" i="1" s="1"/>
  <c r="H715" i="1"/>
  <c r="H711" i="1"/>
  <c r="I711" i="1" s="1"/>
  <c r="H703" i="1"/>
  <c r="H699" i="1"/>
  <c r="H695" i="1"/>
  <c r="H687" i="1"/>
  <c r="H220" i="1"/>
  <c r="I220" i="1" s="1"/>
  <c r="H216" i="1"/>
  <c r="I216" i="1" s="1"/>
  <c r="H208" i="1"/>
  <c r="H204" i="1"/>
  <c r="I204" i="1" s="1"/>
  <c r="H200" i="1"/>
  <c r="I200" i="1" s="1"/>
  <c r="H192" i="1"/>
  <c r="I192" i="1" s="1"/>
  <c r="H188" i="1"/>
  <c r="I188" i="1" s="1"/>
  <c r="H184" i="1"/>
  <c r="I184" i="1" s="1"/>
  <c r="H176" i="1"/>
  <c r="I176" i="1" s="1"/>
  <c r="H172" i="1"/>
  <c r="I172" i="1" s="1"/>
  <c r="H168" i="1"/>
  <c r="I168" i="1" s="1"/>
  <c r="H868" i="1"/>
  <c r="H864" i="1"/>
  <c r="H860" i="1"/>
  <c r="I860" i="1" s="1"/>
  <c r="H852" i="1"/>
  <c r="I852" i="1" s="1"/>
  <c r="H848" i="1"/>
  <c r="I848" i="1" s="1"/>
  <c r="H844" i="1"/>
  <c r="H836" i="1"/>
  <c r="I836" i="1" s="1"/>
  <c r="H832" i="1"/>
  <c r="I832" i="1" s="1"/>
  <c r="H828" i="1"/>
  <c r="H820" i="1"/>
  <c r="I820" i="1" s="1"/>
  <c r="H816" i="1"/>
  <c r="I816" i="1" s="1"/>
  <c r="H812" i="1"/>
  <c r="H804" i="1"/>
  <c r="I804" i="1" s="1"/>
  <c r="H800" i="1"/>
  <c r="H796" i="1"/>
  <c r="H788" i="1"/>
  <c r="I788" i="1" s="1"/>
  <c r="H784" i="1"/>
  <c r="H780" i="1"/>
  <c r="H772" i="1"/>
  <c r="H768" i="1"/>
  <c r="H764" i="1"/>
  <c r="H756" i="1"/>
  <c r="I756" i="1" s="1"/>
  <c r="H752" i="1"/>
  <c r="H664" i="1"/>
  <c r="I664" i="1" s="1"/>
  <c r="H656" i="1"/>
  <c r="I656" i="1" s="1"/>
  <c r="H652" i="1"/>
  <c r="I652" i="1" s="1"/>
  <c r="H648" i="1"/>
  <c r="I648" i="1" s="1"/>
  <c r="H640" i="1"/>
  <c r="H636" i="1"/>
  <c r="I636" i="1" s="1"/>
  <c r="H632" i="1"/>
  <c r="H624" i="1"/>
  <c r="I624" i="1" s="1"/>
  <c r="H620" i="1"/>
  <c r="I620" i="1" s="1"/>
  <c r="H616" i="1"/>
  <c r="I616" i="1" s="1"/>
  <c r="H608" i="1"/>
  <c r="H604" i="1"/>
  <c r="I604" i="1" s="1"/>
  <c r="H600" i="1"/>
  <c r="I600" i="1" s="1"/>
  <c r="H592" i="1"/>
  <c r="I592" i="1" s="1"/>
  <c r="H588" i="1"/>
  <c r="I588" i="1" s="1"/>
  <c r="H584" i="1"/>
  <c r="I584" i="1" s="1"/>
  <c r="H576" i="1"/>
  <c r="I576" i="1" s="1"/>
  <c r="H572" i="1"/>
  <c r="I572" i="1" s="1"/>
  <c r="H568" i="1"/>
  <c r="I568" i="1" s="1"/>
  <c r="H560" i="1"/>
  <c r="I560" i="1" s="1"/>
  <c r="H556" i="1"/>
  <c r="H552" i="1"/>
  <c r="I552" i="1" s="1"/>
  <c r="H544" i="1"/>
  <c r="I544" i="1" s="1"/>
  <c r="H540" i="1"/>
  <c r="I540" i="1" s="1"/>
  <c r="H536" i="1"/>
  <c r="I536" i="1" s="1"/>
  <c r="H528" i="1"/>
  <c r="I528" i="1" s="1"/>
  <c r="H524" i="1"/>
  <c r="I524" i="1" s="1"/>
  <c r="H520" i="1"/>
  <c r="I520" i="1" s="1"/>
  <c r="H512" i="1"/>
  <c r="I512" i="1" s="1"/>
  <c r="H508" i="1"/>
  <c r="I508" i="1" s="1"/>
  <c r="H504" i="1"/>
  <c r="H496" i="1"/>
  <c r="I496" i="1" s="1"/>
  <c r="H462" i="1"/>
  <c r="H381" i="1"/>
  <c r="H341" i="1"/>
  <c r="I341" i="1" s="1"/>
  <c r="H293" i="1"/>
  <c r="I293" i="1" s="1"/>
  <c r="H253" i="1"/>
  <c r="I253" i="1" s="1"/>
  <c r="H226" i="1"/>
  <c r="I226" i="1" s="1"/>
  <c r="H413" i="1"/>
  <c r="H373" i="1"/>
  <c r="H325" i="1"/>
  <c r="H285" i="1"/>
  <c r="H245" i="1"/>
  <c r="I245" i="1" s="1"/>
  <c r="H405" i="1"/>
  <c r="H357" i="1"/>
  <c r="H317" i="1"/>
  <c r="H277" i="1"/>
  <c r="I277" i="1" s="1"/>
  <c r="H389" i="1"/>
  <c r="H349" i="1"/>
  <c r="H309" i="1"/>
  <c r="H261" i="1"/>
  <c r="I261" i="1" s="1"/>
  <c r="H745" i="1"/>
  <c r="H739" i="1"/>
  <c r="H734" i="1"/>
  <c r="I734" i="1" s="1"/>
  <c r="H729" i="1"/>
  <c r="H723" i="1"/>
  <c r="H718" i="1"/>
  <c r="H713" i="1"/>
  <c r="H707" i="1"/>
  <c r="H702" i="1"/>
  <c r="I702" i="1" s="1"/>
  <c r="H697" i="1"/>
  <c r="H691" i="1"/>
  <c r="H223" i="1"/>
  <c r="I223" i="1" s="1"/>
  <c r="H218" i="1"/>
  <c r="I218" i="1" s="1"/>
  <c r="H212" i="1"/>
  <c r="I212" i="1" s="1"/>
  <c r="H207" i="1"/>
  <c r="I207" i="1" s="1"/>
  <c r="H202" i="1"/>
  <c r="I202" i="1" s="1"/>
  <c r="H196" i="1"/>
  <c r="I196" i="1" s="1"/>
  <c r="H191" i="1"/>
  <c r="I191" i="1" s="1"/>
  <c r="H186" i="1"/>
  <c r="I186" i="1" s="1"/>
  <c r="H180" i="1"/>
  <c r="I180" i="1" s="1"/>
  <c r="H175" i="1"/>
  <c r="I175" i="1" s="1"/>
  <c r="H170" i="1"/>
  <c r="H164" i="1"/>
  <c r="H867" i="1"/>
  <c r="I867" i="1" s="1"/>
  <c r="H862" i="1"/>
  <c r="H856" i="1"/>
  <c r="H851" i="1"/>
  <c r="H846" i="1"/>
  <c r="H840" i="1"/>
  <c r="H835" i="1"/>
  <c r="H830" i="1"/>
  <c r="I830" i="1" s="1"/>
  <c r="H824" i="1"/>
  <c r="I824" i="1" s="1"/>
  <c r="H819" i="1"/>
  <c r="I819" i="1" s="1"/>
  <c r="H814" i="1"/>
  <c r="H808" i="1"/>
  <c r="H803" i="1"/>
  <c r="I803" i="1" s="1"/>
  <c r="H798" i="1"/>
  <c r="I798" i="1" s="1"/>
  <c r="H792" i="1"/>
  <c r="I792" i="1" s="1"/>
  <c r="H787" i="1"/>
  <c r="H782" i="1"/>
  <c r="H776" i="1"/>
  <c r="H771" i="1"/>
  <c r="H766" i="1"/>
  <c r="I766" i="1" s="1"/>
  <c r="H760" i="1"/>
  <c r="I760" i="1" s="1"/>
  <c r="H755" i="1"/>
  <c r="I755" i="1" s="1"/>
  <c r="H666" i="1"/>
  <c r="I666" i="1" s="1"/>
  <c r="H660" i="1"/>
  <c r="H655" i="1"/>
  <c r="H650" i="1"/>
  <c r="H644" i="1"/>
  <c r="H639" i="1"/>
  <c r="I639" i="1" s="1"/>
  <c r="H634" i="1"/>
  <c r="I634" i="1" s="1"/>
  <c r="H628" i="1"/>
  <c r="I628" i="1" s="1"/>
  <c r="H623" i="1"/>
  <c r="H618" i="1"/>
  <c r="H612" i="1"/>
  <c r="I612" i="1" s="1"/>
  <c r="H607" i="1"/>
  <c r="I607" i="1" s="1"/>
  <c r="H602" i="1"/>
  <c r="H596" i="1"/>
  <c r="I596" i="1" s="1"/>
  <c r="H591" i="1"/>
  <c r="H586" i="1"/>
  <c r="I586" i="1" s="1"/>
  <c r="H580" i="1"/>
  <c r="I580" i="1" s="1"/>
  <c r="H575" i="1"/>
  <c r="I575" i="1" s="1"/>
  <c r="H570" i="1"/>
  <c r="I570" i="1" s="1"/>
  <c r="H564" i="1"/>
  <c r="H559" i="1"/>
  <c r="I559" i="1" s="1"/>
  <c r="H554" i="1"/>
  <c r="I554" i="1" s="1"/>
  <c r="H548" i="1"/>
  <c r="I548" i="1" s="1"/>
  <c r="H543" i="1"/>
  <c r="I543" i="1" s="1"/>
  <c r="H538" i="1"/>
  <c r="I538" i="1" s="1"/>
  <c r="H532" i="1"/>
  <c r="I532" i="1" s="1"/>
  <c r="H527" i="1"/>
  <c r="I527" i="1" s="1"/>
  <c r="H522" i="1"/>
  <c r="I522" i="1" s="1"/>
  <c r="H516" i="1"/>
  <c r="H511" i="1"/>
  <c r="H506" i="1"/>
  <c r="I506" i="1" s="1"/>
  <c r="H499" i="1"/>
  <c r="I499" i="1" s="1"/>
  <c r="H461" i="1"/>
  <c r="I461" i="1" s="1"/>
  <c r="H429" i="1"/>
  <c r="H397" i="1"/>
  <c r="H365" i="1"/>
  <c r="H333" i="1"/>
  <c r="H301" i="1"/>
  <c r="I301" i="1" s="1"/>
  <c r="H269" i="1"/>
  <c r="I269" i="1" s="1"/>
  <c r="H237" i="1"/>
  <c r="H156" i="1"/>
  <c r="H152" i="1"/>
  <c r="H148" i="1"/>
  <c r="H144" i="1"/>
  <c r="H140" i="1"/>
  <c r="H136" i="1"/>
  <c r="H132" i="1"/>
  <c r="H744" i="1"/>
  <c r="H740" i="1"/>
  <c r="I740" i="1" s="1"/>
  <c r="H736" i="1"/>
  <c r="H732" i="1"/>
  <c r="I732" i="1" s="1"/>
  <c r="H728" i="1"/>
  <c r="H724" i="1"/>
  <c r="H720" i="1"/>
  <c r="H716" i="1"/>
  <c r="H712" i="1"/>
  <c r="H708" i="1"/>
  <c r="I708" i="1" s="1"/>
  <c r="H704" i="1"/>
  <c r="H700" i="1"/>
  <c r="I700" i="1" s="1"/>
  <c r="H696" i="1"/>
  <c r="H692" i="1"/>
  <c r="H688" i="1"/>
  <c r="H221" i="1"/>
  <c r="I221" i="1" s="1"/>
  <c r="H217" i="1"/>
  <c r="I217" i="1" s="1"/>
  <c r="H213" i="1"/>
  <c r="I213" i="1" s="1"/>
  <c r="H209" i="1"/>
  <c r="I209" i="1" s="1"/>
  <c r="H205" i="1"/>
  <c r="I205" i="1" s="1"/>
  <c r="H201" i="1"/>
  <c r="I201" i="1" s="1"/>
  <c r="H197" i="1"/>
  <c r="I197" i="1" s="1"/>
  <c r="H193" i="1"/>
  <c r="I193" i="1" s="1"/>
  <c r="H189" i="1"/>
  <c r="I189" i="1" s="1"/>
  <c r="H185" i="1"/>
  <c r="I185" i="1" s="1"/>
  <c r="H181" i="1"/>
  <c r="I181" i="1" s="1"/>
  <c r="H177" i="1"/>
  <c r="H173" i="1"/>
  <c r="I173" i="1" s="1"/>
  <c r="H169" i="1"/>
  <c r="I169" i="1" s="1"/>
  <c r="H165" i="1"/>
  <c r="I165" i="1" s="1"/>
  <c r="H869" i="1"/>
  <c r="H865" i="1"/>
  <c r="H861" i="1"/>
  <c r="H857" i="1"/>
  <c r="H853" i="1"/>
  <c r="H849" i="1"/>
  <c r="I849" i="1" s="1"/>
  <c r="H845" i="1"/>
  <c r="I845" i="1" s="1"/>
  <c r="H841" i="1"/>
  <c r="I841" i="1" s="1"/>
  <c r="H837" i="1"/>
  <c r="H833" i="1"/>
  <c r="I833" i="1" s="1"/>
  <c r="H829" i="1"/>
  <c r="H825" i="1"/>
  <c r="H821" i="1"/>
  <c r="I821" i="1" s="1"/>
  <c r="H817" i="1"/>
  <c r="I817" i="1" s="1"/>
  <c r="H813" i="1"/>
  <c r="H809" i="1"/>
  <c r="H805" i="1"/>
  <c r="H801" i="1"/>
  <c r="H797" i="1"/>
  <c r="H793" i="1"/>
  <c r="H789" i="1"/>
  <c r="H785" i="1"/>
  <c r="I785" i="1" s="1"/>
  <c r="H781" i="1"/>
  <c r="I781" i="1" s="1"/>
  <c r="H777" i="1"/>
  <c r="H773" i="1"/>
  <c r="I773" i="1" s="1"/>
  <c r="H769" i="1"/>
  <c r="H765" i="1"/>
  <c r="H761" i="1"/>
  <c r="I761" i="1" s="1"/>
  <c r="H757" i="1"/>
  <c r="I757" i="1" s="1"/>
  <c r="H753" i="1"/>
  <c r="I753" i="1" s="1"/>
  <c r="H665" i="1"/>
  <c r="I665" i="1" s="1"/>
  <c r="H661" i="1"/>
  <c r="H657" i="1"/>
  <c r="I657" i="1" s="1"/>
  <c r="H653" i="1"/>
  <c r="H649" i="1"/>
  <c r="H645" i="1"/>
  <c r="I645" i="1" s="1"/>
  <c r="H641" i="1"/>
  <c r="H637" i="1"/>
  <c r="H633" i="1"/>
  <c r="I633" i="1" s="1"/>
  <c r="H629" i="1"/>
  <c r="I629" i="1" s="1"/>
  <c r="H625" i="1"/>
  <c r="I625" i="1" s="1"/>
  <c r="H621" i="1"/>
  <c r="H617" i="1"/>
  <c r="I617" i="1" s="1"/>
  <c r="H613" i="1"/>
  <c r="I613" i="1" s="1"/>
  <c r="H609" i="1"/>
  <c r="I609" i="1" s="1"/>
  <c r="H605" i="1"/>
  <c r="I605" i="1" s="1"/>
  <c r="H601" i="1"/>
  <c r="I601" i="1" s="1"/>
  <c r="H597" i="1"/>
  <c r="I597" i="1" s="1"/>
  <c r="H593" i="1"/>
  <c r="I593" i="1" s="1"/>
  <c r="H589" i="1"/>
  <c r="I589" i="1" s="1"/>
  <c r="H585" i="1"/>
  <c r="H581" i="1"/>
  <c r="I581" i="1" s="1"/>
  <c r="H577" i="1"/>
  <c r="I577" i="1" s="1"/>
  <c r="H573" i="1"/>
  <c r="H569" i="1"/>
  <c r="I569" i="1" s="1"/>
  <c r="H565" i="1"/>
  <c r="I565" i="1" s="1"/>
  <c r="H561" i="1"/>
  <c r="I561" i="1" s="1"/>
  <c r="H557" i="1"/>
  <c r="I557" i="1" s="1"/>
  <c r="H553" i="1"/>
  <c r="I553" i="1" s="1"/>
  <c r="H549" i="1"/>
  <c r="I549" i="1" s="1"/>
  <c r="H545" i="1"/>
  <c r="I545" i="1" s="1"/>
  <c r="H541" i="1"/>
  <c r="I541" i="1" s="1"/>
  <c r="H537" i="1"/>
  <c r="I537" i="1" s="1"/>
  <c r="H533" i="1"/>
  <c r="I533" i="1" s="1"/>
  <c r="H529" i="1"/>
  <c r="I529" i="1" s="1"/>
  <c r="H525" i="1"/>
  <c r="I525" i="1" s="1"/>
  <c r="H521" i="1"/>
  <c r="I521" i="1" s="1"/>
  <c r="H517" i="1"/>
  <c r="I517" i="1" s="1"/>
  <c r="H513" i="1"/>
  <c r="I513" i="1" s="1"/>
  <c r="H509" i="1"/>
  <c r="I509" i="1" s="1"/>
  <c r="H505" i="1"/>
  <c r="H501" i="1"/>
  <c r="I501" i="1" s="1"/>
  <c r="H500" i="1"/>
  <c r="I500" i="1" s="1"/>
  <c r="H498" i="1"/>
  <c r="H497" i="1"/>
  <c r="H494" i="1"/>
  <c r="H493" i="1"/>
  <c r="H492" i="1"/>
  <c r="I492" i="1" s="1"/>
  <c r="H491" i="1"/>
  <c r="I491" i="1" s="1"/>
  <c r="H490" i="1"/>
  <c r="I490" i="1" s="1"/>
  <c r="H463" i="1"/>
  <c r="H460" i="1"/>
  <c r="H459" i="1"/>
  <c r="I459" i="1" s="1"/>
  <c r="H458" i="1"/>
  <c r="H457" i="1"/>
  <c r="H456" i="1"/>
  <c r="H455" i="1"/>
  <c r="H454" i="1"/>
  <c r="H452" i="1"/>
  <c r="I452" i="1" s="1"/>
  <c r="H451" i="1"/>
  <c r="H450" i="1"/>
  <c r="H449" i="1"/>
  <c r="H448" i="1"/>
  <c r="I448" i="1" s="1"/>
  <c r="H447" i="1"/>
  <c r="I447" i="1" s="1"/>
  <c r="H446" i="1"/>
  <c r="H444" i="1"/>
  <c r="H443" i="1"/>
  <c r="H442" i="1"/>
  <c r="H441" i="1"/>
  <c r="I441" i="1" s="1"/>
  <c r="H440" i="1"/>
  <c r="I440" i="1" s="1"/>
  <c r="H439" i="1"/>
  <c r="H438" i="1"/>
  <c r="H436" i="1"/>
  <c r="H435" i="1"/>
  <c r="I435" i="1" s="1"/>
  <c r="H434" i="1"/>
  <c r="H433" i="1"/>
  <c r="H432" i="1"/>
  <c r="H431" i="1"/>
  <c r="H430" i="1"/>
  <c r="H428" i="1"/>
  <c r="H427" i="1"/>
  <c r="H426" i="1"/>
  <c r="H425" i="1"/>
  <c r="H424" i="1"/>
  <c r="H423" i="1"/>
  <c r="H422" i="1"/>
  <c r="H420" i="1"/>
  <c r="H419" i="1"/>
  <c r="H418" i="1"/>
  <c r="I418" i="1" s="1"/>
  <c r="H417" i="1"/>
  <c r="H416" i="1"/>
  <c r="H415" i="1"/>
  <c r="H414" i="1"/>
  <c r="H412" i="1"/>
  <c r="H411" i="1"/>
  <c r="H410" i="1"/>
  <c r="I410" i="1" s="1"/>
  <c r="H409" i="1"/>
  <c r="I409" i="1" s="1"/>
  <c r="H408" i="1"/>
  <c r="I408" i="1" s="1"/>
  <c r="H407" i="1"/>
  <c r="I407" i="1" s="1"/>
  <c r="H406" i="1"/>
  <c r="I406" i="1" s="1"/>
  <c r="H404" i="1"/>
  <c r="H403" i="1"/>
  <c r="H402" i="1"/>
  <c r="I402" i="1" s="1"/>
  <c r="H401" i="1"/>
  <c r="H400" i="1"/>
  <c r="H399" i="1"/>
  <c r="H398" i="1"/>
  <c r="I398" i="1" s="1"/>
  <c r="H396" i="1"/>
  <c r="H395" i="1"/>
  <c r="H394" i="1"/>
  <c r="I394" i="1" s="1"/>
  <c r="H393" i="1"/>
  <c r="I393" i="1" s="1"/>
  <c r="H392" i="1"/>
  <c r="H391" i="1"/>
  <c r="I391" i="1" s="1"/>
  <c r="H390" i="1"/>
  <c r="H388" i="1"/>
  <c r="H387" i="1"/>
  <c r="H386" i="1"/>
  <c r="H385" i="1"/>
  <c r="H384" i="1"/>
  <c r="H383" i="1"/>
  <c r="H382" i="1"/>
  <c r="I382" i="1" s="1"/>
  <c r="H380" i="1"/>
  <c r="I380" i="1" s="1"/>
  <c r="H379" i="1"/>
  <c r="H378" i="1"/>
  <c r="H377" i="1"/>
  <c r="H376" i="1"/>
  <c r="I376" i="1" s="1"/>
  <c r="H375" i="1"/>
  <c r="I375" i="1" s="1"/>
  <c r="H374" i="1"/>
  <c r="H372" i="1"/>
  <c r="H371" i="1"/>
  <c r="H370" i="1"/>
  <c r="I370" i="1" s="1"/>
  <c r="H369" i="1"/>
  <c r="H368" i="1"/>
  <c r="H367" i="1"/>
  <c r="I367" i="1" s="1"/>
  <c r="H366" i="1"/>
  <c r="H364" i="1"/>
  <c r="H363" i="1"/>
  <c r="H362" i="1"/>
  <c r="H361" i="1"/>
  <c r="H360" i="1"/>
  <c r="H359" i="1"/>
  <c r="I359" i="1" s="1"/>
  <c r="H358" i="1"/>
  <c r="H356" i="1"/>
  <c r="H355" i="1"/>
  <c r="H354" i="1"/>
  <c r="I354" i="1" s="1"/>
  <c r="H353" i="1"/>
  <c r="H352" i="1"/>
  <c r="I352" i="1" s="1"/>
  <c r="H351" i="1"/>
  <c r="H350" i="1"/>
  <c r="H348" i="1"/>
  <c r="H347" i="1"/>
  <c r="H346" i="1"/>
  <c r="I346" i="1" s="1"/>
  <c r="H345" i="1"/>
  <c r="I345" i="1" s="1"/>
  <c r="H344" i="1"/>
  <c r="I344" i="1" s="1"/>
  <c r="H343" i="1"/>
  <c r="I343" i="1" s="1"/>
  <c r="H342" i="1"/>
  <c r="I342" i="1" s="1"/>
  <c r="H340" i="1"/>
  <c r="H339" i="1"/>
  <c r="H338" i="1"/>
  <c r="H337" i="1"/>
  <c r="H336" i="1"/>
  <c r="H335" i="1"/>
  <c r="H334" i="1"/>
  <c r="H332" i="1"/>
  <c r="H331" i="1"/>
  <c r="H330" i="1"/>
  <c r="I330" i="1" s="1"/>
  <c r="H329" i="1"/>
  <c r="I329" i="1" s="1"/>
  <c r="H328" i="1"/>
  <c r="I328" i="1" s="1"/>
  <c r="H327" i="1"/>
  <c r="I327" i="1" s="1"/>
  <c r="H326" i="1"/>
  <c r="H324" i="1"/>
  <c r="I324" i="1" s="1"/>
  <c r="H323" i="1"/>
  <c r="H322" i="1"/>
  <c r="H321" i="1"/>
  <c r="I321" i="1" s="1"/>
  <c r="H320" i="1"/>
  <c r="I320" i="1" s="1"/>
  <c r="H319" i="1"/>
  <c r="H318" i="1"/>
  <c r="H316" i="1"/>
  <c r="H315" i="1"/>
  <c r="I315" i="1" s="1"/>
  <c r="H314" i="1"/>
  <c r="H313" i="1"/>
  <c r="H312" i="1"/>
  <c r="H311" i="1"/>
  <c r="H310" i="1"/>
  <c r="H308" i="1"/>
  <c r="I308" i="1" s="1"/>
  <c r="H307" i="1"/>
  <c r="I307" i="1" s="1"/>
  <c r="H306" i="1"/>
  <c r="H305" i="1"/>
  <c r="H304" i="1"/>
  <c r="H303" i="1"/>
  <c r="I303" i="1" s="1"/>
  <c r="H302" i="1"/>
  <c r="H300" i="1"/>
  <c r="H299" i="1"/>
  <c r="H298" i="1"/>
  <c r="H297" i="1"/>
  <c r="I297" i="1" s="1"/>
  <c r="H296" i="1"/>
  <c r="H295" i="1"/>
  <c r="H294" i="1"/>
  <c r="I294" i="1" s="1"/>
  <c r="H292" i="1"/>
  <c r="I292" i="1" s="1"/>
  <c r="H291" i="1"/>
  <c r="H290" i="1"/>
  <c r="H289" i="1"/>
  <c r="I289" i="1" s="1"/>
  <c r="H288" i="1"/>
  <c r="H287" i="1"/>
  <c r="I287" i="1" s="1"/>
  <c r="H286" i="1"/>
  <c r="H284" i="1"/>
  <c r="I284" i="1" s="1"/>
  <c r="H283" i="1"/>
  <c r="I283" i="1" s="1"/>
  <c r="H282" i="1"/>
  <c r="I282" i="1" s="1"/>
  <c r="H281" i="1"/>
  <c r="H280" i="1"/>
  <c r="H279" i="1"/>
  <c r="I279" i="1" s="1"/>
  <c r="H278" i="1"/>
  <c r="I278" i="1" s="1"/>
  <c r="H276" i="1"/>
  <c r="H275" i="1"/>
  <c r="H274" i="1"/>
  <c r="I274" i="1" s="1"/>
  <c r="H273" i="1"/>
  <c r="H272" i="1"/>
  <c r="H271" i="1"/>
  <c r="I271" i="1" s="1"/>
  <c r="H270" i="1"/>
  <c r="H268" i="1"/>
  <c r="I268" i="1" s="1"/>
  <c r="H267" i="1"/>
  <c r="H266" i="1"/>
  <c r="I266" i="1" s="1"/>
  <c r="H265" i="1"/>
  <c r="H264" i="1"/>
  <c r="H263" i="1"/>
  <c r="H262" i="1"/>
  <c r="I262" i="1" s="1"/>
  <c r="H260" i="1"/>
  <c r="I260" i="1" s="1"/>
  <c r="H259" i="1"/>
  <c r="I259" i="1" s="1"/>
  <c r="H258" i="1"/>
  <c r="H257" i="1"/>
  <c r="I257" i="1" s="1"/>
  <c r="H256" i="1"/>
  <c r="H255" i="1"/>
  <c r="H254" i="1"/>
  <c r="I254" i="1" s="1"/>
  <c r="H252" i="1"/>
  <c r="I252" i="1" s="1"/>
  <c r="H251" i="1"/>
  <c r="I251" i="1" s="1"/>
  <c r="H250" i="1"/>
  <c r="I250" i="1" s="1"/>
  <c r="H249" i="1"/>
  <c r="H248" i="1"/>
  <c r="I248" i="1" s="1"/>
  <c r="H247" i="1"/>
  <c r="I247" i="1" s="1"/>
  <c r="H246" i="1"/>
  <c r="I246" i="1" s="1"/>
  <c r="H244" i="1"/>
  <c r="I244" i="1" s="1"/>
  <c r="H243" i="1"/>
  <c r="I243" i="1" s="1"/>
  <c r="H242" i="1"/>
  <c r="H241" i="1"/>
  <c r="I241" i="1" s="1"/>
  <c r="H240" i="1"/>
  <c r="H239" i="1"/>
  <c r="I239" i="1" s="1"/>
  <c r="H238" i="1"/>
  <c r="I238" i="1" s="1"/>
  <c r="H236" i="1"/>
  <c r="I236" i="1" s="1"/>
  <c r="H235" i="1"/>
  <c r="I235" i="1" s="1"/>
  <c r="H234" i="1"/>
  <c r="I234" i="1" s="1"/>
  <c r="H233" i="1"/>
  <c r="I233" i="1" s="1"/>
  <c r="H232" i="1"/>
  <c r="I232" i="1" s="1"/>
  <c r="H231" i="1"/>
  <c r="H230" i="1"/>
  <c r="I230" i="1" s="1"/>
  <c r="H229" i="1"/>
  <c r="I229" i="1" s="1"/>
  <c r="H228" i="1"/>
  <c r="I228" i="1" s="1"/>
  <c r="H227" i="1"/>
  <c r="I12" i="8"/>
  <c r="I10" i="8"/>
  <c r="I8" i="8"/>
  <c r="I6" i="8"/>
  <c r="I13" i="8"/>
  <c r="I11" i="8"/>
  <c r="I9" i="8"/>
  <c r="I7" i="8"/>
  <c r="I15" i="8" l="1"/>
  <c r="D8" i="8"/>
  <c r="D9" i="8"/>
  <c r="D12" i="8"/>
  <c r="F7" i="8"/>
  <c r="D11" i="8"/>
  <c r="E11" i="8"/>
  <c r="C10" i="8"/>
  <c r="D13" i="8"/>
  <c r="H9" i="8"/>
  <c r="H6" i="8"/>
  <c r="G7" i="8"/>
  <c r="E7" i="8"/>
  <c r="C7" i="8"/>
  <c r="G8" i="8"/>
  <c r="E8" i="8"/>
  <c r="C8" i="8"/>
  <c r="G9" i="8"/>
  <c r="E9" i="8"/>
  <c r="C9" i="8"/>
  <c r="H11" i="8"/>
  <c r="F11" i="8"/>
  <c r="D10" i="8"/>
  <c r="G11" i="8"/>
  <c r="C11" i="8"/>
  <c r="G12" i="8"/>
  <c r="E12" i="8"/>
  <c r="C12" i="8"/>
  <c r="G13" i="8"/>
  <c r="E13" i="8"/>
  <c r="C13" i="8"/>
  <c r="G6" i="8"/>
  <c r="E6" i="8"/>
  <c r="C6" i="8"/>
  <c r="F8" i="8"/>
  <c r="D7" i="8"/>
  <c r="F9" i="8"/>
  <c r="H10" i="8"/>
  <c r="F10" i="8"/>
  <c r="G10" i="8"/>
  <c r="E10" i="8"/>
  <c r="H12" i="8"/>
  <c r="F12" i="8"/>
  <c r="H13" i="8"/>
  <c r="F13" i="8"/>
  <c r="F6" i="8"/>
  <c r="H7" i="8"/>
  <c r="D6" i="8"/>
  <c r="H8" i="8"/>
  <c r="D15" i="8" l="1"/>
  <c r="D14" i="8" s="1"/>
  <c r="F15" i="8"/>
  <c r="F14" i="8" s="1"/>
  <c r="E15" i="8"/>
  <c r="E14" i="8" s="1"/>
  <c r="G15" i="8"/>
  <c r="G14" i="8" s="1"/>
  <c r="H15" i="8"/>
  <c r="H14" i="8" s="1"/>
  <c r="C15" i="8"/>
  <c r="C14" i="8" s="1"/>
</calcChain>
</file>

<file path=xl/sharedStrings.xml><?xml version="1.0" encoding="utf-8"?>
<sst xmlns="http://schemas.openxmlformats.org/spreadsheetml/2006/main" count="48181" uniqueCount="7591">
  <si>
    <t>Department</t>
  </si>
  <si>
    <t>Email address</t>
  </si>
  <si>
    <t>First name</t>
  </si>
  <si>
    <t>Last name</t>
  </si>
  <si>
    <t>Performance Category</t>
  </si>
  <si>
    <t>Completion Status</t>
  </si>
  <si>
    <t>2k24aids001@kiot.ac.in</t>
  </si>
  <si>
    <t>AARTHI</t>
  </si>
  <si>
    <t>S</t>
  </si>
  <si>
    <t>2k24aids002@kiot.ac.in</t>
  </si>
  <si>
    <t>ABHISHEK</t>
  </si>
  <si>
    <t>B</t>
  </si>
  <si>
    <t>2k24aids003@kiot.ac.in</t>
  </si>
  <si>
    <t>ABINESH</t>
  </si>
  <si>
    <t>2k24aids004@kiot.ac.in</t>
  </si>
  <si>
    <t>ABISHEK</t>
  </si>
  <si>
    <t>D</t>
  </si>
  <si>
    <t>2k24aids005@kiot.ac.in</t>
  </si>
  <si>
    <t>AJAY DEV</t>
  </si>
  <si>
    <t>A</t>
  </si>
  <si>
    <t>2k24aids006@kiot.ac.in</t>
  </si>
  <si>
    <t>AKISHASRI</t>
  </si>
  <si>
    <t>T</t>
  </si>
  <si>
    <t>2k24aids007@kiot.ac.in</t>
  </si>
  <si>
    <t>ARCHANA</t>
  </si>
  <si>
    <t>P</t>
  </si>
  <si>
    <t>2k24aids008@kiot.ac.in</t>
  </si>
  <si>
    <t>ASHIKA</t>
  </si>
  <si>
    <t>V</t>
  </si>
  <si>
    <t>2k24aids009@kiot.ac.in</t>
  </si>
  <si>
    <t>BAKKIYALAKSHMI</t>
  </si>
  <si>
    <t>M</t>
  </si>
  <si>
    <t>2k24aids010@kiot.ac.in</t>
  </si>
  <si>
    <t>BALAJI</t>
  </si>
  <si>
    <t>2k24aids011@kiot.ac.in</t>
  </si>
  <si>
    <t>BHARATH</t>
  </si>
  <si>
    <t>2k24aids012@kiot.ac.in</t>
  </si>
  <si>
    <t>BHARATHI V</t>
  </si>
  <si>
    <t>2k24aids013@kiot.ac.in</t>
  </si>
  <si>
    <t>BOOPATHIRAJA</t>
  </si>
  <si>
    <t>2k24aids014@kiot.ac.in</t>
  </si>
  <si>
    <t>DEEPAKKUMAR</t>
  </si>
  <si>
    <t>R</t>
  </si>
  <si>
    <t>2k24aids015@kiot.ac.in</t>
  </si>
  <si>
    <t>DEEPIKA</t>
  </si>
  <si>
    <t>2k24aids016@kiot.ac.in</t>
  </si>
  <si>
    <t>DEEPIKASRI</t>
  </si>
  <si>
    <t>2k24aids017@kiot.ac.in</t>
  </si>
  <si>
    <t>DEVADHARSHINI</t>
  </si>
  <si>
    <t>G</t>
  </si>
  <si>
    <t>2k24aids018@kiot.ac.in</t>
  </si>
  <si>
    <t>DEVA DHARSHINI</t>
  </si>
  <si>
    <t>2k24aids019@kiot.ac.in</t>
  </si>
  <si>
    <t>2k24aids020@kiot.ac.in</t>
  </si>
  <si>
    <t>DEVASENA</t>
  </si>
  <si>
    <t>K</t>
  </si>
  <si>
    <t>2k24aids021@kiot.ac.in</t>
  </si>
  <si>
    <t>DHANUSH</t>
  </si>
  <si>
    <t>2k24aids022@kiot.ac.in</t>
  </si>
  <si>
    <t>DHARSHINI</t>
  </si>
  <si>
    <t>2k24aids023@kiot.ac.in</t>
  </si>
  <si>
    <t>DHIK SHIT KUMAR</t>
  </si>
  <si>
    <t>2k24aids024@kiot.ac.in</t>
  </si>
  <si>
    <t>DHINAKARAN</t>
  </si>
  <si>
    <t>2k24aids025@kiot.ac.in</t>
  </si>
  <si>
    <t>DHIVYA SHREE</t>
  </si>
  <si>
    <t>U</t>
  </si>
  <si>
    <t>2k24aids026@kiot.ac.in</t>
  </si>
  <si>
    <t>DHIVYA SREE</t>
  </si>
  <si>
    <t>2k24aids027@kiot.ac.in</t>
  </si>
  <si>
    <t>DIGEESH</t>
  </si>
  <si>
    <t>N</t>
  </si>
  <si>
    <t>2k24aids028@kiot.ac.in</t>
  </si>
  <si>
    <t>DIVYASHREE</t>
  </si>
  <si>
    <t>2k24aids029@kiot.ac.in</t>
  </si>
  <si>
    <t>GEETHA</t>
  </si>
  <si>
    <t>2k24aids030@kiot.ac.in</t>
  </si>
  <si>
    <t>GOWTHAM SRI RAJAN</t>
  </si>
  <si>
    <t>2k24aids031@kiot.ac.in</t>
  </si>
  <si>
    <t>HARINI</t>
  </si>
  <si>
    <t>E</t>
  </si>
  <si>
    <t>2k24aids032@kiot.ac.in</t>
  </si>
  <si>
    <t>2k24aids033@kiot.ac.in</t>
  </si>
  <si>
    <t>HARIRAM</t>
  </si>
  <si>
    <t>K V</t>
  </si>
  <si>
    <t>2k24aids034@kiot.ac.in</t>
  </si>
  <si>
    <t>HARSHINI</t>
  </si>
  <si>
    <t>2k24aids035@kiot.ac.in</t>
  </si>
  <si>
    <t>HEMALATHA</t>
  </si>
  <si>
    <t>2k24aids036@kiot.ac.in</t>
  </si>
  <si>
    <t>ILAMUKILAN</t>
  </si>
  <si>
    <t>2k24aids037@kiot.ac.in</t>
  </si>
  <si>
    <t>JAYAPRIYA</t>
  </si>
  <si>
    <t>2k24aids038@kiot.ac.in</t>
  </si>
  <si>
    <t>JITHEESHWARAN</t>
  </si>
  <si>
    <t>2k24aids039@kiot.ac.in</t>
  </si>
  <si>
    <t>KANNADHASAN</t>
  </si>
  <si>
    <t>2k24aids040@kiot.ac.in</t>
  </si>
  <si>
    <t>KARISHMA</t>
  </si>
  <si>
    <t>2k24aids041@kiot.ac.in</t>
  </si>
  <si>
    <t>KARTHIK</t>
  </si>
  <si>
    <t>2k24aids042@kiot.ac.in</t>
  </si>
  <si>
    <t>KARTHIKEYAN</t>
  </si>
  <si>
    <t>2k24aids043@kiot.ac.in</t>
  </si>
  <si>
    <t>KASTHURI</t>
  </si>
  <si>
    <t>2k24aids044@kiot.ac.in</t>
  </si>
  <si>
    <t>KAVINAYA</t>
  </si>
  <si>
    <t>2k24aids045@kiot.ac.in</t>
  </si>
  <si>
    <t>KESHIKA</t>
  </si>
  <si>
    <t>2k24aids046@kiot.ac.in</t>
  </si>
  <si>
    <t>KIRUTHEEN KUMAR</t>
  </si>
  <si>
    <t>2k24aids047@kiot.ac.in</t>
  </si>
  <si>
    <t>KIRUTHIKA</t>
  </si>
  <si>
    <t>2k24aids048@kiot.ac.in</t>
  </si>
  <si>
    <t>LAKSSHITHA SRI</t>
  </si>
  <si>
    <t>T E</t>
  </si>
  <si>
    <t>2k24aids049@kiot.ac.in</t>
  </si>
  <si>
    <t>MADHUMITHA</t>
  </si>
  <si>
    <t>2k24aids050@kiot.ac.in</t>
  </si>
  <si>
    <t>MANOJ</t>
  </si>
  <si>
    <t>I</t>
  </si>
  <si>
    <t>2k24aids051@kiot.ac.in</t>
  </si>
  <si>
    <t>MANORANJITH</t>
  </si>
  <si>
    <t>J</t>
  </si>
  <si>
    <t>2k24aids052@kiot.ac.in</t>
  </si>
  <si>
    <t>MOHAMMED ARMAAN</t>
  </si>
  <si>
    <t>M S</t>
  </si>
  <si>
    <t>2k24aids053@kiot.ac.in</t>
  </si>
  <si>
    <t>MOHAMMED RIAZ</t>
  </si>
  <si>
    <t>2k24aids054@kiot.ac.in</t>
  </si>
  <si>
    <t>MOKITH</t>
  </si>
  <si>
    <t>2k24aids055@kiot.ac.in</t>
  </si>
  <si>
    <t>MOULEESWARAN</t>
  </si>
  <si>
    <t>C</t>
  </si>
  <si>
    <t>2k24aids056@kiot.ac.in</t>
  </si>
  <si>
    <t>Mounija</t>
  </si>
  <si>
    <t>2k24aids057@kiot.ac.in</t>
  </si>
  <si>
    <t>MOUSIKA</t>
  </si>
  <si>
    <t>2k24aids058@kiot.ac.in</t>
  </si>
  <si>
    <t>MUKESH</t>
  </si>
  <si>
    <t>2k24aids059@kiot.ac.in</t>
  </si>
  <si>
    <t>2k24aids060@kiot.ac.in</t>
  </si>
  <si>
    <t>MUKESHKUMAR</t>
  </si>
  <si>
    <t>2k24aids061@kiot.ac.in</t>
  </si>
  <si>
    <t>Nagendra Saravana Perumal</t>
  </si>
  <si>
    <t>2k24aids062@kiot.ac.in</t>
  </si>
  <si>
    <t>Nandhini Sree</t>
  </si>
  <si>
    <t>2k24aids063@kiot.ac.in</t>
  </si>
  <si>
    <t>Naveen</t>
  </si>
  <si>
    <t>2k24aids064@kiot.ac.in</t>
  </si>
  <si>
    <t>Nawin D</t>
  </si>
  <si>
    <t>2k24aids065@kiot.ac.in</t>
  </si>
  <si>
    <t>Nithish</t>
  </si>
  <si>
    <t>M H</t>
  </si>
  <si>
    <t>2k24aids066@kiot.ac.in</t>
  </si>
  <si>
    <t>Oharihara Sudhan</t>
  </si>
  <si>
    <t>2k24aids067@kiot.ac.in</t>
  </si>
  <si>
    <t>Pavan Kumaar K</t>
  </si>
  <si>
    <t>2k24aids068@kiot.ac.in</t>
  </si>
  <si>
    <t>Pooja Gayathri</t>
  </si>
  <si>
    <t>2k24aids069@kiot.ac.in</t>
  </si>
  <si>
    <t>Poomiha</t>
  </si>
  <si>
    <t>2k24aids070@kiot.ac.in</t>
  </si>
  <si>
    <t>Poorva Deshmukh</t>
  </si>
  <si>
    <t>2k24aids071@kiot.ac.in</t>
  </si>
  <si>
    <t>Pragadeshwaran</t>
  </si>
  <si>
    <t>2k24aids072@kiot.ac.in</t>
  </si>
  <si>
    <t>Pranav</t>
  </si>
  <si>
    <t>2k24aids073@kiot.ac.in</t>
  </si>
  <si>
    <t>Pranava</t>
  </si>
  <si>
    <t>L</t>
  </si>
  <si>
    <t>2k24aids074@kiot.ac.in</t>
  </si>
  <si>
    <t>Praveen</t>
  </si>
  <si>
    <t>2k24aids075@kiot.ac.in</t>
  </si>
  <si>
    <t>Rajesh</t>
  </si>
  <si>
    <t>2k24aids076@kiot.ac.in</t>
  </si>
  <si>
    <t>Raksha V</t>
  </si>
  <si>
    <t>2k24aids077@kiot.ac.in</t>
  </si>
  <si>
    <t>RAMNATH</t>
  </si>
  <si>
    <t>P S</t>
  </si>
  <si>
    <t>2k24aids078@kiot.ac.in</t>
  </si>
  <si>
    <t>Ranjith Kumar</t>
  </si>
  <si>
    <t>2k24aids079@kiot.ac.in</t>
  </si>
  <si>
    <t>Reshmi</t>
  </si>
  <si>
    <t>2k24aids080@kiot.ac.in</t>
  </si>
  <si>
    <t>Rithikesh S</t>
  </si>
  <si>
    <t>2k24aids081@kiot.ac.in</t>
  </si>
  <si>
    <t>RITTHICA</t>
  </si>
  <si>
    <t>2k24aids082@kiot.ac.in</t>
  </si>
  <si>
    <t>Rohithaa S</t>
  </si>
  <si>
    <t>2k24aids083@kiot.ac.in</t>
  </si>
  <si>
    <t>Rughni Sree</t>
  </si>
  <si>
    <t>S B</t>
  </si>
  <si>
    <t>2k24aids084@kiot.ac.in</t>
  </si>
  <si>
    <t>Sachin</t>
  </si>
  <si>
    <t>2k24aids085@kiot.ac.in</t>
  </si>
  <si>
    <t>Sanjay</t>
  </si>
  <si>
    <t>2k24aids086@kiot.ac.in</t>
  </si>
  <si>
    <t>Saran</t>
  </si>
  <si>
    <t>2k24aids087@kiot.ac.in</t>
  </si>
  <si>
    <t>Sasvin Rajan A</t>
  </si>
  <si>
    <t>2k24aids088@kiot.ac.in</t>
  </si>
  <si>
    <t>Sathya</t>
  </si>
  <si>
    <t>2k24aids089@kiot.ac.in</t>
  </si>
  <si>
    <t>Shanmugapriya</t>
  </si>
  <si>
    <t>2k24aids090@kiot.ac.in</t>
  </si>
  <si>
    <t>Shobana</t>
  </si>
  <si>
    <t>2k24aids091@kiot.ac.in</t>
  </si>
  <si>
    <t>Shobika</t>
  </si>
  <si>
    <t>2k24aids092@kiot.ac.in</t>
  </si>
  <si>
    <t>Sivapriyan</t>
  </si>
  <si>
    <t>2k24aids093@kiot.ac.in</t>
  </si>
  <si>
    <t>Sneha</t>
  </si>
  <si>
    <t>2k24aids094@kiot.ac.in</t>
  </si>
  <si>
    <t>Sri Sanchive Kumar</t>
  </si>
  <si>
    <t>2k24aids095@kiot.ac.in</t>
  </si>
  <si>
    <t>Sri Shanmathi</t>
  </si>
  <si>
    <t>2k24aids096@kiot.ac.in</t>
  </si>
  <si>
    <t>Sri Vignesh G</t>
  </si>
  <si>
    <t>2k24aids097@kiot.ac.in</t>
  </si>
  <si>
    <t>Subahshree</t>
  </si>
  <si>
    <t>SV</t>
  </si>
  <si>
    <t>2k24aids098@kiot.ac.in</t>
  </si>
  <si>
    <t>Subramani</t>
  </si>
  <si>
    <t>2k24aids099@kiot.ac.in</t>
  </si>
  <si>
    <t>Sujithkumar</t>
  </si>
  <si>
    <t>2k24aids100@kiot.ac.in</t>
  </si>
  <si>
    <t>Sumyukthaa</t>
  </si>
  <si>
    <t>K S</t>
  </si>
  <si>
    <t>2k24aids101@kiot.ac.in</t>
  </si>
  <si>
    <t>Surendar</t>
  </si>
  <si>
    <t>2k24aids102@kiot.ac.in</t>
  </si>
  <si>
    <t>Suseel P</t>
  </si>
  <si>
    <t>2k24aids103@kiot.ac.in</t>
  </si>
  <si>
    <t>Suwathi</t>
  </si>
  <si>
    <t>2k24aids104@kiot.ac.in</t>
  </si>
  <si>
    <t>Tarika N</t>
  </si>
  <si>
    <t>2k24aids105@kiot.ac.in</t>
  </si>
  <si>
    <t>Tharaneedharan</t>
  </si>
  <si>
    <t>2k24aids106@kiot.ac.in</t>
  </si>
  <si>
    <t>Tharani</t>
  </si>
  <si>
    <t>2k24aids108@kiot.ac.in</t>
  </si>
  <si>
    <t>Tharshini</t>
  </si>
  <si>
    <t>2k24aids109@kiot.ac.in</t>
  </si>
  <si>
    <t>Tharun</t>
  </si>
  <si>
    <t>2k24aids110@kiot.ac.in</t>
  </si>
  <si>
    <t>Thuyelishwaran</t>
  </si>
  <si>
    <t>2k24aids111@kiot.ac.in</t>
  </si>
  <si>
    <t>Vaishnavi Sri K</t>
  </si>
  <si>
    <t>2k24aids112@kiot.ac.in</t>
  </si>
  <si>
    <t>Vasuntharapriya</t>
  </si>
  <si>
    <t>2k24aids113@kiot.ac.in</t>
  </si>
  <si>
    <t>Vasunthararaji</t>
  </si>
  <si>
    <t>2k24aids114@kiot.ac.in</t>
  </si>
  <si>
    <t>Vazeema Banu</t>
  </si>
  <si>
    <t>2k24aids115@kiot.ac.in</t>
  </si>
  <si>
    <t>Vedha</t>
  </si>
  <si>
    <t>2k24aids116@kiot.ac.in</t>
  </si>
  <si>
    <t>Vishal</t>
  </si>
  <si>
    <t>2k24aids117@kiot.ac.in</t>
  </si>
  <si>
    <t>2k24aids118@kiot.ac.in</t>
  </si>
  <si>
    <t>Vishnu</t>
  </si>
  <si>
    <t>2k24aids119@kiot.ac.in</t>
  </si>
  <si>
    <t>Yashvanth Suriya</t>
  </si>
  <si>
    <t>2k24aids120@kiot.ac.in</t>
  </si>
  <si>
    <t>Yukeshkumar</t>
  </si>
  <si>
    <t>2k24aids121@kiot.ac.in</t>
  </si>
  <si>
    <t>BARATH</t>
  </si>
  <si>
    <t>2k24aids122@kiot.ac.in</t>
  </si>
  <si>
    <t>HARIKRISHNA</t>
  </si>
  <si>
    <t>2k24aids123@kiot.ac.in</t>
  </si>
  <si>
    <t>KARTHICK</t>
  </si>
  <si>
    <t>2k24aids124@kiot.ac.in</t>
  </si>
  <si>
    <t>NAVEEN KUMAR</t>
  </si>
  <si>
    <t>2k24aids125@kiot.ac.in</t>
  </si>
  <si>
    <t>PRAVINRAJ</t>
  </si>
  <si>
    <t>2k24aids126@kiot.ac.in</t>
  </si>
  <si>
    <t>Shrihariharan B</t>
  </si>
  <si>
    <t>2k24aids127@kiot.ac.in</t>
  </si>
  <si>
    <t>Staphan Stanly Raj B</t>
  </si>
  <si>
    <t>H</t>
  </si>
  <si>
    <t>2k24aids128@kiot.ac.in</t>
  </si>
  <si>
    <t>Udhayakumar</t>
  </si>
  <si>
    <t>2k24aids129@kiot.ac.in</t>
  </si>
  <si>
    <t>Yash</t>
  </si>
  <si>
    <t>2k24ce08@kiot.ac.in</t>
  </si>
  <si>
    <t>KISHORE RAYAN</t>
  </si>
  <si>
    <t>2k24ce16@kiot.ac.in</t>
  </si>
  <si>
    <t>MUGILAN</t>
  </si>
  <si>
    <t>2k24ce19@kiot.ac.in</t>
  </si>
  <si>
    <t>OVIYA</t>
  </si>
  <si>
    <t>2k24ce23@kiot.ac.in</t>
  </si>
  <si>
    <t>RISIKAESH</t>
  </si>
  <si>
    <t>V S</t>
  </si>
  <si>
    <t>2k24csbs01@kiot.ac.in</t>
  </si>
  <si>
    <t>ABISHEKNANDHA</t>
  </si>
  <si>
    <t>2k24csbs02@kiot.ac.in</t>
  </si>
  <si>
    <t>AKILESH</t>
  </si>
  <si>
    <t>2k24csbs03@kiot.ac.in</t>
  </si>
  <si>
    <t>ARAVIND</t>
  </si>
  <si>
    <t>2k24csbs04@kiot.ac.in</t>
  </si>
  <si>
    <t>BAVISHRI</t>
  </si>
  <si>
    <t>2k24csbs05@kiot.ac.in</t>
  </si>
  <si>
    <t>BOWSHIK SRIRAM</t>
  </si>
  <si>
    <t>B A</t>
  </si>
  <si>
    <t>2k24csbs06@kiot.ac.in</t>
  </si>
  <si>
    <t>2k24csbs07@kiot.ac.in</t>
  </si>
  <si>
    <t>DINESH</t>
  </si>
  <si>
    <t>2k24csbs08@kiot.ac.in</t>
  </si>
  <si>
    <t>DIVYA DHARSHINI</t>
  </si>
  <si>
    <t>2k24csbs09@kiot.ac.in</t>
  </si>
  <si>
    <t>DIWAKAR</t>
  </si>
  <si>
    <t>A M</t>
  </si>
  <si>
    <t>2k24csbs10@kiot.ac.in</t>
  </si>
  <si>
    <t>GIRIDHARAN</t>
  </si>
  <si>
    <t>2k24csbs11@kiot.ac.in</t>
  </si>
  <si>
    <t>GOWREESH</t>
  </si>
  <si>
    <t>R M</t>
  </si>
  <si>
    <t>2k24csbs12@kiot.ac.in</t>
  </si>
  <si>
    <t>GOWTHAM</t>
  </si>
  <si>
    <t>2k24csbs13@kiot.ac.in</t>
  </si>
  <si>
    <t>GURUJEETH</t>
  </si>
  <si>
    <t>K R</t>
  </si>
  <si>
    <t>2k24csbs14@kiot.ac.in</t>
  </si>
  <si>
    <t>HARIPRIYA</t>
  </si>
  <si>
    <t>A E</t>
  </si>
  <si>
    <t>2k24csbs15@kiot.ac.in</t>
  </si>
  <si>
    <t>HEMANTH ESWAR</t>
  </si>
  <si>
    <t>2k24csbs16@kiot.ac.in</t>
  </si>
  <si>
    <t>JANANI</t>
  </si>
  <si>
    <t>2k24csbs17@kiot.ac.in</t>
  </si>
  <si>
    <t>JOEL PRINCE</t>
  </si>
  <si>
    <t>2k24csbs18@kiot.ac.in</t>
  </si>
  <si>
    <t>2k24csbs19@kiot.ac.in</t>
  </si>
  <si>
    <t>2k24csbs20@kiot.ac.in</t>
  </si>
  <si>
    <t>2k24csbs21@kiot.ac.in</t>
  </si>
  <si>
    <t>KATHIR</t>
  </si>
  <si>
    <t>S N</t>
  </si>
  <si>
    <t>2k24csbs22@kiot.ac.in</t>
  </si>
  <si>
    <t>KISHORE</t>
  </si>
  <si>
    <t>M P</t>
  </si>
  <si>
    <t>2k24csbs23@kiot.ac.in</t>
  </si>
  <si>
    <t>KRITHIKA</t>
  </si>
  <si>
    <t>2k24csbs24@kiot.ac.in</t>
  </si>
  <si>
    <t>LAVANYA SRI</t>
  </si>
  <si>
    <t>R A</t>
  </si>
  <si>
    <t>2k24csbs25@kiot.ac.in</t>
  </si>
  <si>
    <t>LAVANYA SREE</t>
  </si>
  <si>
    <t>2k24csbs26@kiot.ac.in</t>
  </si>
  <si>
    <t>MADHUVARSHINI</t>
  </si>
  <si>
    <t>R V</t>
  </si>
  <si>
    <t>2k24csbs27@kiot.ac.in</t>
  </si>
  <si>
    <t>MAHERA FARHEEN</t>
  </si>
  <si>
    <t>F</t>
  </si>
  <si>
    <t>2k24csbs28@kiot.ac.in</t>
  </si>
  <si>
    <t>MOHANAPRIYA</t>
  </si>
  <si>
    <t>2k24csbs29@kiot.ac.in</t>
  </si>
  <si>
    <t>MOHANAVEL</t>
  </si>
  <si>
    <t>2k24csbs30@kiot.ac.in</t>
  </si>
  <si>
    <t>MONIKA</t>
  </si>
  <si>
    <t>2k24csbs31@kiot.ac.in</t>
  </si>
  <si>
    <t>NAGA PRASAD</t>
  </si>
  <si>
    <t>2k24csbs32@kiot.ac.in</t>
  </si>
  <si>
    <t>NARENDAR</t>
  </si>
  <si>
    <t>2k24csbs33@kiot.ac.in</t>
  </si>
  <si>
    <t>NARESH</t>
  </si>
  <si>
    <t>K A</t>
  </si>
  <si>
    <t>2k24csbs34@kiot.ac.in</t>
  </si>
  <si>
    <t>NAVEENDRAN</t>
  </si>
  <si>
    <t>2k24csbs35@kiot.ac.in</t>
  </si>
  <si>
    <t>NEERAJA</t>
  </si>
  <si>
    <t>2k24csbs36@kiot.ac.in</t>
  </si>
  <si>
    <t>PAVAMANA</t>
  </si>
  <si>
    <t>2k24csbs37@kiot.ac.in</t>
  </si>
  <si>
    <t>PERARASU</t>
  </si>
  <si>
    <t>PT</t>
  </si>
  <si>
    <t>2k24csbs38@kiot.ac.in</t>
  </si>
  <si>
    <t>PHOORNIMA</t>
  </si>
  <si>
    <t>2k24csbs39@kiot.ac.in</t>
  </si>
  <si>
    <t>POOVARASAN</t>
  </si>
  <si>
    <t>2k24csbs40@kiot.ac.in</t>
  </si>
  <si>
    <t>PRATIKSH</t>
  </si>
  <si>
    <t>2k24csbs41@kiot.ac.in</t>
  </si>
  <si>
    <t>PRIYANGA</t>
  </si>
  <si>
    <t>2k24csbs42@kiot.ac.in</t>
  </si>
  <si>
    <t>RATHISH</t>
  </si>
  <si>
    <t>2k24csbs44@kiot.ac.in</t>
  </si>
  <si>
    <t>RITHIKA</t>
  </si>
  <si>
    <t>2k24csbs45@kiot.ac.in</t>
  </si>
  <si>
    <t>ROHITH</t>
  </si>
  <si>
    <t>D K</t>
  </si>
  <si>
    <t>2k24csbs46@kiot.ac.in</t>
  </si>
  <si>
    <t>ROHITH KUMAR</t>
  </si>
  <si>
    <t>2k24csbs47@kiot.ac.in</t>
  </si>
  <si>
    <t>SABU SHRIL</t>
  </si>
  <si>
    <t>2k24csbs48@kiot.ac.in</t>
  </si>
  <si>
    <t>Setti Ravi</t>
  </si>
  <si>
    <t>Kumar</t>
  </si>
  <si>
    <t>2k24csbs49@kiot.ac.in</t>
  </si>
  <si>
    <t>SHARATH</t>
  </si>
  <si>
    <t>2k24csbs50@kiot.ac.in</t>
  </si>
  <si>
    <t>SIRANJEEVI</t>
  </si>
  <si>
    <t>2k24csbs51@kiot.ac.in</t>
  </si>
  <si>
    <t>SOWBARNIKA</t>
  </si>
  <si>
    <t>2k24csbs52@kiot.ac.in</t>
  </si>
  <si>
    <t>SUHASINI</t>
  </si>
  <si>
    <t>2k24csbs53@kiot.ac.in</t>
  </si>
  <si>
    <t>TEENA DEVI</t>
  </si>
  <si>
    <t>2k24csbs54@kiot.ac.in</t>
  </si>
  <si>
    <t>TIRISIGHA</t>
  </si>
  <si>
    <t>2k24csbs55@kiot.ac.in</t>
  </si>
  <si>
    <t>VAIGUNTHAN</t>
  </si>
  <si>
    <t>S L</t>
  </si>
  <si>
    <t>2k24csbs56@kiot.ac.in</t>
  </si>
  <si>
    <t>VASANTHKUMAR</t>
  </si>
  <si>
    <t>2k24csbs57@kiot.ac.in</t>
  </si>
  <si>
    <t>VIJAYMANI</t>
  </si>
  <si>
    <t>2k24csbs58@kiot.ac.in</t>
  </si>
  <si>
    <t>VISHAL</t>
  </si>
  <si>
    <t>2k24csbs59@kiot.ac.in</t>
  </si>
  <si>
    <t>2k24csbs60@kiot.ac.in</t>
  </si>
  <si>
    <t>YASHA</t>
  </si>
  <si>
    <t>2k24csbs61@kiot.ac.in</t>
  </si>
  <si>
    <t>Gnana Soundar vel</t>
  </si>
  <si>
    <t>2k24csbs62@kiot.ac.in</t>
  </si>
  <si>
    <t>Mohammed Arshath</t>
  </si>
  <si>
    <t>2k24cse003@kiot.ac.in</t>
  </si>
  <si>
    <t>Aakash</t>
  </si>
  <si>
    <t>2k24cse004@kiot.ac.in</t>
  </si>
  <si>
    <t>Abarna</t>
  </si>
  <si>
    <t>A J</t>
  </si>
  <si>
    <t>2k24cse005@kiot.ac.in</t>
  </si>
  <si>
    <t>Abinaiyaa</t>
  </si>
  <si>
    <t>2k24cse006@kiot.ac.in</t>
  </si>
  <si>
    <t>Adhishya</t>
  </si>
  <si>
    <t>2k24cse007@kiot.ac.in</t>
  </si>
  <si>
    <t>Akshaya</t>
  </si>
  <si>
    <t>2k24cse008@kiot.ac.in</t>
  </si>
  <si>
    <t>Akshaya S</t>
  </si>
  <si>
    <t>2k24cse009@kiot.ac.in</t>
  </si>
  <si>
    <t>Annapoorani</t>
  </si>
  <si>
    <t>2k24cse010@kiot.ac.in</t>
  </si>
  <si>
    <t>Anusha</t>
  </si>
  <si>
    <t>2k24cse011@kiot.ac.in</t>
  </si>
  <si>
    <t>Anuvarsha</t>
  </si>
  <si>
    <t>2k24cse012@kiot.ac.in</t>
  </si>
  <si>
    <t>Ariharamanikandan</t>
  </si>
  <si>
    <t>2k24cse013@kiot.ac.in</t>
  </si>
  <si>
    <t>Arun Balaji S</t>
  </si>
  <si>
    <t>2k24cse014@kiot.ac.in</t>
  </si>
  <si>
    <t>Ashfaq Ahamed</t>
  </si>
  <si>
    <t>2k24cse015@kiot.ac.in</t>
  </si>
  <si>
    <t>Avanthika D</t>
  </si>
  <si>
    <t>2k24cse016@kiot.ac.in</t>
  </si>
  <si>
    <t>Avishsharan S</t>
  </si>
  <si>
    <t>2k24cse017@kiot.ac.in</t>
  </si>
  <si>
    <t>Babu C</t>
  </si>
  <si>
    <t>2k24cse018@kiot.ac.in</t>
  </si>
  <si>
    <t>BALASUBRAMANIYAM</t>
  </si>
  <si>
    <t>2k24cse020@kiot.ac.in</t>
  </si>
  <si>
    <t>Bharath</t>
  </si>
  <si>
    <t>2k24cse021@kiot.ac.in</t>
  </si>
  <si>
    <t>Bharath Kannan A</t>
  </si>
  <si>
    <t>2k24cse022@kiot.ac.in</t>
  </si>
  <si>
    <t>Bhavana</t>
  </si>
  <si>
    <t>2k24cse023@kiot.ac.in</t>
  </si>
  <si>
    <t>Boobalan</t>
  </si>
  <si>
    <t>2k24cse024@kiot.ac.in</t>
  </si>
  <si>
    <t>Chandru</t>
  </si>
  <si>
    <t>2k24cse025@kiot.ac.in</t>
  </si>
  <si>
    <t>Deepak</t>
  </si>
  <si>
    <t>C H</t>
  </si>
  <si>
    <t>2k24cse027@kiot.ac.in</t>
  </si>
  <si>
    <t>Desika</t>
  </si>
  <si>
    <t>2k24cse028@kiot.ac.in</t>
  </si>
  <si>
    <t>Dhaksana</t>
  </si>
  <si>
    <t>2k24cse029@kiot.ac.in</t>
  </si>
  <si>
    <t>Dhakshata</t>
  </si>
  <si>
    <t>2k24cse030@kiot.ac.in</t>
  </si>
  <si>
    <t>Dhanushree</t>
  </si>
  <si>
    <t>2k24cse031@kiot.ac.in</t>
  </si>
  <si>
    <t>Dharaneeshwaran</t>
  </si>
  <si>
    <t>2k24cse034@kiot.ac.in</t>
  </si>
  <si>
    <t>Dharanidharan</t>
  </si>
  <si>
    <t>2k24cse036@kiot.ac.in</t>
  </si>
  <si>
    <t>Dharanya</t>
  </si>
  <si>
    <t>2k24cse037@kiot.ac.in</t>
  </si>
  <si>
    <t>Dharshini G</t>
  </si>
  <si>
    <t>2k24cse038@kiot.ac.in</t>
  </si>
  <si>
    <t>Dharshini</t>
  </si>
  <si>
    <t>T.K</t>
  </si>
  <si>
    <t>2k24cse039@kiot.ac.in</t>
  </si>
  <si>
    <t>Dharun</t>
  </si>
  <si>
    <t>2k24cse041@kiot.ac.in</t>
  </si>
  <si>
    <t>Dheepikarani</t>
  </si>
  <si>
    <t>2k24cse042@kiot.ac.in</t>
  </si>
  <si>
    <t>Dhesmashri</t>
  </si>
  <si>
    <t>2k24cse043@kiot.ac.in</t>
  </si>
  <si>
    <t>Dhinesh</t>
  </si>
  <si>
    <t>O</t>
  </si>
  <si>
    <t>2k24cse045@kiot.ac.in</t>
  </si>
  <si>
    <t>Divagaran</t>
  </si>
  <si>
    <t>2k24cse046@kiot.ac.in</t>
  </si>
  <si>
    <t>Divika</t>
  </si>
  <si>
    <t>2k24cse048@kiot.ac.in</t>
  </si>
  <si>
    <t>Emimaal K</t>
  </si>
  <si>
    <t>2k24cse049@kiot.ac.in</t>
  </si>
  <si>
    <t>Eniya V</t>
  </si>
  <si>
    <t>2k24cse050@kiot.ac.in</t>
  </si>
  <si>
    <t>Gnanambigai</t>
  </si>
  <si>
    <t>2k24cse051@kiot.ac.in</t>
  </si>
  <si>
    <t>Gokula Krishnan</t>
  </si>
  <si>
    <t>2k24cse052@kiot.ac.in</t>
  </si>
  <si>
    <t>Gokulnathan</t>
  </si>
  <si>
    <t>2k24cse054@kiot.ac.in</t>
  </si>
  <si>
    <t>Gunavathi K</t>
  </si>
  <si>
    <t>2k24cse055@kiot.ac.in</t>
  </si>
  <si>
    <t>Haasini</t>
  </si>
  <si>
    <t>2k24cse056@kiot.ac.in</t>
  </si>
  <si>
    <t>Hari Hara Suthan</t>
  </si>
  <si>
    <t>2k24cse059@kiot.ac.in</t>
  </si>
  <si>
    <t>Harikrishnan</t>
  </si>
  <si>
    <t>2k24cse060@kiot.ac.in</t>
  </si>
  <si>
    <t>Harini</t>
  </si>
  <si>
    <t>2k24cse061@kiot.ac.in</t>
  </si>
  <si>
    <t>2k24cse062@kiot.ac.in</t>
  </si>
  <si>
    <t>M K</t>
  </si>
  <si>
    <t>2k24cse063@kiot.ac.in</t>
  </si>
  <si>
    <t>N S</t>
  </si>
  <si>
    <t>2k24cse064@kiot.ac.in</t>
  </si>
  <si>
    <t>HARISH</t>
  </si>
  <si>
    <t>2k24cse066@kiot.ac.in</t>
  </si>
  <si>
    <t>IJAZ AHAMED</t>
  </si>
  <si>
    <t>2k24cse069@kiot.ac.in</t>
  </si>
  <si>
    <t>JAGANATHAN</t>
  </si>
  <si>
    <t>2k24cse070@kiot.ac.in</t>
  </si>
  <si>
    <t>2k24cse072@kiot.ac.in</t>
  </si>
  <si>
    <t>JAYAKANTH</t>
  </si>
  <si>
    <t>2k24cse073@kiot.ac.in</t>
  </si>
  <si>
    <t>JAYAVIGHNESH</t>
  </si>
  <si>
    <t>B K</t>
  </si>
  <si>
    <t>2k24cse075@kiot.ac.in</t>
  </si>
  <si>
    <t>JEEVADHARSHINI</t>
  </si>
  <si>
    <t>2k24cse076@kiot.ac.in</t>
  </si>
  <si>
    <t>JEEVITHA</t>
  </si>
  <si>
    <t>2k24cse077@kiot.ac.in</t>
  </si>
  <si>
    <t>JHANANI</t>
  </si>
  <si>
    <t>S R</t>
  </si>
  <si>
    <t>2k24cse079@kiot.ac.in</t>
  </si>
  <si>
    <t>KAMALESH SIVA</t>
  </si>
  <si>
    <t>2k24cse080@kiot.ac.in</t>
  </si>
  <si>
    <t>KAMMALESHRAJ</t>
  </si>
  <si>
    <t>2k24cse081@kiot.ac.in</t>
  </si>
  <si>
    <t>KANIMOZHI</t>
  </si>
  <si>
    <t>2k24cse082@kiot.ac.in</t>
  </si>
  <si>
    <t>KANISHK</t>
  </si>
  <si>
    <t>2k24cse084@kiot.ac.in</t>
  </si>
  <si>
    <t>2k24cse089@kiot.ac.in</t>
  </si>
  <si>
    <t>KAVYANJALI</t>
  </si>
  <si>
    <t>2k24cse090@kiot.ac.in</t>
  </si>
  <si>
    <t>KAWSIKA</t>
  </si>
  <si>
    <t>2k24cse093@kiot.ac.in</t>
  </si>
  <si>
    <t>KIRTHIK RAJ</t>
  </si>
  <si>
    <t>S J</t>
  </si>
  <si>
    <t>2k24cse096@kiot.ac.in</t>
  </si>
  <si>
    <t>KOWSHICK</t>
  </si>
  <si>
    <t>2k24cse097@kiot.ac.in</t>
  </si>
  <si>
    <t>LAKSHANA</t>
  </si>
  <si>
    <t>2k24cse098@kiot.ac.in</t>
  </si>
  <si>
    <t>LAVANYA</t>
  </si>
  <si>
    <t>2k24cse099@kiot.ac.in</t>
  </si>
  <si>
    <t>2k24cse110@kiot.ac.in</t>
  </si>
  <si>
    <t>MOHAN</t>
  </si>
  <si>
    <t>2k24cse111@kiot.ac.in</t>
  </si>
  <si>
    <t>MOHNISH</t>
  </si>
  <si>
    <t>SELVAM</t>
  </si>
  <si>
    <t>2k24cse112@kiot.ac.in</t>
  </si>
  <si>
    <t>2k24cse113@kiot.ac.in</t>
  </si>
  <si>
    <t>2k24cse114@kiot.ac.in</t>
  </si>
  <si>
    <t>MONISHA</t>
  </si>
  <si>
    <t>2k24cse115@kiot.ac.in</t>
  </si>
  <si>
    <t>2k24cse116@kiot.ac.in</t>
  </si>
  <si>
    <t>MOSIKA</t>
  </si>
  <si>
    <t>2k24cse117@kiot.ac.in</t>
  </si>
  <si>
    <t>MOUMEETHA</t>
  </si>
  <si>
    <t>S K</t>
  </si>
  <si>
    <t>2k24cse118@kiot.ac.in</t>
  </si>
  <si>
    <t>MOUNEESH</t>
  </si>
  <si>
    <t>2k24cse119@kiot.ac.in</t>
  </si>
  <si>
    <t>MOUNISH</t>
  </si>
  <si>
    <t>U P</t>
  </si>
  <si>
    <t>2k24cse121@kiot.ac.in</t>
  </si>
  <si>
    <t>Muhammed Shuaib</t>
  </si>
  <si>
    <t>2k24cse122@kiot.ac.in</t>
  </si>
  <si>
    <t>Nadish</t>
  </si>
  <si>
    <t>2k24cse127@kiot.ac.in</t>
  </si>
  <si>
    <t>Naveen Karthick C</t>
  </si>
  <si>
    <t>2k24cse129@kiot.ac.in</t>
  </si>
  <si>
    <t>2k24cse132@kiot.ac.in</t>
  </si>
  <si>
    <t>Niglesh Sundhar K</t>
  </si>
  <si>
    <t>2k24cse137@kiot.ac.in</t>
  </si>
  <si>
    <t>Nithishkumar</t>
  </si>
  <si>
    <t>2k24cse138@kiot.ac.in</t>
  </si>
  <si>
    <t>Nivashini</t>
  </si>
  <si>
    <t>2k24cse139@kiot.ac.in</t>
  </si>
  <si>
    <t>Prabhuram</t>
  </si>
  <si>
    <t>2k24cse142@kiot.ac.in</t>
  </si>
  <si>
    <t>2k24cse144@kiot.ac.in</t>
  </si>
  <si>
    <t>Pravin</t>
  </si>
  <si>
    <t>2k24cse150@kiot.ac.in</t>
  </si>
  <si>
    <t>Ragul</t>
  </si>
  <si>
    <t>2k24cse153@kiot.ac.in</t>
  </si>
  <si>
    <t>Ramya</t>
  </si>
  <si>
    <t>2k24cse154@kiot.ac.in</t>
  </si>
  <si>
    <t>Ramyasri</t>
  </si>
  <si>
    <t>2k24cse155@kiot.ac.in</t>
  </si>
  <si>
    <t>Rathikasri</t>
  </si>
  <si>
    <t>2k24cse156@kiot.ac.in</t>
  </si>
  <si>
    <t>Reena M</t>
  </si>
  <si>
    <t>2k24cse160@kiot.ac.in</t>
  </si>
  <si>
    <t>Rithish Barath</t>
  </si>
  <si>
    <t>2k24cse162@kiot.ac.in</t>
  </si>
  <si>
    <t>Rohini</t>
  </si>
  <si>
    <t>Kanagaraj</t>
  </si>
  <si>
    <t>2k24cse164@kiot.ac.in</t>
  </si>
  <si>
    <t>Roshni</t>
  </si>
  <si>
    <t>2k24cse165@kiot.ac.in</t>
  </si>
  <si>
    <t>Sabarinathan</t>
  </si>
  <si>
    <t>2k24cse168@kiot.ac.in</t>
  </si>
  <si>
    <t>Sachiv</t>
  </si>
  <si>
    <t>2k24cse169@kiot.ac.in</t>
  </si>
  <si>
    <t>Sajitha</t>
  </si>
  <si>
    <t>2k24cse170@kiot.ac.in</t>
  </si>
  <si>
    <t>Sakthi</t>
  </si>
  <si>
    <t>T C</t>
  </si>
  <si>
    <t>2k24cse171@kiot.ac.in</t>
  </si>
  <si>
    <t>Sandhiya</t>
  </si>
  <si>
    <t>2k24cse172@kiot.ac.in</t>
  </si>
  <si>
    <t>Sanjaishankar</t>
  </si>
  <si>
    <t>2k24cse173@kiot.ac.in</t>
  </si>
  <si>
    <t>Sanjeevsurya</t>
  </si>
  <si>
    <t>2k24cse175@kiot.ac.in</t>
  </si>
  <si>
    <t>Santhosh</t>
  </si>
  <si>
    <t>2k24cse176@kiot.ac.in</t>
  </si>
  <si>
    <t>Santhoshkumar</t>
  </si>
  <si>
    <t>2k24cse181@kiot.ac.in</t>
  </si>
  <si>
    <t>2k24cse185@kiot.ac.in</t>
  </si>
  <si>
    <t>Sharmila</t>
  </si>
  <si>
    <t>2k24cse186@kiot.ac.in</t>
  </si>
  <si>
    <t>Sharvatha S</t>
  </si>
  <si>
    <t>2k24cse190@kiot.ac.in</t>
  </si>
  <si>
    <t>Sivashree</t>
  </si>
  <si>
    <t>KVS</t>
  </si>
  <si>
    <t>2k24cse192@kiot.ac.in</t>
  </si>
  <si>
    <t>Sonal M</t>
  </si>
  <si>
    <t>2k24cse195@kiot.ac.in</t>
  </si>
  <si>
    <t>Sowmiya</t>
  </si>
  <si>
    <t>2k24cse196@kiot.ac.in</t>
  </si>
  <si>
    <t>Sowmya</t>
  </si>
  <si>
    <t>2k24cse197@kiot.ac.in</t>
  </si>
  <si>
    <t>Sriamirthaa D</t>
  </si>
  <si>
    <t>2k24cse199@kiot.ac.in</t>
  </si>
  <si>
    <t>Srijay</t>
  </si>
  <si>
    <t>2k24cse200@kiot.ac.in</t>
  </si>
  <si>
    <t>Subasri</t>
  </si>
  <si>
    <t>2k24cse202@kiot.ac.in</t>
  </si>
  <si>
    <t>Suhana</t>
  </si>
  <si>
    <t>2k24cse203@kiot.ac.in</t>
  </si>
  <si>
    <t>Suji</t>
  </si>
  <si>
    <t>2k24cse204@kiot.ac.in</t>
  </si>
  <si>
    <t>Sujith</t>
  </si>
  <si>
    <t>2k24cse207@kiot.ac.in</t>
  </si>
  <si>
    <t>Suriyakala</t>
  </si>
  <si>
    <t>2k24cse208@kiot.ac.in</t>
  </si>
  <si>
    <t>Suruthi</t>
  </si>
  <si>
    <t>2k24cse209@kiot.ac.in</t>
  </si>
  <si>
    <t>Suvetha</t>
  </si>
  <si>
    <t>2k24cse213@kiot.ac.in</t>
  </si>
  <si>
    <t>Swathy sree</t>
  </si>
  <si>
    <t>2k24cse214@kiot.ac.in</t>
  </si>
  <si>
    <t>Swetha</t>
  </si>
  <si>
    <t>2k24cse215@kiot.ac.in</t>
  </si>
  <si>
    <t>Tamilarasan</t>
  </si>
  <si>
    <t>2k24cse216@kiot.ac.in</t>
  </si>
  <si>
    <t>Thanikshasri</t>
  </si>
  <si>
    <t>2k24cse220@kiot.ac.in</t>
  </si>
  <si>
    <t>Vaishnavi</t>
  </si>
  <si>
    <t>2k24cse224@kiot.ac.in</t>
  </si>
  <si>
    <t>Venu</t>
  </si>
  <si>
    <t>2k24cse225@kiot.ac.in</t>
  </si>
  <si>
    <t>Vetha Varshini</t>
  </si>
  <si>
    <t>2k24cse227@kiot.ac.in</t>
  </si>
  <si>
    <t>2k24cse228@kiot.ac.in</t>
  </si>
  <si>
    <t>Vijay Saisree</t>
  </si>
  <si>
    <t>2k24cse229@kiot.ac.in</t>
  </si>
  <si>
    <t>Vikram</t>
  </si>
  <si>
    <t>2k24cse231@kiot.ac.in</t>
  </si>
  <si>
    <t>Viruthika</t>
  </si>
  <si>
    <t>2k24cse233@kiot.ac.in</t>
  </si>
  <si>
    <t>2k24cse235@kiot.ac.in</t>
  </si>
  <si>
    <t>Vishnu S</t>
  </si>
  <si>
    <t>2k24cse236@kiot.ac.in</t>
  </si>
  <si>
    <t>Vivetha</t>
  </si>
  <si>
    <t>2k24cse237@kiot.ac.in</t>
  </si>
  <si>
    <t>Yamini</t>
  </si>
  <si>
    <t>2k24cse238@kiot.ac.in</t>
  </si>
  <si>
    <t>Yamuna</t>
  </si>
  <si>
    <t>2k24cse240@kiot.ac.in</t>
  </si>
  <si>
    <t>Yokesh K</t>
  </si>
  <si>
    <t>2k24cse241@kiot.ac.in</t>
  </si>
  <si>
    <t>Dilip Kumar</t>
  </si>
  <si>
    <t>2k24cse242@kiot.ac.in</t>
  </si>
  <si>
    <t>Hemanth</t>
  </si>
  <si>
    <t>2k24cse244@kiot.ac.in</t>
  </si>
  <si>
    <t>Kaushik</t>
  </si>
  <si>
    <t>2k24cse245@kiot.ac.in</t>
  </si>
  <si>
    <t>Kaviya</t>
  </si>
  <si>
    <t>2k24cse246@kiot.ac.in</t>
  </si>
  <si>
    <t>Pathmasri S</t>
  </si>
  <si>
    <t>2k24cse250@kiot.ac.in</t>
  </si>
  <si>
    <t>DIVYASREE</t>
  </si>
  <si>
    <t>2k24cse252@kiot.ac.in</t>
  </si>
  <si>
    <t>MANI RATHNAM</t>
  </si>
  <si>
    <t>L K</t>
  </si>
  <si>
    <t>2k24cse254@kiot.ac.in</t>
  </si>
  <si>
    <t>SARVESHWARAN</t>
  </si>
  <si>
    <t>2k24cse257@kiot.ac.in</t>
  </si>
  <si>
    <t>Balakishore S</t>
  </si>
  <si>
    <t>2k24cse260@kiot.ac.in</t>
  </si>
  <si>
    <t>Mavetha V</t>
  </si>
  <si>
    <t>2k24cse263@kiot.ac.in</t>
  </si>
  <si>
    <t>Deeksha</t>
  </si>
  <si>
    <t>2k24cse266@kiot.ac.in</t>
  </si>
  <si>
    <t>Vishnuprasad</t>
  </si>
  <si>
    <t>2k24ece001@kiot.ac.in</t>
  </si>
  <si>
    <t>AADHIISHVAR</t>
  </si>
  <si>
    <t>2k24ece002@kiot.ac.in</t>
  </si>
  <si>
    <t>ABDUL RAHMAN</t>
  </si>
  <si>
    <t>2k24ece003@kiot.ac.in</t>
  </si>
  <si>
    <t>ABHEJEITH</t>
  </si>
  <si>
    <t>2k24ece004@kiot.ac.in</t>
  </si>
  <si>
    <t>ABHISHEEK</t>
  </si>
  <si>
    <t>2k24ece006@kiot.ac.in</t>
  </si>
  <si>
    <t>ABIYA</t>
  </si>
  <si>
    <t>2k24ece007@kiot.ac.in</t>
  </si>
  <si>
    <t>ABURANANDHAN</t>
  </si>
  <si>
    <t>2k24ece008@kiot.ac.in</t>
  </si>
  <si>
    <t>AFSHEEN</t>
  </si>
  <si>
    <t>RASHIK</t>
  </si>
  <si>
    <t>2k24ece010@kiot.ac.in</t>
  </si>
  <si>
    <t>AHAMED RILA</t>
  </si>
  <si>
    <t>2k24ece011@kiot.ac.in</t>
  </si>
  <si>
    <t>AISHMITHAA</t>
  </si>
  <si>
    <t>2k24ece012@kiot.ac.in</t>
  </si>
  <si>
    <t>AISHWARYA</t>
  </si>
  <si>
    <t>2k24ece013@kiot.ac.in</t>
  </si>
  <si>
    <t>AKASH</t>
  </si>
  <si>
    <t>2k24ece014@kiot.ac.in</t>
  </si>
  <si>
    <t>2k24ece015@kiot.ac.in</t>
  </si>
  <si>
    <t>ANISH</t>
  </si>
  <si>
    <t>2k24ece016@kiot.ac.in</t>
  </si>
  <si>
    <t>2k24ece017@kiot.ac.in</t>
  </si>
  <si>
    <t>ARAVINDHAN</t>
  </si>
  <si>
    <t>2k24ece018@kiot.ac.in</t>
  </si>
  <si>
    <t>2k24ece019@kiot.ac.in</t>
  </si>
  <si>
    <t>ASHOK</t>
  </si>
  <si>
    <t>2k24ece020@kiot.ac.in</t>
  </si>
  <si>
    <t>ASMATHULLA</t>
  </si>
  <si>
    <t>2k24ece021@kiot.ac.in</t>
  </si>
  <si>
    <t>ASWIN</t>
  </si>
  <si>
    <t>2k24ece023@kiot.ac.in</t>
  </si>
  <si>
    <t>BASKAR</t>
  </si>
  <si>
    <t>2k24ece024@kiot.ac.in</t>
  </si>
  <si>
    <t>BOOPATHI</t>
  </si>
  <si>
    <t>2k24ece025@kiot.ac.in</t>
  </si>
  <si>
    <t>BRINDHA SRI</t>
  </si>
  <si>
    <t>2k24ece026@kiot.ac.in</t>
  </si>
  <si>
    <t>DEEPAK</t>
  </si>
  <si>
    <t>2k24ece028@kiot.ac.in</t>
  </si>
  <si>
    <t>DEEPIKAA</t>
  </si>
  <si>
    <t>2k24ece029@kiot.ac.in</t>
  </si>
  <si>
    <t>DESIKAN</t>
  </si>
  <si>
    <t>2k24ece030@kiot.ac.in</t>
  </si>
  <si>
    <t>DEVAPRIYAN</t>
  </si>
  <si>
    <t>2k24ece031@kiot.ac.in</t>
  </si>
  <si>
    <t>DEVIKASRI</t>
  </si>
  <si>
    <t>2k24ece032@kiot.ac.in</t>
  </si>
  <si>
    <t>DHANUJA</t>
  </si>
  <si>
    <t>2k24ece033@kiot.ac.in</t>
  </si>
  <si>
    <t>2k24ece034@kiot.ac.in</t>
  </si>
  <si>
    <t>2k24ece035@kiot.ac.in</t>
  </si>
  <si>
    <t>DHARANESHWAR</t>
  </si>
  <si>
    <t>2k24ece036@kiot.ac.in</t>
  </si>
  <si>
    <t>DHARANI</t>
  </si>
  <si>
    <t>R S</t>
  </si>
  <si>
    <t>2k24ece037@kiot.ac.in</t>
  </si>
  <si>
    <t>DHARANISH</t>
  </si>
  <si>
    <t>2k24ece038@kiot.ac.in</t>
  </si>
  <si>
    <t>DHARSHANA</t>
  </si>
  <si>
    <t>2k24ece039@kiot.ac.in</t>
  </si>
  <si>
    <t>DHARUN</t>
  </si>
  <si>
    <t>2k24ece040@kiot.ac.in</t>
  </si>
  <si>
    <t>2k24ece041@kiot.ac.in</t>
  </si>
  <si>
    <t>DHAYANITHI</t>
  </si>
  <si>
    <t>2k24ece042@kiot.ac.in</t>
  </si>
  <si>
    <t>DINESH BABU</t>
  </si>
  <si>
    <t>2k24ece043@kiot.ac.in</t>
  </si>
  <si>
    <t>2k24ece044@kiot.ac.in</t>
  </si>
  <si>
    <t>DINESHKUMARAN</t>
  </si>
  <si>
    <t>2k24ece045@kiot.ac.in</t>
  </si>
  <si>
    <t>ELAKKIYA</t>
  </si>
  <si>
    <t>2k24ece046@kiot.ac.in</t>
  </si>
  <si>
    <t>FARHAN MOHAMADU</t>
  </si>
  <si>
    <t>2k24ece047@kiot.ac.in</t>
  </si>
  <si>
    <t>GAYATHRI</t>
  </si>
  <si>
    <t>2k24ece048@kiot.ac.in</t>
  </si>
  <si>
    <t>GOKUL RAJ</t>
  </si>
  <si>
    <t>2k24ece049@kiot.ac.in</t>
  </si>
  <si>
    <t>GOPIKA</t>
  </si>
  <si>
    <t>2k24ece050@kiot.ac.in</t>
  </si>
  <si>
    <t>2k24ece051@kiot.ac.in</t>
  </si>
  <si>
    <t>2k24ece052@kiot.ac.in</t>
  </si>
  <si>
    <t>2k24ece053@kiot.ac.in</t>
  </si>
  <si>
    <t>2k24ece054@kiot.ac.in</t>
  </si>
  <si>
    <t>HARI PRASATH</t>
  </si>
  <si>
    <t>J S</t>
  </si>
  <si>
    <t>2k24ece055@kiot.ac.in</t>
  </si>
  <si>
    <t>HARIHARAN</t>
  </si>
  <si>
    <t>2k24ece056@kiot.ac.in</t>
  </si>
  <si>
    <t>2k24ece057@kiot.ac.in</t>
  </si>
  <si>
    <t>2k24ece058@kiot.ac.in</t>
  </si>
  <si>
    <t>HARISH SUBRAMANIYAM</t>
  </si>
  <si>
    <t>2k24ece059@kiot.ac.in</t>
  </si>
  <si>
    <t>HARIVEESAN</t>
  </si>
  <si>
    <t>2k24ece060@kiot.ac.in</t>
  </si>
  <si>
    <t>HARSHINI SHRI</t>
  </si>
  <si>
    <t>S M</t>
  </si>
  <si>
    <t>2k24ece062@kiot.ac.in</t>
  </si>
  <si>
    <t>INDHUJA</t>
  </si>
  <si>
    <t>2k24ece063@kiot.ac.in</t>
  </si>
  <si>
    <t>JAISHREENEWAS</t>
  </si>
  <si>
    <t>2k24ece064@kiot.ac.in</t>
  </si>
  <si>
    <t>2k24ece065@kiot.ac.in</t>
  </si>
  <si>
    <t>2k24ece066@kiot.ac.in</t>
  </si>
  <si>
    <t>2k24ece067@kiot.ac.in</t>
  </si>
  <si>
    <t>JANARTHANAN</t>
  </si>
  <si>
    <t>2k24ece068@kiot.ac.in</t>
  </si>
  <si>
    <t>2k24ece069@kiot.ac.in</t>
  </si>
  <si>
    <t>KAILASH</t>
  </si>
  <si>
    <t>2k24ece070@kiot.ac.in</t>
  </si>
  <si>
    <t>2k24ece071@kiot.ac.in</t>
  </si>
  <si>
    <t>KALAISELVI</t>
  </si>
  <si>
    <t>2k24ece072@kiot.ac.in</t>
  </si>
  <si>
    <t>KALAJAYANTHI</t>
  </si>
  <si>
    <t>2k24ece073@kiot.ac.in</t>
  </si>
  <si>
    <t>KAMALESH</t>
  </si>
  <si>
    <t>2k24ece074@kiot.ac.in</t>
  </si>
  <si>
    <t>2k24ece075@kiot.ac.in</t>
  </si>
  <si>
    <t>2k24ece076@kiot.ac.in</t>
  </si>
  <si>
    <t>KANIKA</t>
  </si>
  <si>
    <t>2k24ece077@kiot.ac.in</t>
  </si>
  <si>
    <t>2k24ece079@kiot.ac.in</t>
  </si>
  <si>
    <t>KARTHIKA</t>
  </si>
  <si>
    <t>2k24ece080@kiot.ac.in</t>
  </si>
  <si>
    <t>KARTHIKHAYINI</t>
  </si>
  <si>
    <t>2k24ece081@kiot.ac.in</t>
  </si>
  <si>
    <t>KATHIRPERUMAL</t>
  </si>
  <si>
    <t>2k24ece082@kiot.ac.in</t>
  </si>
  <si>
    <t>KAVIYA</t>
  </si>
  <si>
    <t>2k24ece083@kiot.ac.in</t>
  </si>
  <si>
    <t>KIRUBAKAR</t>
  </si>
  <si>
    <t>2k24ece084@kiot.ac.in</t>
  </si>
  <si>
    <t>2k24ece085@kiot.ac.in</t>
  </si>
  <si>
    <t>KOWSALYA</t>
  </si>
  <si>
    <t>2k24ece086@kiot.ac.in</t>
  </si>
  <si>
    <t>KRISHNAKANTH</t>
  </si>
  <si>
    <t>2k24ece087@kiot.ac.in</t>
  </si>
  <si>
    <t>KRISHNAKUMAR</t>
  </si>
  <si>
    <t>2k24ece088@kiot.ac.in</t>
  </si>
  <si>
    <t>LAXMAN</t>
  </si>
  <si>
    <t>2k24ece089@kiot.ac.in</t>
  </si>
  <si>
    <t>LINGUVASAN</t>
  </si>
  <si>
    <t>2k24ece090@kiot.ac.in</t>
  </si>
  <si>
    <t>Logeshwaran</t>
  </si>
  <si>
    <t>2k24ece091@kiot.ac.in</t>
  </si>
  <si>
    <t>LOHIMA</t>
  </si>
  <si>
    <t>2k24ece092@kiot.ac.in</t>
  </si>
  <si>
    <t>MAHALAKSHMI</t>
  </si>
  <si>
    <t>2k24ece093@kiot.ac.in</t>
  </si>
  <si>
    <t>2k24ece094@kiot.ac.in</t>
  </si>
  <si>
    <t>MEIYARASU</t>
  </si>
  <si>
    <t>2k24ece095@kiot.ac.in</t>
  </si>
  <si>
    <t>METHRA</t>
  </si>
  <si>
    <t>P M</t>
  </si>
  <si>
    <t>2k24ece096@kiot.ac.in</t>
  </si>
  <si>
    <t>MIDHUN</t>
  </si>
  <si>
    <t>2k24ece097@kiot.ac.in</t>
  </si>
  <si>
    <t>MIDHUNA</t>
  </si>
  <si>
    <t>2k24ece098@kiot.ac.in</t>
  </si>
  <si>
    <t>MOMITHAA</t>
  </si>
  <si>
    <t>2k24ece099@kiot.ac.in</t>
  </si>
  <si>
    <t>MONISHWAR</t>
  </si>
  <si>
    <t>2k24ece100@kiot.ac.in</t>
  </si>
  <si>
    <t>MONITHA</t>
  </si>
  <si>
    <t>2k24ece101@kiot.ac.in</t>
  </si>
  <si>
    <t>NAKSHATHRA</t>
  </si>
  <si>
    <t>2k24ece102@kiot.ac.in</t>
  </si>
  <si>
    <t>NANDAKUMAR</t>
  </si>
  <si>
    <t>2k24ece103@kiot.ac.in</t>
  </si>
  <si>
    <t>NAVARASI</t>
  </si>
  <si>
    <t>2k24ece104@kiot.ac.in</t>
  </si>
  <si>
    <t>NAVEEN</t>
  </si>
  <si>
    <t>2k24ece105@kiot.ac.in</t>
  </si>
  <si>
    <t>2k24ece106@kiot.ac.in</t>
  </si>
  <si>
    <t>NAVEENRAJ</t>
  </si>
  <si>
    <t>2k24ece108@kiot.ac.in</t>
  </si>
  <si>
    <t>NESHMA</t>
  </si>
  <si>
    <t>2k24ece109@kiot.ac.in</t>
  </si>
  <si>
    <t>NIRMAL</t>
  </si>
  <si>
    <t>RAJ M</t>
  </si>
  <si>
    <t>2k24ece110@kiot.ac.in</t>
  </si>
  <si>
    <t>NISHANTHI</t>
  </si>
  <si>
    <t>2k24ece111@kiot.ac.in</t>
  </si>
  <si>
    <t>NIVINVARSHAN</t>
  </si>
  <si>
    <t>2k24ece112@kiot.ac.in</t>
  </si>
  <si>
    <t>PARAMESHVAR</t>
  </si>
  <si>
    <t>M D</t>
  </si>
  <si>
    <t>2k24ece113@kiot.ac.in</t>
  </si>
  <si>
    <t>PAVITHRA</t>
  </si>
  <si>
    <t>2k24ece114@kiot.ac.in</t>
  </si>
  <si>
    <t>POOJAKUMARI</t>
  </si>
  <si>
    <t>2k24ece115@kiot.ac.in</t>
  </si>
  <si>
    <t>PRABHAKARAN</t>
  </si>
  <si>
    <t>2k24ece116@kiot.ac.in</t>
  </si>
  <si>
    <t>PRADEEP</t>
  </si>
  <si>
    <t>2k24ece117@kiot.ac.in</t>
  </si>
  <si>
    <t>2k24ece118@kiot.ac.in</t>
  </si>
  <si>
    <t>2k24ece119@kiot.ac.in</t>
  </si>
  <si>
    <t>PRADEESH</t>
  </si>
  <si>
    <t>A S</t>
  </si>
  <si>
    <t>2k24ece120@kiot.ac.in</t>
  </si>
  <si>
    <t>PRANEESH</t>
  </si>
  <si>
    <t>2k24ece121@kiot.ac.in</t>
  </si>
  <si>
    <t>PRIYADHARSHINI</t>
  </si>
  <si>
    <t>2k24ece122@kiot.ac.in</t>
  </si>
  <si>
    <t>2k24ece123@kiot.ac.in</t>
  </si>
  <si>
    <t>RAAGHAVHARIHARA</t>
  </si>
  <si>
    <t>Y</t>
  </si>
  <si>
    <t>2k24ece126@kiot.ac.in</t>
  </si>
  <si>
    <t>RAJESHWARI</t>
  </si>
  <si>
    <t>2k24ece127@kiot.ac.in</t>
  </si>
  <si>
    <t>RANGANATH</t>
  </si>
  <si>
    <t>2k24ece128@kiot.ac.in</t>
  </si>
  <si>
    <t>RANJITHKUMAR</t>
  </si>
  <si>
    <t>2k24ece129@kiot.ac.in</t>
  </si>
  <si>
    <t>RENITA EMERALD</t>
  </si>
  <si>
    <t>2k24ece131@kiot.ac.in</t>
  </si>
  <si>
    <t>2k24ece132@kiot.ac.in</t>
  </si>
  <si>
    <t>2k24ece133@kiot.ac.in</t>
  </si>
  <si>
    <t>ROSHMI</t>
  </si>
  <si>
    <t>2k24ece134@kiot.ac.in</t>
  </si>
  <si>
    <t>RUBINI</t>
  </si>
  <si>
    <t>2k24ece136@kiot.ac.in</t>
  </si>
  <si>
    <t>SANJAIKUMAR</t>
  </si>
  <si>
    <t>2k24ece137@kiot.ac.in</t>
  </si>
  <si>
    <t>SANJAY</t>
  </si>
  <si>
    <t>2k24ece139@kiot.ac.in</t>
  </si>
  <si>
    <t>SANTHOSHKUMAR</t>
  </si>
  <si>
    <t>2k24ece140@kiot.ac.in</t>
  </si>
  <si>
    <t>SARAN</t>
  </si>
  <si>
    <t>2k24ece141@kiot.ac.in</t>
  </si>
  <si>
    <t>SARAN MANJU</t>
  </si>
  <si>
    <t>2k24ece142@kiot.ac.in</t>
  </si>
  <si>
    <t>SARVESH</t>
  </si>
  <si>
    <t>2k24ece143@kiot.ac.in</t>
  </si>
  <si>
    <t>SHAGANA SHREE</t>
  </si>
  <si>
    <t>2k24ece144@kiot.ac.in</t>
  </si>
  <si>
    <t>SHALINI</t>
  </si>
  <si>
    <t>2k24ece145@kiot.ac.in</t>
  </si>
  <si>
    <t>SHANMUGA PRIYA</t>
  </si>
  <si>
    <t>2k24ece146@kiot.ac.in</t>
  </si>
  <si>
    <t>SIDHUPAVITHRA</t>
  </si>
  <si>
    <t>2k24ece147@kiot.ac.in</t>
  </si>
  <si>
    <t>SIVA SIDDHA MOORTHY</t>
  </si>
  <si>
    <t>2k24ece148@kiot.ac.in</t>
  </si>
  <si>
    <t>SOWMIYA</t>
  </si>
  <si>
    <t>2k24ece149@kiot.ac.in</t>
  </si>
  <si>
    <t>SRIGOKULAKRISHNAN</t>
  </si>
  <si>
    <t>2k24ece150@kiot.ac.in</t>
  </si>
  <si>
    <t>SUBICSA</t>
  </si>
  <si>
    <t>2k24ece154@kiot.ac.in</t>
  </si>
  <si>
    <t>SUNMATHI</t>
  </si>
  <si>
    <t>MANIVELAN</t>
  </si>
  <si>
    <t>2k24ece155@kiot.ac.in</t>
  </si>
  <si>
    <t>SURIYAA</t>
  </si>
  <si>
    <t>V M</t>
  </si>
  <si>
    <t>2k24ece156@kiot.ac.in</t>
  </si>
  <si>
    <t>SURYA</t>
  </si>
  <si>
    <t>2k24ece157@kiot.ac.in</t>
  </si>
  <si>
    <t>TAMILARASAN</t>
  </si>
  <si>
    <t>2k24ece158@kiot.ac.in</t>
  </si>
  <si>
    <t>TAMIZHARASI</t>
  </si>
  <si>
    <t>2k24ece159@kiot.ac.in</t>
  </si>
  <si>
    <t>THABASSUM</t>
  </si>
  <si>
    <t>2k24ece160@kiot.ac.in</t>
  </si>
  <si>
    <t>THARUN</t>
  </si>
  <si>
    <t>2k24ece161@kiot.ac.in</t>
  </si>
  <si>
    <t>THEGINI</t>
  </si>
  <si>
    <t>2k24ece162@kiot.ac.in</t>
  </si>
  <si>
    <t>THULASI MANIKANDAN</t>
  </si>
  <si>
    <t>2k24ece163@kiot.ac.in</t>
  </si>
  <si>
    <t>VAISHNAVI</t>
  </si>
  <si>
    <t>2k24ece164@kiot.ac.in</t>
  </si>
  <si>
    <t>VASSUMITHA</t>
  </si>
  <si>
    <t>2k24ece165@kiot.ac.in</t>
  </si>
  <si>
    <t>VEDHAVYAS</t>
  </si>
  <si>
    <t>2k24ece166@kiot.ac.in</t>
  </si>
  <si>
    <t>VENKATESH</t>
  </si>
  <si>
    <t>2k24ece167@kiot.ac.in</t>
  </si>
  <si>
    <t>VIBHEESHAN</t>
  </si>
  <si>
    <t>N K</t>
  </si>
  <si>
    <t>2k24ece168@kiot.ac.in</t>
  </si>
  <si>
    <t>VIDHYA</t>
  </si>
  <si>
    <t>2k24ece169@kiot.ac.in</t>
  </si>
  <si>
    <t>VIGNESH</t>
  </si>
  <si>
    <t>2k24ece170@kiot.ac.in</t>
  </si>
  <si>
    <t>2k24ece171@kiot.ac.in</t>
  </si>
  <si>
    <t>VIGNESHWARAN</t>
  </si>
  <si>
    <t>2k24ece172@kiot.ac.in</t>
  </si>
  <si>
    <t>VINOBERNA</t>
  </si>
  <si>
    <t>2k24ece173@kiot.ac.in</t>
  </si>
  <si>
    <t>VINODHINI</t>
  </si>
  <si>
    <t>2k24ece174@kiot.ac.in</t>
  </si>
  <si>
    <t>VISHNU</t>
  </si>
  <si>
    <t>2k24ece175@kiot.ac.in</t>
  </si>
  <si>
    <t>VISHNU VIKAS</t>
  </si>
  <si>
    <t>2k24ece177@kiot.ac.in</t>
  </si>
  <si>
    <t>YOGESH</t>
  </si>
  <si>
    <t>2k24ece179@kiot.ac.in</t>
  </si>
  <si>
    <t>ANBUMURUGAN</t>
  </si>
  <si>
    <t>2k24ece180@kiot.ac.in</t>
  </si>
  <si>
    <t>ARUL</t>
  </si>
  <si>
    <t>2k24ece181@kiot.ac.in</t>
  </si>
  <si>
    <t>2k24ece182@kiot.ac.in</t>
  </si>
  <si>
    <t>DHARANEESH</t>
  </si>
  <si>
    <t>2k24ece183@kiot.ac.in</t>
  </si>
  <si>
    <t>DINESHKUMAR</t>
  </si>
  <si>
    <t>2k24ece184@kiot.ac.in</t>
  </si>
  <si>
    <t>GIRIPRASANTH</t>
  </si>
  <si>
    <t>2k24ece185@kiot.ac.in</t>
  </si>
  <si>
    <t>GOKULRETHICK</t>
  </si>
  <si>
    <t>2k24ece186@kiot.ac.in</t>
  </si>
  <si>
    <t>2k24ece187@kiot.ac.in</t>
  </si>
  <si>
    <t>2k24ece188@kiot.ac.in</t>
  </si>
  <si>
    <t>JAYASURIYA</t>
  </si>
  <si>
    <t>2k24ece190@kiot.ac.in</t>
  </si>
  <si>
    <t>KAMLESH</t>
  </si>
  <si>
    <t>2k24ece191@kiot.ac.in</t>
  </si>
  <si>
    <t>KUMARAN</t>
  </si>
  <si>
    <t>CD</t>
  </si>
  <si>
    <t>2k24ece194@kiot.ac.in</t>
  </si>
  <si>
    <t>PRITHIV DHARSHAN</t>
  </si>
  <si>
    <t>2k24ece197@kiot.ac.in</t>
  </si>
  <si>
    <t>SATHYA NARAYANA</t>
  </si>
  <si>
    <t>2k24ece198@kiot.ac.in</t>
  </si>
  <si>
    <t>SOTHISHVAR</t>
  </si>
  <si>
    <t>2k24eee02@kiot.ac.in</t>
  </si>
  <si>
    <t>AJAIKUMAR</t>
  </si>
  <si>
    <t>2k24eee04@kiot.ac.in</t>
  </si>
  <si>
    <t>ANGELGANISGA</t>
  </si>
  <si>
    <t>D S</t>
  </si>
  <si>
    <t>2k24eee05@kiot.ac.in</t>
  </si>
  <si>
    <t>BARANEEDHARAN</t>
  </si>
  <si>
    <t>2k24eee07@kiot.ac.in</t>
  </si>
  <si>
    <t>DEEPASRI</t>
  </si>
  <si>
    <t>2k24eee08@kiot.ac.in</t>
  </si>
  <si>
    <t>DEVISRI</t>
  </si>
  <si>
    <t>J R</t>
  </si>
  <si>
    <t>2k24eee10@kiot.ac.in</t>
  </si>
  <si>
    <t>DHANA SRI</t>
  </si>
  <si>
    <t>2k24eee11@kiot.ac.in</t>
  </si>
  <si>
    <t>DHANUSHREYA</t>
  </si>
  <si>
    <t>2k24eee12@kiot.ac.in</t>
  </si>
  <si>
    <t>2k24eee14@kiot.ac.in</t>
  </si>
  <si>
    <t>HAJA</t>
  </si>
  <si>
    <t>MOHIDEEN</t>
  </si>
  <si>
    <t>2k24eee15@kiot.ac.in</t>
  </si>
  <si>
    <t>2k24eee16@kiot.ac.in</t>
  </si>
  <si>
    <t>HARISHBABU</t>
  </si>
  <si>
    <t>2k24eee17@kiot.ac.in</t>
  </si>
  <si>
    <t>2k24eee18@kiot.ac.in</t>
  </si>
  <si>
    <t>2k24eee19@kiot.ac.in</t>
  </si>
  <si>
    <t>JAYASHREE</t>
  </si>
  <si>
    <t>2k24eee20@kiot.ac.in</t>
  </si>
  <si>
    <t>JEEVAN</t>
  </si>
  <si>
    <t>ANS</t>
  </si>
  <si>
    <t>2k24eee21@kiot.ac.in</t>
  </si>
  <si>
    <t>KAARTHIK KRISHNAN</t>
  </si>
  <si>
    <t>2k24eee22@kiot.ac.in</t>
  </si>
  <si>
    <t>KAUSHIK RAAM</t>
  </si>
  <si>
    <t>2k24eee24@kiot.ac.in</t>
  </si>
  <si>
    <t>KAVISHANKAR</t>
  </si>
  <si>
    <t>2k24eee25@kiot.ac.in</t>
  </si>
  <si>
    <t>KAVIYARASU</t>
  </si>
  <si>
    <t>2k24eee29@kiot.ac.in</t>
  </si>
  <si>
    <t>LAKSANAA</t>
  </si>
  <si>
    <t>K P</t>
  </si>
  <si>
    <t>2k24eee31@kiot.ac.in</t>
  </si>
  <si>
    <t>MAHAKARTHIKEYAN</t>
  </si>
  <si>
    <t>2k24eee33@kiot.ac.in</t>
  </si>
  <si>
    <t>MIDHUN BALAA</t>
  </si>
  <si>
    <t>2k24eee35@kiot.ac.in</t>
  </si>
  <si>
    <t>NAREN KARTHICK</t>
  </si>
  <si>
    <t>2k24eee36@kiot.ac.in</t>
  </si>
  <si>
    <t>NARENDRAPRASANTH</t>
  </si>
  <si>
    <t>2k24eee38@kiot.ac.in</t>
  </si>
  <si>
    <t>NETHRA</t>
  </si>
  <si>
    <t>2k24eee41@kiot.ac.in</t>
  </si>
  <si>
    <t>PAVITHRAN</t>
  </si>
  <si>
    <t>2k24eee42@kiot.ac.in</t>
  </si>
  <si>
    <t>POOVARASU</t>
  </si>
  <si>
    <t>2k24eee46@kiot.ac.in</t>
  </si>
  <si>
    <t>SABARIRAJA</t>
  </si>
  <si>
    <t>2k24eee47@kiot.ac.in</t>
  </si>
  <si>
    <t>SABHAREESWARI</t>
  </si>
  <si>
    <t>2k24eee48@kiot.ac.in</t>
  </si>
  <si>
    <t>SACHIN</t>
  </si>
  <si>
    <t>J P</t>
  </si>
  <si>
    <t>2k24eee49@kiot.ac.in</t>
  </si>
  <si>
    <t>SAKTHIVEL</t>
  </si>
  <si>
    <t>2k24eee52@kiot.ac.in</t>
  </si>
  <si>
    <t>THANISHKA</t>
  </si>
  <si>
    <t>2k24eee54@kiot.ac.in</t>
  </si>
  <si>
    <t>UMA</t>
  </si>
  <si>
    <t>A V</t>
  </si>
  <si>
    <t>2k24eee57@kiot.ac.in</t>
  </si>
  <si>
    <t>VIJAIVENDHAN</t>
  </si>
  <si>
    <t>2k24eee58@kiot.ac.in</t>
  </si>
  <si>
    <t>VIJAYVIGNESH</t>
  </si>
  <si>
    <t>2k24eee59@kiot.ac.in</t>
  </si>
  <si>
    <t>VISHWADHARANI</t>
  </si>
  <si>
    <t>2k24eee62@kiot.ac.in</t>
  </si>
  <si>
    <t>KAVIMIDHUN</t>
  </si>
  <si>
    <t>2k24eee63@kiot.ac.in</t>
  </si>
  <si>
    <t>2k24eee64@kiot.ac.in</t>
  </si>
  <si>
    <t>NISANTH</t>
  </si>
  <si>
    <t>2k24it001@kiot.ac.in</t>
  </si>
  <si>
    <t>Aarthi</t>
  </si>
  <si>
    <t>2k24it002@kiot.ac.in</t>
  </si>
  <si>
    <t>2k24it003@kiot.ac.in</t>
  </si>
  <si>
    <t>Amirtha</t>
  </si>
  <si>
    <t>2k24it004@kiot.ac.in</t>
  </si>
  <si>
    <t>Aneesha</t>
  </si>
  <si>
    <t>2k24it005@kiot.ac.in</t>
  </si>
  <si>
    <t>Ardhanari</t>
  </si>
  <si>
    <t>2k24it006@kiot.ac.in</t>
  </si>
  <si>
    <t>Balabharathi</t>
  </si>
  <si>
    <t>2k24it007@kiot.ac.in</t>
  </si>
  <si>
    <t>Balaji</t>
  </si>
  <si>
    <t>2k24it008@kiot.ac.in</t>
  </si>
  <si>
    <t>Baranidharan</t>
  </si>
  <si>
    <t>2k24it009@kiot.ac.in</t>
  </si>
  <si>
    <t>Bhoomika</t>
  </si>
  <si>
    <t>2k24it010@kiot.ac.in</t>
  </si>
  <si>
    <t>Boopathi Raja</t>
  </si>
  <si>
    <t>2k24it012@kiot.ac.in</t>
  </si>
  <si>
    <t>2k24it015@kiot.ac.in</t>
  </si>
  <si>
    <t>Devaprakash</t>
  </si>
  <si>
    <t>2k24it016@kiot.ac.in</t>
  </si>
  <si>
    <t>Devipriya</t>
  </si>
  <si>
    <t>2k24it021@kiot.ac.in</t>
  </si>
  <si>
    <t>Dharsan</t>
  </si>
  <si>
    <t>2k24it022@kiot.ac.in</t>
  </si>
  <si>
    <t>Dharshana</t>
  </si>
  <si>
    <t>2k24it023@kiot.ac.in</t>
  </si>
  <si>
    <t>2k24it024@kiot.ac.in</t>
  </si>
  <si>
    <t>2k24it027@kiot.ac.in</t>
  </si>
  <si>
    <t>Divakaran</t>
  </si>
  <si>
    <t>2k24it030@kiot.ac.in</t>
  </si>
  <si>
    <t>Francisca Mary</t>
  </si>
  <si>
    <t>2k24it032@kiot.ac.in</t>
  </si>
  <si>
    <t>Geetha Arun Priya</t>
  </si>
  <si>
    <t>2k24it034@kiot.ac.in</t>
  </si>
  <si>
    <t>Gomathi Sankar</t>
  </si>
  <si>
    <t>2k24it035@kiot.ac.in</t>
  </si>
  <si>
    <t>Gopika</t>
  </si>
  <si>
    <t>2k24it037@kiot.ac.in</t>
  </si>
  <si>
    <t>Hareesh</t>
  </si>
  <si>
    <t>2k24it039@kiot.ac.in</t>
  </si>
  <si>
    <t>Harshanth</t>
  </si>
  <si>
    <t>2k24it040@kiot.ac.in</t>
  </si>
  <si>
    <t>Imrankhan</t>
  </si>
  <si>
    <t>2k24it041@kiot.ac.in</t>
  </si>
  <si>
    <t>Inbaragavan</t>
  </si>
  <si>
    <t>2k24it044@kiot.ac.in</t>
  </si>
  <si>
    <t>Jeevan</t>
  </si>
  <si>
    <t>2k24it046@kiot.ac.in</t>
  </si>
  <si>
    <t>Kalkki</t>
  </si>
  <si>
    <t>2k24it047@kiot.ac.in</t>
  </si>
  <si>
    <t>Kanishka</t>
  </si>
  <si>
    <t>2k24it048@kiot.ac.in</t>
  </si>
  <si>
    <t>Karthiga Sree</t>
  </si>
  <si>
    <t>Suresh</t>
  </si>
  <si>
    <t>2k24it051@kiot.ac.in</t>
  </si>
  <si>
    <t>Kaviyasri</t>
  </si>
  <si>
    <t>2k24it052@kiot.ac.in</t>
  </si>
  <si>
    <t>Keerthik</t>
  </si>
  <si>
    <t>2k24it053@kiot.ac.in</t>
  </si>
  <si>
    <t>Keerthivarshini</t>
  </si>
  <si>
    <t>2k24it055@kiot.ac.in</t>
  </si>
  <si>
    <t>Lakshana</t>
  </si>
  <si>
    <t>2k24it061@kiot.ac.in</t>
  </si>
  <si>
    <t>Manoranjini</t>
  </si>
  <si>
    <t>2k24it062@kiot.ac.in</t>
  </si>
  <si>
    <t>Midhun</t>
  </si>
  <si>
    <t>2k24it063@kiot.ac.in</t>
  </si>
  <si>
    <t>Miruthula</t>
  </si>
  <si>
    <t>2k24it064@kiot.ac.in</t>
  </si>
  <si>
    <t>Mohamed Imran</t>
  </si>
  <si>
    <t>2k24it065@kiot.ac.in</t>
  </si>
  <si>
    <t>Mohammed Thaleeb M</t>
  </si>
  <si>
    <t>2k24it066@kiot.ac.in</t>
  </si>
  <si>
    <t>Monika</t>
  </si>
  <si>
    <t>2k24it067@kiot.ac.in</t>
  </si>
  <si>
    <t>MONISA</t>
  </si>
  <si>
    <t>2k24it068@kiot.ac.in</t>
  </si>
  <si>
    <t>Mukeshkumar</t>
  </si>
  <si>
    <t>2k24it069@kiot.ac.in</t>
  </si>
  <si>
    <t>Muthukumaran</t>
  </si>
  <si>
    <t>2k24it071@kiot.ac.in</t>
  </si>
  <si>
    <t>Naveenasri</t>
  </si>
  <si>
    <t>2k24it072@kiot.ac.in</t>
  </si>
  <si>
    <t>Nisvanth</t>
  </si>
  <si>
    <t>2k24it075@kiot.ac.in</t>
  </si>
  <si>
    <t>Pradeep</t>
  </si>
  <si>
    <t>2k24it077@kiot.ac.in</t>
  </si>
  <si>
    <t>Prakash</t>
  </si>
  <si>
    <t>2k24it078@kiot.ac.in</t>
  </si>
  <si>
    <t>Praveen Kumar</t>
  </si>
  <si>
    <t>2k24it081@kiot.ac.in</t>
  </si>
  <si>
    <t>RAJVENKADAM</t>
  </si>
  <si>
    <t>2k24it083@kiot.ac.in</t>
  </si>
  <si>
    <t>RAMANAN</t>
  </si>
  <si>
    <t>2k24it084@kiot.ac.in</t>
  </si>
  <si>
    <t>RAMESH</t>
  </si>
  <si>
    <t>B S</t>
  </si>
  <si>
    <t>2k24it086@kiot.ac.in</t>
  </si>
  <si>
    <t>Rashmi</t>
  </si>
  <si>
    <t>2k24it089@kiot.ac.in</t>
  </si>
  <si>
    <t>Sanjai Kumar</t>
  </si>
  <si>
    <t>2k24it090@kiot.ac.in</t>
  </si>
  <si>
    <t>Sanjay Kumar</t>
  </si>
  <si>
    <t>2k24it091@kiot.ac.in</t>
  </si>
  <si>
    <t>2k24it092@kiot.ac.in</t>
  </si>
  <si>
    <t>2k24it093@kiot.ac.in</t>
  </si>
  <si>
    <t>Saranya S</t>
  </si>
  <si>
    <t>2k24it094@kiot.ac.in</t>
  </si>
  <si>
    <t>Saravana</t>
  </si>
  <si>
    <t>2k24it095@kiot.ac.in</t>
  </si>
  <si>
    <t>Sathish</t>
  </si>
  <si>
    <t>2k24it097@kiot.ac.in</t>
  </si>
  <si>
    <t>Selva Bharathi V</t>
  </si>
  <si>
    <t>2k24it098@kiot.ac.in</t>
  </si>
  <si>
    <t>Shalini</t>
  </si>
  <si>
    <t>2k24it099@kiot.ac.in</t>
  </si>
  <si>
    <t>Sham</t>
  </si>
  <si>
    <t>2k24it100@kiot.ac.in</t>
  </si>
  <si>
    <t>2k24it103@kiot.ac.in</t>
  </si>
  <si>
    <t>Sridharani</t>
  </si>
  <si>
    <t>2k24it105@kiot.ac.in</t>
  </si>
  <si>
    <t>Sudheksha</t>
  </si>
  <si>
    <t>2k24it106@kiot.ac.in</t>
  </si>
  <si>
    <t>Sujal Sharma</t>
  </si>
  <si>
    <t>2k24it108@kiot.ac.in</t>
  </si>
  <si>
    <t>Surya Karthikeyan</t>
  </si>
  <si>
    <t>2k24it109@kiot.ac.in</t>
  </si>
  <si>
    <t>Swarnalakshmi</t>
  </si>
  <si>
    <t>2k24it110@kiot.ac.in</t>
  </si>
  <si>
    <t>Syed Ajmal</t>
  </si>
  <si>
    <t>2k24it112@kiot.ac.in</t>
  </si>
  <si>
    <t>Vasundhara</t>
  </si>
  <si>
    <t>2k24it115@kiot.ac.in</t>
  </si>
  <si>
    <t>Veera Dharshan</t>
  </si>
  <si>
    <t>2k24it116@kiot.ac.in</t>
  </si>
  <si>
    <t>Vikranth</t>
  </si>
  <si>
    <t>2k24it120@kiot.ac.in</t>
  </si>
  <si>
    <t>Yuvasri</t>
  </si>
  <si>
    <t>2k24me001@kiot.ac.in</t>
  </si>
  <si>
    <t>Ajay</t>
  </si>
  <si>
    <t>2k24me003@kiot.ac.in</t>
  </si>
  <si>
    <t>Anbarasi</t>
  </si>
  <si>
    <t>2k24me008@kiot.ac.in</t>
  </si>
  <si>
    <t>Arun</t>
  </si>
  <si>
    <t>2k24me012@kiot.ac.in</t>
  </si>
  <si>
    <t>Bhubesh S</t>
  </si>
  <si>
    <t>2k24me014@kiot.ac.in</t>
  </si>
  <si>
    <t>Deepak Sanjei S</t>
  </si>
  <si>
    <t>2k24me015@kiot.ac.in</t>
  </si>
  <si>
    <t>Deepakram</t>
  </si>
  <si>
    <t>2k24me016@kiot.ac.in</t>
  </si>
  <si>
    <t>Devprasath</t>
  </si>
  <si>
    <t>2k24me017@kiot.ac.in</t>
  </si>
  <si>
    <t>Dhanush</t>
  </si>
  <si>
    <t>2k24me018@kiot.ac.in</t>
  </si>
  <si>
    <t>Dhanushkumar</t>
  </si>
  <si>
    <t>2k24me019@kiot.ac.in</t>
  </si>
  <si>
    <t>2k24me020@kiot.ac.in</t>
  </si>
  <si>
    <t>AM</t>
  </si>
  <si>
    <t>2k24me021@kiot.ac.in</t>
  </si>
  <si>
    <t>2k24me022@kiot.ac.in</t>
  </si>
  <si>
    <t>2k24me023@kiot.ac.in</t>
  </si>
  <si>
    <t>2k24me024@kiot.ac.in</t>
  </si>
  <si>
    <t>Dharunkumar</t>
  </si>
  <si>
    <t>2k24me027@kiot.ac.in</t>
  </si>
  <si>
    <t>Dinesh</t>
  </si>
  <si>
    <t>2k24me028@kiot.ac.in</t>
  </si>
  <si>
    <t>Divya</t>
  </si>
  <si>
    <t>2k24me029@kiot.ac.in</t>
  </si>
  <si>
    <t>Divya Prakash P</t>
  </si>
  <si>
    <t>2k24me030@kiot.ac.in</t>
  </si>
  <si>
    <t>Elangovan</t>
  </si>
  <si>
    <t>2k24me031@kiot.ac.in</t>
  </si>
  <si>
    <t>Ganapathiram</t>
  </si>
  <si>
    <t>2k24me032@kiot.ac.in</t>
  </si>
  <si>
    <t>Ganesh</t>
  </si>
  <si>
    <t>2k24me033@kiot.ac.in</t>
  </si>
  <si>
    <t>Gauthamganesh V</t>
  </si>
  <si>
    <t>2k24me035@kiot.ac.in</t>
  </si>
  <si>
    <t>Gokul</t>
  </si>
  <si>
    <t>2k24me036@kiot.ac.in</t>
  </si>
  <si>
    <t>Gokulakrishnan</t>
  </si>
  <si>
    <t>2k24me037@kiot.ac.in</t>
  </si>
  <si>
    <t>Goutham</t>
  </si>
  <si>
    <t>2k24me038@kiot.ac.in</t>
  </si>
  <si>
    <t>Gowtham D</t>
  </si>
  <si>
    <t>2k24me039@kiot.ac.in</t>
  </si>
  <si>
    <t>Gunasekaran</t>
  </si>
  <si>
    <t>2k24me042@kiot.ac.in</t>
  </si>
  <si>
    <t>Haribasker</t>
  </si>
  <si>
    <t>2k24me044@kiot.ac.in</t>
  </si>
  <si>
    <t>Jana</t>
  </si>
  <si>
    <t>2k24me045@kiot.ac.in</t>
  </si>
  <si>
    <t>JEEVANANDAM</t>
  </si>
  <si>
    <t>2k24me047@kiot.ac.in</t>
  </si>
  <si>
    <t>Karthigadevi</t>
  </si>
  <si>
    <t>2k24me048@kiot.ac.in</t>
  </si>
  <si>
    <t>Karthikeyan</t>
  </si>
  <si>
    <t>2k24me049@kiot.ac.in</t>
  </si>
  <si>
    <t>Kathiravan</t>
  </si>
  <si>
    <t>2k24me050@kiot.ac.in</t>
  </si>
  <si>
    <t>Keerthana</t>
  </si>
  <si>
    <t>2k24me052@kiot.ac.in</t>
  </si>
  <si>
    <t>Krishnamoorthy</t>
  </si>
  <si>
    <t>2k24me053@kiot.ac.in</t>
  </si>
  <si>
    <t>Kusumarekha</t>
  </si>
  <si>
    <t>2k24me054@kiot.ac.in</t>
  </si>
  <si>
    <t>Logesh</t>
  </si>
  <si>
    <t>2k24me055@kiot.ac.in</t>
  </si>
  <si>
    <t>Soundharya</t>
  </si>
  <si>
    <t>2k24me060@kiot.ac.in</t>
  </si>
  <si>
    <t>MARISELVARAJ</t>
  </si>
  <si>
    <t>2k24me063@kiot.ac.in</t>
  </si>
  <si>
    <t>MOULISHWARAN</t>
  </si>
  <si>
    <t>2k24me072@kiot.ac.in</t>
  </si>
  <si>
    <t>PRAGADESH</t>
  </si>
  <si>
    <t>2k24me081@kiot.ac.in</t>
  </si>
  <si>
    <t>SANTHOSH</t>
  </si>
  <si>
    <t>2k24me085@kiot.ac.in</t>
  </si>
  <si>
    <t>SARANYA</t>
  </si>
  <si>
    <t>2k24me104@kiot.ac.in</t>
  </si>
  <si>
    <t>SA</t>
  </si>
  <si>
    <t>2k24me111@kiot.ac.in</t>
  </si>
  <si>
    <t>2k24me112@kiot.ac.in</t>
  </si>
  <si>
    <t>Dheena</t>
  </si>
  <si>
    <t>2k24me115@kiot.ac.in</t>
  </si>
  <si>
    <t>Jagan</t>
  </si>
  <si>
    <t>2k24me131@kiot.ac.in</t>
  </si>
  <si>
    <t>Vignesh</t>
  </si>
  <si>
    <t>Status</t>
  </si>
  <si>
    <t>Started</t>
  </si>
  <si>
    <t>Completed</t>
  </si>
  <si>
    <t>Duration</t>
  </si>
  <si>
    <t>Grade/25.00</t>
  </si>
  <si>
    <t>Q. 1 /1.00</t>
  </si>
  <si>
    <t>Q. 2 /1.00</t>
  </si>
  <si>
    <t>Q. 3 /1.00</t>
  </si>
  <si>
    <t>Q. 4 /1.00</t>
  </si>
  <si>
    <t>Q. 5 /1.00</t>
  </si>
  <si>
    <t>Q. 6 /1.00</t>
  </si>
  <si>
    <t>Q. 7 /1.00</t>
  </si>
  <si>
    <t>Q. 8 /1.00</t>
  </si>
  <si>
    <t>Q. 9 /1.00</t>
  </si>
  <si>
    <t>Q. 10 /1.00</t>
  </si>
  <si>
    <t>Q. 11 /1.00</t>
  </si>
  <si>
    <t>Q. 12 /1.00</t>
  </si>
  <si>
    <t>Q. 13 /1.00</t>
  </si>
  <si>
    <t>Q. 14 /1.00</t>
  </si>
  <si>
    <t>Q. 15 /1.00</t>
  </si>
  <si>
    <t>Q. 16 /1.00</t>
  </si>
  <si>
    <t>Q. 17 /1.00</t>
  </si>
  <si>
    <t>Q. 18 /1.00</t>
  </si>
  <si>
    <t>Q. 19 /1.00</t>
  </si>
  <si>
    <t>Q. 20 /1.00</t>
  </si>
  <si>
    <t>Q. 21 /1.00</t>
  </si>
  <si>
    <t>Q. 22 /1.00</t>
  </si>
  <si>
    <t>Q. 23 /1.00</t>
  </si>
  <si>
    <t>Q. 24 /1.00</t>
  </si>
  <si>
    <t>Q. 25 /1.00</t>
  </si>
  <si>
    <t>Sudha</t>
  </si>
  <si>
    <t>cdtdeo@kiot.ac.in</t>
  </si>
  <si>
    <t>Finished</t>
  </si>
  <si>
    <t>6 August 2026  11:24 AM</t>
  </si>
  <si>
    <t>6 August 2026  12:09 PM</t>
  </si>
  <si>
    <t>45 mins</t>
  </si>
  <si>
    <t>0.00</t>
  </si>
  <si>
    <t>-</t>
  </si>
  <si>
    <t>8 August 2026  12:20 PM</t>
  </si>
  <si>
    <t>8 August 2026  12:37 PM</t>
  </si>
  <si>
    <t>16 mins 37 secs</t>
  </si>
  <si>
    <t>23.00</t>
  </si>
  <si>
    <t>1.00</t>
  </si>
  <si>
    <t>8 August 2026  1:08 PM</t>
  </si>
  <si>
    <t>8 August 2026  1:39 PM</t>
  </si>
  <si>
    <t>31 mins 30 secs</t>
  </si>
  <si>
    <t>22.00</t>
  </si>
  <si>
    <t>8 August 2026  1:59 PM</t>
  </si>
  <si>
    <t>8 August 2026  2:11 PM</t>
  </si>
  <si>
    <t>12 mins 17 secs</t>
  </si>
  <si>
    <t>18.00</t>
  </si>
  <si>
    <t>8 August 2026  7:01 PM</t>
  </si>
  <si>
    <t>8 August 2026  7:24 PM</t>
  </si>
  <si>
    <t>23 mins 32 secs</t>
  </si>
  <si>
    <t>8 August 2026  8:31 PM</t>
  </si>
  <si>
    <t>8 August 2026  8:46 PM</t>
  </si>
  <si>
    <t>14 mins 25 secs</t>
  </si>
  <si>
    <t>8 August 2026  8:51 PM</t>
  </si>
  <si>
    <t>8 August 2026  9:36 PM</t>
  </si>
  <si>
    <t>44 mins 20 secs</t>
  </si>
  <si>
    <t>19.00</t>
  </si>
  <si>
    <t>8 August 2026  9:10 PM</t>
  </si>
  <si>
    <t>8 August 2026  9:18 PM</t>
  </si>
  <si>
    <t>8 mins 33 secs</t>
  </si>
  <si>
    <t>8 August 2026  9:39 PM</t>
  </si>
  <si>
    <t>8 August 2026  10:07 PM</t>
  </si>
  <si>
    <t>28 mins 53 secs</t>
  </si>
  <si>
    <t>8 August 2026  9:56 PM</t>
  </si>
  <si>
    <t>8 August 2026  10:03 PM</t>
  </si>
  <si>
    <t>6 mins 29 secs</t>
  </si>
  <si>
    <t>20.00</t>
  </si>
  <si>
    <t>8 August 2026  10:52 PM</t>
  </si>
  <si>
    <t>8 August 2026  11:02 PM</t>
  </si>
  <si>
    <t>10 mins 3 secs</t>
  </si>
  <si>
    <t>24.00</t>
  </si>
  <si>
    <t>8 August 2026  10:53 PM</t>
  </si>
  <si>
    <t>8 August 2026  11:16 PM</t>
  </si>
  <si>
    <t>23 mins 27 secs</t>
  </si>
  <si>
    <t>In progress</t>
  </si>
  <si>
    <t>8 August 2026  11:18 PM</t>
  </si>
  <si>
    <t>9 August 2026  7:22 AM</t>
  </si>
  <si>
    <t>9 August 2026  7:33 AM</t>
  </si>
  <si>
    <t>11 mins</t>
  </si>
  <si>
    <t>9 August 2026  8:00 AM</t>
  </si>
  <si>
    <t>9 August 2026  8:43 AM</t>
  </si>
  <si>
    <t>42 mins 46 secs</t>
  </si>
  <si>
    <t>25.00</t>
  </si>
  <si>
    <t>9 August 2026  8:25 AM</t>
  </si>
  <si>
    <t>9 August 2026  8:42 AM</t>
  </si>
  <si>
    <t>16 mins 44 secs</t>
  </si>
  <si>
    <t>9 August 2026  9:41 AM</t>
  </si>
  <si>
    <t>9 August 2026  10:26 AM</t>
  </si>
  <si>
    <t>44 mins 57 secs</t>
  </si>
  <si>
    <t>9 August 2026  10:33 AM</t>
  </si>
  <si>
    <t>9 August 2026  10:41 AM</t>
  </si>
  <si>
    <t>7 mins 59 secs</t>
  </si>
  <si>
    <t>9 August 2026  11:24 AM</t>
  </si>
  <si>
    <t>9 August 2026  11:46 AM</t>
  </si>
  <si>
    <t>21 mins 44 secs</t>
  </si>
  <si>
    <t>9 August 2026  11:38 AM</t>
  </si>
  <si>
    <t>7 mins 19 secs</t>
  </si>
  <si>
    <t>9 August 2026  12:04 PM</t>
  </si>
  <si>
    <t>9 August 2026  12:07 PM</t>
  </si>
  <si>
    <t>2 mins 37 secs</t>
  </si>
  <si>
    <t>9 August 2026  12:08 PM</t>
  </si>
  <si>
    <t>9 August 2026  12:10 PM</t>
  </si>
  <si>
    <t>2 mins 30 secs</t>
  </si>
  <si>
    <t>9 August 2026  12:37 PM</t>
  </si>
  <si>
    <t>9 August 2026  1:11 PM</t>
  </si>
  <si>
    <t>33 mins 32 secs</t>
  </si>
  <si>
    <t>21.00</t>
  </si>
  <si>
    <t>9 August 2026  1:17 PM</t>
  </si>
  <si>
    <t>9 August 2026  1:32 PM</t>
  </si>
  <si>
    <t>14 mins 49 secs</t>
  </si>
  <si>
    <t>9 August 2026  2:23 PM</t>
  </si>
  <si>
    <t>9 August 2026  2:35 PM</t>
  </si>
  <si>
    <t>11 mins 56 secs</t>
  </si>
  <si>
    <t>9 August 2026  3:52 PM</t>
  </si>
  <si>
    <t>9 August 2026  4:01 PM</t>
  </si>
  <si>
    <t>9 mins 39 secs</t>
  </si>
  <si>
    <t>9 August 2026  4:25 PM</t>
  </si>
  <si>
    <t>9 August 2026  4:37 PM</t>
  </si>
  <si>
    <t>12 mins 6 secs</t>
  </si>
  <si>
    <t>9 August 2026  5:10 PM</t>
  </si>
  <si>
    <t>9 August 2026  5:49 PM</t>
  </si>
  <si>
    <t>38 mins 46 secs</t>
  </si>
  <si>
    <t>9 August 2026  5:45 PM</t>
  </si>
  <si>
    <t>9 August 2026  6:30 PM</t>
  </si>
  <si>
    <t>7.00</t>
  </si>
  <si>
    <t>9 August 2026  5:48 PM</t>
  </si>
  <si>
    <t>9 August 2026  6:10 PM</t>
  </si>
  <si>
    <t>21 mins 24 secs</t>
  </si>
  <si>
    <t>9 August 2026  6:02 PM</t>
  </si>
  <si>
    <t>9 August 2026  6:33 PM</t>
  </si>
  <si>
    <t>30 mins 52 secs</t>
  </si>
  <si>
    <t>9 August 2026  6:26 PM</t>
  </si>
  <si>
    <t>9 August 2026  6:28 PM</t>
  </si>
  <si>
    <t>2 mins 29 secs</t>
  </si>
  <si>
    <t>9 August 2026  6:29 PM</t>
  </si>
  <si>
    <t>9 August 2026  6:41 PM</t>
  </si>
  <si>
    <t>11 mins 47 secs</t>
  </si>
  <si>
    <t>9 August 2026  6:38 PM</t>
  </si>
  <si>
    <t>9 August 2026  6:48 PM</t>
  </si>
  <si>
    <t>10 mins 26 secs</t>
  </si>
  <si>
    <t>9 August 2026  6:43 PM</t>
  </si>
  <si>
    <t>9 August 2026  6:47 PM</t>
  </si>
  <si>
    <t>4 mins 8 secs</t>
  </si>
  <si>
    <t>9 August 2026  7:19 PM</t>
  </si>
  <si>
    <t>9 August 2026  7:26 PM</t>
  </si>
  <si>
    <t>6 mins 51 secs</t>
  </si>
  <si>
    <t>9 August 2026  7:27 PM</t>
  </si>
  <si>
    <t>9 August 2026  7:36 PM</t>
  </si>
  <si>
    <t>9 mins 6 secs</t>
  </si>
  <si>
    <t>8 mins 38 secs</t>
  </si>
  <si>
    <t>9 August 2026  7:28 PM</t>
  </si>
  <si>
    <t>9 August 2026  7:43 PM</t>
  </si>
  <si>
    <t>15 mins 7 secs</t>
  </si>
  <si>
    <t>9 August 2026  7:54 PM</t>
  </si>
  <si>
    <t>11 mins 34 secs</t>
  </si>
  <si>
    <t>9 August 2026  7:45 PM</t>
  </si>
  <si>
    <t>9 August 2026  7:55 PM</t>
  </si>
  <si>
    <t>9 mins 10 secs</t>
  </si>
  <si>
    <t>9 August 2026  7:57 PM</t>
  </si>
  <si>
    <t>9 August 2026  8:23 PM</t>
  </si>
  <si>
    <t>25 mins 54 secs</t>
  </si>
  <si>
    <t>9 August 2026  8:19 PM</t>
  </si>
  <si>
    <t>9 August 2026  8:33 PM</t>
  </si>
  <si>
    <t>13 mins 52 secs</t>
  </si>
  <si>
    <t>9 August 2026  8:30 PM</t>
  </si>
  <si>
    <t>9 August 2026  8:47 PM</t>
  </si>
  <si>
    <t>17 mins 31 secs</t>
  </si>
  <si>
    <t>9 August 2026  8:35 PM</t>
  </si>
  <si>
    <t>5 mins 12 secs</t>
  </si>
  <si>
    <t>9.00</t>
  </si>
  <si>
    <t>9 August 2026  8:32 PM</t>
  </si>
  <si>
    <t>9 August 2026  8:44 PM</t>
  </si>
  <si>
    <t>12 mins 19 secs</t>
  </si>
  <si>
    <t>15 mins 8 secs</t>
  </si>
  <si>
    <t>9 August 2026  8:45 PM</t>
  </si>
  <si>
    <t>12 mins 54 secs</t>
  </si>
  <si>
    <t>9 August 2026  8:51 PM</t>
  </si>
  <si>
    <t>15 mins 28 secs</t>
  </si>
  <si>
    <t>9 August 2026  8:38 PM</t>
  </si>
  <si>
    <t>9 August 2026  8:52 PM</t>
  </si>
  <si>
    <t>14 mins 11 secs</t>
  </si>
  <si>
    <t>14.00</t>
  </si>
  <si>
    <t>6 mins 43 secs</t>
  </si>
  <si>
    <t>9 August 2026  8:46 PM</t>
  </si>
  <si>
    <t>8 mins 34 secs</t>
  </si>
  <si>
    <t>9 August 2026  8:50 PM</t>
  </si>
  <si>
    <t>11 mins 35 secs</t>
  </si>
  <si>
    <t>9 August 2026  8:42 PM</t>
  </si>
  <si>
    <t>9 August 2026  8:59 PM</t>
  </si>
  <si>
    <t>16 mins 42 secs</t>
  </si>
  <si>
    <t>9 August 2026  9:02 PM</t>
  </si>
  <si>
    <t>19 mins 42 secs</t>
  </si>
  <si>
    <t>9 August 2026  8:43 PM</t>
  </si>
  <si>
    <t>9 August 2026  8:54 PM</t>
  </si>
  <si>
    <t>11 mins 36 secs</t>
  </si>
  <si>
    <t>9 August 2026  8:48 PM</t>
  </si>
  <si>
    <t>9 August 2026  9:07 PM</t>
  </si>
  <si>
    <t>19 mins 27 secs</t>
  </si>
  <si>
    <t>9 August 2026  9:34 PM</t>
  </si>
  <si>
    <t>42 mins 28 secs</t>
  </si>
  <si>
    <t>9 August 2026  8:56 PM</t>
  </si>
  <si>
    <t>9 August 2026  9:09 PM</t>
  </si>
  <si>
    <t>13 mins 7 secs</t>
  </si>
  <si>
    <t>9 August 2026  8:58 PM</t>
  </si>
  <si>
    <t>9 August 2026  9:08 PM</t>
  </si>
  <si>
    <t>10 mins 12 secs</t>
  </si>
  <si>
    <t>9 August 2026  9:01 PM</t>
  </si>
  <si>
    <t>9 August 2026  9:16 PM</t>
  </si>
  <si>
    <t>14 mins 42 secs</t>
  </si>
  <si>
    <t>9 August 2026  9:05 PM</t>
  </si>
  <si>
    <t>9 August 2026  9:25 PM</t>
  </si>
  <si>
    <t>20 mins 16 secs</t>
  </si>
  <si>
    <t>9 August 2026  9:17 PM</t>
  </si>
  <si>
    <t>10 mins 4 secs</t>
  </si>
  <si>
    <t>9 August 2026  9:10 PM</t>
  </si>
  <si>
    <t>9 August 2026  9:13 PM</t>
  </si>
  <si>
    <t>3 mins 33 secs</t>
  </si>
  <si>
    <t>8.00</t>
  </si>
  <si>
    <t>9 August 2026  9:21 PM</t>
  </si>
  <si>
    <t>7 mins 12 secs</t>
  </si>
  <si>
    <t>9 August 2026  9:14 PM</t>
  </si>
  <si>
    <t>9 August 2026  9:29 PM</t>
  </si>
  <si>
    <t>14 mins 56 secs</t>
  </si>
  <si>
    <t>10 mins 37 secs</t>
  </si>
  <si>
    <t>17.00</t>
  </si>
  <si>
    <t>9 August 2026  9:43 PM</t>
  </si>
  <si>
    <t>26 mins 38 secs</t>
  </si>
  <si>
    <t>9 August 2026  9:45 PM</t>
  </si>
  <si>
    <t>23 mins 56 secs</t>
  </si>
  <si>
    <t>9 August 2026  9:31 PM</t>
  </si>
  <si>
    <t>14 mins 17 secs</t>
  </si>
  <si>
    <t>9 August 2026  9:39 PM</t>
  </si>
  <si>
    <t>9 August 2026  9:47 PM</t>
  </si>
  <si>
    <t>7 mins 43 secs</t>
  </si>
  <si>
    <t>9 August 2026  9:44 PM</t>
  </si>
  <si>
    <t>9 August 2026  9:58 PM</t>
  </si>
  <si>
    <t>13 mins 45 secs</t>
  </si>
  <si>
    <t>9 August 2026  9:53 PM</t>
  </si>
  <si>
    <t>9 August 2026  10:05 PM</t>
  </si>
  <si>
    <t>11 mins 51 secs</t>
  </si>
  <si>
    <t>9 August 2026  10:10 PM</t>
  </si>
  <si>
    <t>9 August 2026  10:15 PM</t>
  </si>
  <si>
    <t>5 mins 34 secs</t>
  </si>
  <si>
    <t>9 August 2026  10:18 PM</t>
  </si>
  <si>
    <t>9 August 2026  10:35 PM</t>
  </si>
  <si>
    <t>17 mins 15 secs</t>
  </si>
  <si>
    <t>9 August 2026  10:45 PM</t>
  </si>
  <si>
    <t>9 mins 17 secs</t>
  </si>
  <si>
    <t>9 August 2026  11:00 PM</t>
  </si>
  <si>
    <t>9 August 2026  11:22 PM</t>
  </si>
  <si>
    <t>21 mins 48 secs</t>
  </si>
  <si>
    <t>9 August 2026  11:04 PM</t>
  </si>
  <si>
    <t>9 August 2026  11:14 PM</t>
  </si>
  <si>
    <t>10 mins 14 secs</t>
  </si>
  <si>
    <t>9 August 2026  11:13 PM</t>
  </si>
  <si>
    <t>8 mins 36 secs</t>
  </si>
  <si>
    <t>10 August 2026  12:00 AM</t>
  </si>
  <si>
    <t>10 August 2026  8:56 AM</t>
  </si>
  <si>
    <t>10 August 2026  9:08 AM</t>
  </si>
  <si>
    <t>12 mins 1 sec</t>
  </si>
  <si>
    <t>10 August 2026  11:53 AM</t>
  </si>
  <si>
    <t>10 August 2026  12:38 PM</t>
  </si>
  <si>
    <t>10 August 2026  1:48 PM</t>
  </si>
  <si>
    <t>10 August 2026  2:18 PM</t>
  </si>
  <si>
    <t>30 mins 20 secs</t>
  </si>
  <si>
    <t>10 August 2026  2:10 PM</t>
  </si>
  <si>
    <t>10 August 2026  2:22 PM</t>
  </si>
  <si>
    <t>11 mins 40 secs</t>
  </si>
  <si>
    <t>10 August 2026  2:24 PM</t>
  </si>
  <si>
    <t>10 August 2026  3:09 PM</t>
  </si>
  <si>
    <t>45 mins 1 sec</t>
  </si>
  <si>
    <t>10 August 2026  2:28 PM</t>
  </si>
  <si>
    <t>10 August 2026  2:57 PM</t>
  </si>
  <si>
    <t>29 mins 46 secs</t>
  </si>
  <si>
    <t>10 August 2026  2:48 PM</t>
  </si>
  <si>
    <t>20 mins 11 secs</t>
  </si>
  <si>
    <t>10 August 2026  2:33 PM</t>
  </si>
  <si>
    <t>10 August 2026  3:18 PM</t>
  </si>
  <si>
    <t>10 August 2026  3:29 PM</t>
  </si>
  <si>
    <t>10 August 2026  3:47 PM</t>
  </si>
  <si>
    <t>17 mins 46 secs</t>
  </si>
  <si>
    <t>10 August 2026  3:49 PM</t>
  </si>
  <si>
    <t>19 mins 54 secs</t>
  </si>
  <si>
    <t>10 August 2026  3:32 PM</t>
  </si>
  <si>
    <t>10 August 2026  3:59 PM</t>
  </si>
  <si>
    <t>26 mins 32 secs</t>
  </si>
  <si>
    <t>10 August 2026  3:41 PM</t>
  </si>
  <si>
    <t>18 mins 14 secs</t>
  </si>
  <si>
    <t>10 August 2026  3:45 PM</t>
  </si>
  <si>
    <t>10 August 2026  4:12 PM</t>
  </si>
  <si>
    <t>27 mins 17 secs</t>
  </si>
  <si>
    <t>10 August 2026  4:09 PM</t>
  </si>
  <si>
    <t>10 August 2026  4:30 PM</t>
  </si>
  <si>
    <t>21 mins 7 secs</t>
  </si>
  <si>
    <t>10 August 2026  5:51 PM</t>
  </si>
  <si>
    <t>10 August 2026  6:36 PM</t>
  </si>
  <si>
    <t>10 August 2026  6:09 PM</t>
  </si>
  <si>
    <t>10 August 2026  6:26 PM</t>
  </si>
  <si>
    <t>16 mins 59 secs</t>
  </si>
  <si>
    <t>10 August 2026  6:12 PM</t>
  </si>
  <si>
    <t>10 August 2026  6:51 PM</t>
  </si>
  <si>
    <t>39 mins 23 secs</t>
  </si>
  <si>
    <t>10 August 2026  6:54 PM</t>
  </si>
  <si>
    <t>27 mins 4 secs</t>
  </si>
  <si>
    <t>10 August 2026  6:29 PM</t>
  </si>
  <si>
    <t>10 August 2026  7:00 PM</t>
  </si>
  <si>
    <t>31 mins 10 secs</t>
  </si>
  <si>
    <t>10 August 2026  6:58 PM</t>
  </si>
  <si>
    <t>10 August 2026  7:12 PM</t>
  </si>
  <si>
    <t>14 mins 5 secs</t>
  </si>
  <si>
    <t>10 August 2026  7:04 PM</t>
  </si>
  <si>
    <t>10 August 2026  7:18 PM</t>
  </si>
  <si>
    <t>14 mins 8 secs</t>
  </si>
  <si>
    <t>10 August 2026  7:15 PM</t>
  </si>
  <si>
    <t>10 August 2026  7:48 PM</t>
  </si>
  <si>
    <t>33 mins 20 secs</t>
  </si>
  <si>
    <t>10 August 2026  7:16 PM</t>
  </si>
  <si>
    <t>10 August 2026  7:57 PM</t>
  </si>
  <si>
    <t>41 mins 38 secs</t>
  </si>
  <si>
    <t>10 August 2026  7:20 PM</t>
  </si>
  <si>
    <t>10 August 2026  7:31 PM</t>
  </si>
  <si>
    <t>10 mins 55 secs</t>
  </si>
  <si>
    <t>10 August 2026  7:21 PM</t>
  </si>
  <si>
    <t>10 August 2026  7:41 PM</t>
  </si>
  <si>
    <t>19 mins 56 secs</t>
  </si>
  <si>
    <t>10 August 2026  7:23 PM</t>
  </si>
  <si>
    <t>10 August 2026  8:08 PM</t>
  </si>
  <si>
    <t>10 August 2026  7:28 PM</t>
  </si>
  <si>
    <t>10 August 2026  7:44 PM</t>
  </si>
  <si>
    <t>16 mins 12 secs</t>
  </si>
  <si>
    <t>10 August 2026  7:46 PM</t>
  </si>
  <si>
    <t>10 August 2026  8:05 PM</t>
  </si>
  <si>
    <t>18 mins 47 secs</t>
  </si>
  <si>
    <t>10 August 2026  7:47 PM</t>
  </si>
  <si>
    <t>10 August 2026  7:52 PM</t>
  </si>
  <si>
    <t>4 mins 56 secs</t>
  </si>
  <si>
    <t>10 August 2026  7:50 PM</t>
  </si>
  <si>
    <t>10 August 2026  8:12 PM</t>
  </si>
  <si>
    <t>22 mins 12 secs</t>
  </si>
  <si>
    <t>10 August 2026  7:55 PM</t>
  </si>
  <si>
    <t>10 August 2026  8:06 PM</t>
  </si>
  <si>
    <t>10 August 2026  7:59 PM</t>
  </si>
  <si>
    <t>10 August 2026  8:27 PM</t>
  </si>
  <si>
    <t>28 mins 18 secs</t>
  </si>
  <si>
    <t>10 August 2026  8:33 PM</t>
  </si>
  <si>
    <t>20 mins 24 secs</t>
  </si>
  <si>
    <t>10 August 2026  8:40 PM</t>
  </si>
  <si>
    <t>27 mins 25 secs</t>
  </si>
  <si>
    <t>10 August 2026  8:19 PM</t>
  </si>
  <si>
    <t>10 August 2026  8:39 PM</t>
  </si>
  <si>
    <t>10 August 2026  8:22 PM</t>
  </si>
  <si>
    <t>10 August 2026  8:30 PM</t>
  </si>
  <si>
    <t>8 mins 7 secs</t>
  </si>
  <si>
    <t>10 August 2026  8:26 PM</t>
  </si>
  <si>
    <t>10 August 2026  8:44 PM</t>
  </si>
  <si>
    <t>17 mins 27 secs</t>
  </si>
  <si>
    <t>10 August 2026  8:29 PM</t>
  </si>
  <si>
    <t>10 August 2026  8:47 PM</t>
  </si>
  <si>
    <t>17 mins 6 secs</t>
  </si>
  <si>
    <t>10 August 2026  8:31 PM</t>
  </si>
  <si>
    <t>10 August 2026  8:49 PM</t>
  </si>
  <si>
    <t>18 mins 13 secs</t>
  </si>
  <si>
    <t>10 August 2026  8:34 PM</t>
  </si>
  <si>
    <t>10 August 2026  9:19 PM</t>
  </si>
  <si>
    <t>44 mins 38 secs</t>
  </si>
  <si>
    <t>10 August 2026  8:36 PM</t>
  </si>
  <si>
    <t>10 August 2026  9:21 PM</t>
  </si>
  <si>
    <t>4.00</t>
  </si>
  <si>
    <t>10 August 2026  8:38 PM</t>
  </si>
  <si>
    <t>10 August 2026  9:11 PM</t>
  </si>
  <si>
    <t>32 mins 9 secs</t>
  </si>
  <si>
    <t>10 August 2026  8:55 PM</t>
  </si>
  <si>
    <t>10 mins 59 secs</t>
  </si>
  <si>
    <t>15.00</t>
  </si>
  <si>
    <t>10 August 2026  8:45 PM</t>
  </si>
  <si>
    <t>10 August 2026  9:24 PM</t>
  </si>
  <si>
    <t>39 mins 35 secs</t>
  </si>
  <si>
    <t>10 August 2026  8:46 PM</t>
  </si>
  <si>
    <t>10 August 2026  9:01 PM</t>
  </si>
  <si>
    <t>15 mins 4 secs</t>
  </si>
  <si>
    <t>10 August 2026  9:27 PM</t>
  </si>
  <si>
    <t>37 mins 24 secs</t>
  </si>
  <si>
    <t>10 August 2026  8:53 PM</t>
  </si>
  <si>
    <t>10 August 2026  9:04 PM</t>
  </si>
  <si>
    <t>10 mins 54 secs</t>
  </si>
  <si>
    <t>10 August 2026  8:54 PM</t>
  </si>
  <si>
    <t>10 August 2026  9:39 PM</t>
  </si>
  <si>
    <t>10 August 2026  9:09 PM</t>
  </si>
  <si>
    <t>14 mins 22 secs</t>
  </si>
  <si>
    <t>10 August 2026  8:57 PM</t>
  </si>
  <si>
    <t>10 August 2026  9:17 PM</t>
  </si>
  <si>
    <t>19 mins 18 secs</t>
  </si>
  <si>
    <t>10 August 2026  8:59 PM</t>
  </si>
  <si>
    <t>5 mins 18 secs</t>
  </si>
  <si>
    <t>10 August 2026  9:20 PM</t>
  </si>
  <si>
    <t>21 mins 11 secs</t>
  </si>
  <si>
    <t>10 August 2026  9:00 PM</t>
  </si>
  <si>
    <t>10 August 2026  9:23 PM</t>
  </si>
  <si>
    <t>19 mins 3 secs</t>
  </si>
  <si>
    <t>10 mins 33 secs</t>
  </si>
  <si>
    <t>10 August 2026  9:10 PM</t>
  </si>
  <si>
    <t>10 August 2026  9:55 PM</t>
  </si>
  <si>
    <t>6 mins 8 secs</t>
  </si>
  <si>
    <t>13.00</t>
  </si>
  <si>
    <t>10 August 2026  9:14 PM</t>
  </si>
  <si>
    <t>10 August 2026  9:45 PM</t>
  </si>
  <si>
    <t>31 mins 23 secs</t>
  </si>
  <si>
    <t>10 August 2026  9:18 PM</t>
  </si>
  <si>
    <t>3 mins 10 secs</t>
  </si>
  <si>
    <t>10 August 2026  9:44 PM</t>
  </si>
  <si>
    <t>24 mins 45 secs</t>
  </si>
  <si>
    <t>10 August 2026  9:34 PM</t>
  </si>
  <si>
    <t>9 mins 50 secs</t>
  </si>
  <si>
    <t>10 August 2026  9:47 PM</t>
  </si>
  <si>
    <t>20 mins 36 secs</t>
  </si>
  <si>
    <t>10 August 2026  9:32 PM</t>
  </si>
  <si>
    <t>10 August 2026  9:48 PM</t>
  </si>
  <si>
    <t>16 mins 35 secs</t>
  </si>
  <si>
    <t>10 August 2026  9:33 PM</t>
  </si>
  <si>
    <t>12 mins 23 secs</t>
  </si>
  <si>
    <t>10 mins 10 secs</t>
  </si>
  <si>
    <t>10 August 2026  10:19 PM</t>
  </si>
  <si>
    <t>10 August 2026  9:43 PM</t>
  </si>
  <si>
    <t>10 August 2026  10:06 PM</t>
  </si>
  <si>
    <t>23 mins 33 secs</t>
  </si>
  <si>
    <t>10 August 2026  10:00 PM</t>
  </si>
  <si>
    <t>10 August 2026  9:46 PM</t>
  </si>
  <si>
    <t>10 August 2026  9:59 PM</t>
  </si>
  <si>
    <t>12 mins 42 secs</t>
  </si>
  <si>
    <t>10 August 2026  9:52 PM</t>
  </si>
  <si>
    <t>10 August 2026  10:03 PM</t>
  </si>
  <si>
    <t>10 mins 39 secs</t>
  </si>
  <si>
    <t>10 August 2026  10:12 PM</t>
  </si>
  <si>
    <t>13 mins 4 secs</t>
  </si>
  <si>
    <t>10 August 2026  10:02 PM</t>
  </si>
  <si>
    <t>10 August 2026  10:16 PM</t>
  </si>
  <si>
    <t>13 mins 32 secs</t>
  </si>
  <si>
    <t>10 August 2026  10:08 PM</t>
  </si>
  <si>
    <t>10 August 2026  10:18 PM</t>
  </si>
  <si>
    <t>10 August 2026  10:28 PM</t>
  </si>
  <si>
    <t>10 August 2026  10:21 PM</t>
  </si>
  <si>
    <t>10 August 2026  10:37 PM</t>
  </si>
  <si>
    <t>16 mins 8 secs</t>
  </si>
  <si>
    <t>10 August 2026  10:57 PM</t>
  </si>
  <si>
    <t>10 August 2026  11:04 PM</t>
  </si>
  <si>
    <t>7 mins 4 secs</t>
  </si>
  <si>
    <t>10 August 2026  11:05 PM</t>
  </si>
  <si>
    <t>10 August 2026  11:12 PM</t>
  </si>
  <si>
    <t>7 mins 36 secs</t>
  </si>
  <si>
    <t>10 August 2026  11:07 PM</t>
  </si>
  <si>
    <t>10 August 2026  11:14 PM</t>
  </si>
  <si>
    <t>6 mins 33 secs</t>
  </si>
  <si>
    <t>11 August 2026  4:39 AM</t>
  </si>
  <si>
    <t>11 August 2026  4:45 AM</t>
  </si>
  <si>
    <t>5 mins 58 secs</t>
  </si>
  <si>
    <t>11 August 2026  5:55 AM</t>
  </si>
  <si>
    <t>11 August 2026  6:20 AM</t>
  </si>
  <si>
    <t>24 mins 59 secs</t>
  </si>
  <si>
    <t>11 August 2026  6:10 AM</t>
  </si>
  <si>
    <t>11 August 2026  6:29 AM</t>
  </si>
  <si>
    <t>19 mins 32 secs</t>
  </si>
  <si>
    <t>12.00</t>
  </si>
  <si>
    <t>11 August 2026  6:45 AM</t>
  </si>
  <si>
    <t>11 August 2026  6:57 AM</t>
  </si>
  <si>
    <t>11 mins 52 secs</t>
  </si>
  <si>
    <t>11 August 2026  8:17 AM</t>
  </si>
  <si>
    <t>11 August 2026  8:24 AM</t>
  </si>
  <si>
    <t>7 mins 5 secs</t>
  </si>
  <si>
    <t>11 August 2026  8:19 AM</t>
  </si>
  <si>
    <t>11 August 2026  8:37 AM</t>
  </si>
  <si>
    <t>18 mins 3 secs</t>
  </si>
  <si>
    <t>11 August 2026  9:52 AM</t>
  </si>
  <si>
    <t>11 August 2026  10:03 AM</t>
  </si>
  <si>
    <t>11 mins 19 secs</t>
  </si>
  <si>
    <t>11 August 2026  10:17 AM</t>
  </si>
  <si>
    <t>11 August 2026  10:36 AM</t>
  </si>
  <si>
    <t>18 mins 48 secs</t>
  </si>
  <si>
    <t>11 August 2026  11:46 AM</t>
  </si>
  <si>
    <t>11 August 2026  11:58 AM</t>
  </si>
  <si>
    <t>11 mins 22 secs</t>
  </si>
  <si>
    <t>11 August 2026  1:17 PM</t>
  </si>
  <si>
    <t>11 August 2026  1:28 PM</t>
  </si>
  <si>
    <t>11 mins 3 secs</t>
  </si>
  <si>
    <t>11 August 2026  1:26 PM</t>
  </si>
  <si>
    <t>8 mins 48 secs</t>
  </si>
  <si>
    <t>11 August 2026  1:25 PM</t>
  </si>
  <si>
    <t>8 mins 16 secs</t>
  </si>
  <si>
    <t>2K24eee62@kiot.ac.in</t>
  </si>
  <si>
    <t>11 August 2026  1:34 PM</t>
  </si>
  <si>
    <t>5 mins 35 secs</t>
  </si>
  <si>
    <t>11 August 2026  1:47 PM</t>
  </si>
  <si>
    <t>11 August 2026  1:57 PM</t>
  </si>
  <si>
    <t>10 mins 24 secs</t>
  </si>
  <si>
    <t>11 August 2026  1:48 PM</t>
  </si>
  <si>
    <t>11 August 2026  2:23 PM</t>
  </si>
  <si>
    <t>35 mins 14 secs</t>
  </si>
  <si>
    <t>9 mins 9 secs</t>
  </si>
  <si>
    <t>11 August 2026  1:51 PM</t>
  </si>
  <si>
    <t>11 August 2026  2:08 PM</t>
  </si>
  <si>
    <t>17 mins 9 secs</t>
  </si>
  <si>
    <t>11 August 2026  1:53 PM</t>
  </si>
  <si>
    <t>11 August 2026  1:59 PM</t>
  </si>
  <si>
    <t>6 mins 6 secs</t>
  </si>
  <si>
    <t>11 August 2026  2:11 PM</t>
  </si>
  <si>
    <t>18 mins 15 secs</t>
  </si>
  <si>
    <t>11 August 2026  2:10 PM</t>
  </si>
  <si>
    <t>16 mins 39 secs</t>
  </si>
  <si>
    <t>11 August 2026  1:54 PM</t>
  </si>
  <si>
    <t>13 mins 35 secs</t>
  </si>
  <si>
    <t>11 August 2026  1:56 PM</t>
  </si>
  <si>
    <t>11 August 2026  2:13 PM</t>
  </si>
  <si>
    <t>17 mins 22 secs</t>
  </si>
  <si>
    <t>11 August 2026  2:16 PM</t>
  </si>
  <si>
    <t>20 mins 44 secs</t>
  </si>
  <si>
    <t>11 August 2026  1:58 PM</t>
  </si>
  <si>
    <t>11 August 2026  2:06 PM</t>
  </si>
  <si>
    <t>8 mins 17 secs</t>
  </si>
  <si>
    <t>11 August 2026  2:00 PM</t>
  </si>
  <si>
    <t>11 August 2026  2:02 PM</t>
  </si>
  <si>
    <t>11 August 2026  2:17 PM</t>
  </si>
  <si>
    <t>15 mins 22 secs</t>
  </si>
  <si>
    <t>11 August 2026  2:05 PM</t>
  </si>
  <si>
    <t>11 August 2026  2:14 PM</t>
  </si>
  <si>
    <t>9 mins 8 secs</t>
  </si>
  <si>
    <t>11 August 2026  2:20 PM</t>
  </si>
  <si>
    <t>15 mins 20 secs</t>
  </si>
  <si>
    <t>16.00</t>
  </si>
  <si>
    <t>11 August 2026  2:07 PM</t>
  </si>
  <si>
    <t>12 mins 56 secs</t>
  </si>
  <si>
    <t>11 August 2026  2:09 PM</t>
  </si>
  <si>
    <t>10 mins 46 secs</t>
  </si>
  <si>
    <t>11 August 2026  2:22 PM</t>
  </si>
  <si>
    <t>6 mins 12 secs</t>
  </si>
  <si>
    <t>11 August 2026  2:29 PM</t>
  </si>
  <si>
    <t>5 mins 17 secs</t>
  </si>
  <si>
    <t>11 August 2026  2:26 PM</t>
  </si>
  <si>
    <t>11 August 2026  2:40 PM</t>
  </si>
  <si>
    <t>14 mins 53 secs</t>
  </si>
  <si>
    <t>11 August 2026  2:30 PM</t>
  </si>
  <si>
    <t>11 August 2026  2:34 PM</t>
  </si>
  <si>
    <t>4 mins 7 secs</t>
  </si>
  <si>
    <t>11 August 2026  2:43 PM</t>
  </si>
  <si>
    <t>11 August 2026  2:54 PM</t>
  </si>
  <si>
    <t>11 mins 2 secs</t>
  </si>
  <si>
    <t>11 August 2026  2:56 PM</t>
  </si>
  <si>
    <t>11 August 2026  2:59 PM</t>
  </si>
  <si>
    <t>3 mins 40 secs</t>
  </si>
  <si>
    <t>11 August 2026  6:29 PM</t>
  </si>
  <si>
    <t>11 August 2026  6:37 PM</t>
  </si>
  <si>
    <t>7 mins 46 secs</t>
  </si>
  <si>
    <t>11 August 2026  7:02 PM</t>
  </si>
  <si>
    <t>11 August 2026  7:11 PM</t>
  </si>
  <si>
    <t>8 mins 37 secs</t>
  </si>
  <si>
    <t>11 August 2026  7:18 PM</t>
  </si>
  <si>
    <t>11 August 2026  7:28 PM</t>
  </si>
  <si>
    <t>11 August 2026  7:51 PM</t>
  </si>
  <si>
    <t>11 August 2026  8:04 PM</t>
  </si>
  <si>
    <t>13 mins 11 secs</t>
  </si>
  <si>
    <t>11 August 2026  7:52 PM</t>
  </si>
  <si>
    <t>11 August 2026  7:58 PM</t>
  </si>
  <si>
    <t>6 mins</t>
  </si>
  <si>
    <t>11 August 2026  7:53 PM</t>
  </si>
  <si>
    <t>11 August 2026  8:16 PM</t>
  </si>
  <si>
    <t>22 mins 26 secs</t>
  </si>
  <si>
    <t>11 August 2026  8:00 PM</t>
  </si>
  <si>
    <t>11 August 2026  8:41 PM</t>
  </si>
  <si>
    <t>40 mins 15 secs</t>
  </si>
  <si>
    <t>11 August 2026  8:01 PM</t>
  </si>
  <si>
    <t>11 August 2026  8:35 PM</t>
  </si>
  <si>
    <t>34 mins 6 secs</t>
  </si>
  <si>
    <t>11 August 2026  8:17 PM</t>
  </si>
  <si>
    <t>11 August 2026  8:54 PM</t>
  </si>
  <si>
    <t>36 mins 46 secs</t>
  </si>
  <si>
    <t>11 August 2026  8:21 PM</t>
  </si>
  <si>
    <t>11 August 2026  8:51 PM</t>
  </si>
  <si>
    <t>29 mins 45 secs</t>
  </si>
  <si>
    <t>11 August 2026  8:26 PM</t>
  </si>
  <si>
    <t>11 August 2026  9:04 PM</t>
  </si>
  <si>
    <t>37 mins 40 secs</t>
  </si>
  <si>
    <t>11 August 2026  8:29 PM</t>
  </si>
  <si>
    <t>11 August 2026  8:38 PM</t>
  </si>
  <si>
    <t>9 mins</t>
  </si>
  <si>
    <t>11 August 2026  8:30 PM</t>
  </si>
  <si>
    <t>11 August 2026  8:46 PM</t>
  </si>
  <si>
    <t>11 August 2026  8:31 PM</t>
  </si>
  <si>
    <t>11 August 2026  8:39 PM</t>
  </si>
  <si>
    <t>8 mins 10 secs</t>
  </si>
  <si>
    <t>11 August 2026  8:33 PM</t>
  </si>
  <si>
    <t>18 mins 2 secs</t>
  </si>
  <si>
    <t>11 August 2026  8:34 PM</t>
  </si>
  <si>
    <t>11 August 2026  8:37 PM</t>
  </si>
  <si>
    <t>11 August 2026  8:52 PM</t>
  </si>
  <si>
    <t>15 mins 5 secs</t>
  </si>
  <si>
    <t>11 August 2026  8:42 PM</t>
  </si>
  <si>
    <t>4 mins 29 secs</t>
  </si>
  <si>
    <t>11 August 2026  9:26 PM</t>
  </si>
  <si>
    <t>11 mins 58 secs</t>
  </si>
  <si>
    <t>11 August 2026  8:50 PM</t>
  </si>
  <si>
    <t>11 August 2026  9:11 PM</t>
  </si>
  <si>
    <t>20 mins 29 secs</t>
  </si>
  <si>
    <t>11 August 2026  8:57 PM</t>
  </si>
  <si>
    <t>11 August 2026  9:12 PM</t>
  </si>
  <si>
    <t>20 mins 19 secs</t>
  </si>
  <si>
    <t>11 August 2026  9:25 PM</t>
  </si>
  <si>
    <t>32 mins 57 secs</t>
  </si>
  <si>
    <t>11 August 2026  8:53 PM</t>
  </si>
  <si>
    <t>11 August 2026  9:03 PM</t>
  </si>
  <si>
    <t>10 mins 44 secs</t>
  </si>
  <si>
    <t>11 August 2026  9:20 PM</t>
  </si>
  <si>
    <t>22 mins 53 secs</t>
  </si>
  <si>
    <t>11 August 2026  9:08 PM</t>
  </si>
  <si>
    <t>10 mins 36 secs</t>
  </si>
  <si>
    <t>11 August 2026  9:00 PM</t>
  </si>
  <si>
    <t>11 August 2026  9:09 PM</t>
  </si>
  <si>
    <t>14 mins 23 secs</t>
  </si>
  <si>
    <t>11 August 2026  9:16 PM</t>
  </si>
  <si>
    <t>11 August 2026  9:29 PM</t>
  </si>
  <si>
    <t>13 mins 1 sec</t>
  </si>
  <si>
    <t>11 August 2026  9:43 PM</t>
  </si>
  <si>
    <t>11 August 2026  10:01 PM</t>
  </si>
  <si>
    <t>17 mins 13 secs</t>
  </si>
  <si>
    <t>11 August 2026  9:46 PM</t>
  </si>
  <si>
    <t>14 mins 20 secs</t>
  </si>
  <si>
    <t>11 August 2026  9:48 PM</t>
  </si>
  <si>
    <t>11 August 2026  9:58 PM</t>
  </si>
  <si>
    <t>10 mins 42 secs</t>
  </si>
  <si>
    <t>11 August 2026  10:15 PM</t>
  </si>
  <si>
    <t>17 mins 43 secs</t>
  </si>
  <si>
    <t>11 August 2026  10:04 PM</t>
  </si>
  <si>
    <t>11 August 2026  10:24 PM</t>
  </si>
  <si>
    <t>20 mins 8 secs</t>
  </si>
  <si>
    <t>11 August 2026  10:52 PM</t>
  </si>
  <si>
    <t>28 mins 25 secs</t>
  </si>
  <si>
    <t>11 August 2026  11:09 PM</t>
  </si>
  <si>
    <t>11 August 2026  11:17 PM</t>
  </si>
  <si>
    <t>8 mins 51 secs</t>
  </si>
  <si>
    <t>10.00</t>
  </si>
  <si>
    <t>11 August 2026  11:40 PM</t>
  </si>
  <si>
    <t>12 August 2026  12:01 AM</t>
  </si>
  <si>
    <t>20 mins 56 secs</t>
  </si>
  <si>
    <t>11 August 2026  11:50 PM</t>
  </si>
  <si>
    <t>12 August 2026  12:03 AM</t>
  </si>
  <si>
    <t>13 mins 28 secs</t>
  </si>
  <si>
    <t>12 August 2026  5:44 AM</t>
  </si>
  <si>
    <t>12 August 2026  5:52 AM</t>
  </si>
  <si>
    <t>12 August 2026  6:04 AM</t>
  </si>
  <si>
    <t>12 August 2026  6:29 AM</t>
  </si>
  <si>
    <t>25 mins 56 secs</t>
  </si>
  <si>
    <t>12 August 2026  6:25 AM</t>
  </si>
  <si>
    <t>12 August 2026  6:52 AM</t>
  </si>
  <si>
    <t>26 mins 56 secs</t>
  </si>
  <si>
    <t>12 August 2026  7:16 AM</t>
  </si>
  <si>
    <t>24 mins 24 secs</t>
  </si>
  <si>
    <t>12 August 2026  7:23 AM</t>
  </si>
  <si>
    <t>12 August 2026  7:57 AM</t>
  </si>
  <si>
    <t>33 mins 42 secs</t>
  </si>
  <si>
    <t>2K24eee64@kiot.ac.in</t>
  </si>
  <si>
    <t>12 August 2026  9:27 AM</t>
  </si>
  <si>
    <t>12 August 2026  9:39 AM</t>
  </si>
  <si>
    <t>12 mins 9 secs</t>
  </si>
  <si>
    <t>12 August 2026  9:50 AM</t>
  </si>
  <si>
    <t>12 August 2026  10:02 AM</t>
  </si>
  <si>
    <t>11 mins 50 secs</t>
  </si>
  <si>
    <t>12 August 2026  10:04 AM</t>
  </si>
  <si>
    <t>12 August 2026  10:11 AM</t>
  </si>
  <si>
    <t>7 mins 2 secs</t>
  </si>
  <si>
    <t>12 August 2026  10:05 AM</t>
  </si>
  <si>
    <t>12 August 2026  10:16 AM</t>
  </si>
  <si>
    <t>10 mins 43 secs</t>
  </si>
  <si>
    <t>12 August 2026  10:29 AM</t>
  </si>
  <si>
    <t>12 mins 35 secs</t>
  </si>
  <si>
    <t>12 August 2026  10:34 AM</t>
  </si>
  <si>
    <t>12 August 2026  10:38 AM</t>
  </si>
  <si>
    <t>3 mins 47 secs</t>
  </si>
  <si>
    <t>12 August 2026  10:36 AM</t>
  </si>
  <si>
    <t>12 August 2026  11:00 AM</t>
  </si>
  <si>
    <t>24 mins 13 secs</t>
  </si>
  <si>
    <t>12 August 2026  11:15 AM</t>
  </si>
  <si>
    <t>12 August 2026  11:18 AM</t>
  </si>
  <si>
    <t>3 mins 26 secs</t>
  </si>
  <si>
    <t>5.00</t>
  </si>
  <si>
    <t>12 August 2026  11:24 AM</t>
  </si>
  <si>
    <t>12 August 2026  11:38 AM</t>
  </si>
  <si>
    <t>12 August 2026  11:28 AM</t>
  </si>
  <si>
    <t>12 August 2026  11:32 AM</t>
  </si>
  <si>
    <t>4 mins 9 secs</t>
  </si>
  <si>
    <t>12 August 2026  11:29 AM</t>
  </si>
  <si>
    <t>12 August 2026  11:42 AM</t>
  </si>
  <si>
    <t>12 mins 52 secs</t>
  </si>
  <si>
    <t>12 August 2026  11:40 AM</t>
  </si>
  <si>
    <t>12 August 2026  12:09 PM</t>
  </si>
  <si>
    <t>29 mins 7 secs</t>
  </si>
  <si>
    <t>12 August 2026  11:43 AM</t>
  </si>
  <si>
    <t>12 August 2026  12:28 PM</t>
  </si>
  <si>
    <t>12 August 2026  11:49 AM</t>
  </si>
  <si>
    <t>12 August 2026  12:05 PM</t>
  </si>
  <si>
    <t>15 mins 25 secs</t>
  </si>
  <si>
    <t>12 August 2026  11:57 AM</t>
  </si>
  <si>
    <t>12 August 2026  12:08 PM</t>
  </si>
  <si>
    <t>10 mins 28 secs</t>
  </si>
  <si>
    <t>12 August 2026  12:15 PM</t>
  </si>
  <si>
    <t>12 August 2026  12:21 PM</t>
  </si>
  <si>
    <t>5 mins 44 secs</t>
  </si>
  <si>
    <t>12 August 2026  1:35 PM</t>
  </si>
  <si>
    <t>12 August 2026  1:48 PM</t>
  </si>
  <si>
    <t>12 mins 58 secs</t>
  </si>
  <si>
    <t>12 August 2026  1:36 PM</t>
  </si>
  <si>
    <t>12 August 2026  2:14 PM</t>
  </si>
  <si>
    <t>38 mins 8 secs</t>
  </si>
  <si>
    <t>12 August 2026  1:59 PM</t>
  </si>
  <si>
    <t>23 mins 6 secs</t>
  </si>
  <si>
    <t>12 August 2026  2:07 PM</t>
  </si>
  <si>
    <t>31 mins</t>
  </si>
  <si>
    <t>12 August 2026  1:37 PM</t>
  </si>
  <si>
    <t>12 August 2026  1:57 PM</t>
  </si>
  <si>
    <t>20 mins 10 secs</t>
  </si>
  <si>
    <t>12 August 2026  1:38 PM</t>
  </si>
  <si>
    <t>12 August 2026  1:58 PM</t>
  </si>
  <si>
    <t>20 mins 54 secs</t>
  </si>
  <si>
    <t>20 mins 45 secs</t>
  </si>
  <si>
    <t>28 mins 48 secs</t>
  </si>
  <si>
    <t>12 August 2026  1:50 PM</t>
  </si>
  <si>
    <t>11 mins 42 secs</t>
  </si>
  <si>
    <t>12 August 2026  1:54 PM</t>
  </si>
  <si>
    <t>16 mins 2 secs</t>
  </si>
  <si>
    <t>15 mins 43 secs</t>
  </si>
  <si>
    <t>29 mins 14 secs</t>
  </si>
  <si>
    <t>12 August 2026  2:04 PM</t>
  </si>
  <si>
    <t>25 mins 21 secs</t>
  </si>
  <si>
    <t>12 August 2026  1:39 PM</t>
  </si>
  <si>
    <t>12 August 2026  2:00 PM</t>
  </si>
  <si>
    <t>20 mins 47 secs</t>
  </si>
  <si>
    <t>12 August 2026  2:03 PM</t>
  </si>
  <si>
    <t>23 mins 41 secs</t>
  </si>
  <si>
    <t>12 August 2026  2:01 PM</t>
  </si>
  <si>
    <t>21 mins 56 secs</t>
  </si>
  <si>
    <t>12 August 2026  1:40 PM</t>
  </si>
  <si>
    <t>23 mins 3 secs</t>
  </si>
  <si>
    <t>12 August 2026  2:05 PM</t>
  </si>
  <si>
    <t>24 mins 23 secs</t>
  </si>
  <si>
    <t>12 August 2026  1:41 PM</t>
  </si>
  <si>
    <t>12 mins 59 secs</t>
  </si>
  <si>
    <t>12 August 2026  2:21 PM</t>
  </si>
  <si>
    <t>40 mins 19 secs</t>
  </si>
  <si>
    <t>16 mins 10 secs</t>
  </si>
  <si>
    <t>12 August 2026  1:56 PM</t>
  </si>
  <si>
    <t>12 August 2026  2:06 PM</t>
  </si>
  <si>
    <t>25 mins 4 secs</t>
  </si>
  <si>
    <t>12 August 2026  1:42 PM</t>
  </si>
  <si>
    <t>39 mins 18 secs</t>
  </si>
  <si>
    <t>12 mins 32 secs</t>
  </si>
  <si>
    <t>12 August 2026  1:55 PM</t>
  </si>
  <si>
    <t>13 mins 20 secs</t>
  </si>
  <si>
    <t>16 mins 5 secs</t>
  </si>
  <si>
    <t>25 mins 10 secs</t>
  </si>
  <si>
    <t>17 mins 54 secs</t>
  </si>
  <si>
    <t>17 mins 38 secs</t>
  </si>
  <si>
    <t>12 August 2026  1:43 PM</t>
  </si>
  <si>
    <t>23 mins 9 secs</t>
  </si>
  <si>
    <t>12 August 2026  1:44 PM</t>
  </si>
  <si>
    <t>15 mins 55 secs</t>
  </si>
  <si>
    <t>12 August 2026  1:45 PM</t>
  </si>
  <si>
    <t>18 mins 59 secs</t>
  </si>
  <si>
    <t>12 August 2026  1:46 PM</t>
  </si>
  <si>
    <t>21 mins 20 secs</t>
  </si>
  <si>
    <t>12 August 2026  2:08 PM</t>
  </si>
  <si>
    <t>12 August 2026  2:31 PM</t>
  </si>
  <si>
    <t>18 mins 5 secs</t>
  </si>
  <si>
    <t>12 August 2026  1:47 PM</t>
  </si>
  <si>
    <t>12 August 2026  2:09 PM</t>
  </si>
  <si>
    <t>21 mins 58 secs</t>
  </si>
  <si>
    <t>18 mins 1 sec</t>
  </si>
  <si>
    <t>12 August 2026  1:49 PM</t>
  </si>
  <si>
    <t>17 mins 41 secs</t>
  </si>
  <si>
    <t>12 August 2026  2:10 PM</t>
  </si>
  <si>
    <t>21 mins 15 secs</t>
  </si>
  <si>
    <t>41 mins 35 secs</t>
  </si>
  <si>
    <t>12 August 2026  1:51 PM</t>
  </si>
  <si>
    <t>14 mins 21 secs</t>
  </si>
  <si>
    <t>12 August 2026  1:53 PM</t>
  </si>
  <si>
    <t>20 mins 15 secs</t>
  </si>
  <si>
    <t>12 mins 2 secs</t>
  </si>
  <si>
    <t>12 August 2026  2:02 PM</t>
  </si>
  <si>
    <t>4 mins 43 secs</t>
  </si>
  <si>
    <t>12 August 2026  2:12 PM</t>
  </si>
  <si>
    <t>12 August 2026  2:20 PM</t>
  </si>
  <si>
    <t>12 mins 43 secs</t>
  </si>
  <si>
    <t>12 August 2026  2:16 PM</t>
  </si>
  <si>
    <t>4 mins 12 secs</t>
  </si>
  <si>
    <t>12 August 2026  2:28 PM</t>
  </si>
  <si>
    <t>12 August 2026  2:41 PM</t>
  </si>
  <si>
    <t>13 mins 10 secs</t>
  </si>
  <si>
    <t>12 August 2026  2:40 PM</t>
  </si>
  <si>
    <t>8 mins 22 secs</t>
  </si>
  <si>
    <t>12 August 2026  2:37 PM</t>
  </si>
  <si>
    <t>12 August 2026  2:46 PM</t>
  </si>
  <si>
    <t>9 mins 27 secs</t>
  </si>
  <si>
    <t>12 August 2026  2:47 PM</t>
  </si>
  <si>
    <t>12 August 2026  2:52 PM</t>
  </si>
  <si>
    <t>5 mins 48 secs</t>
  </si>
  <si>
    <t>12 August 2026  2:53 PM</t>
  </si>
  <si>
    <t>12 August 2026  3:04 PM</t>
  </si>
  <si>
    <t>10 mins 15 secs</t>
  </si>
  <si>
    <t>12 August 2026  2:56 PM</t>
  </si>
  <si>
    <t>7 mins 35 secs</t>
  </si>
  <si>
    <t>12 August 2026  3:27 PM</t>
  </si>
  <si>
    <t>12 August 2026  3:40 PM</t>
  </si>
  <si>
    <t>13 mins 9 secs</t>
  </si>
  <si>
    <t>12 August 2026  3:38 PM</t>
  </si>
  <si>
    <t>12 August 2026  3:54 PM</t>
  </si>
  <si>
    <t>12 August 2026  3:46 PM</t>
  </si>
  <si>
    <t>12 August 2026  4:12 PM</t>
  </si>
  <si>
    <t>25 mins 23 secs</t>
  </si>
  <si>
    <t>12 August 2026  4:05 PM</t>
  </si>
  <si>
    <t>12 August 2026  4:17 PM</t>
  </si>
  <si>
    <t>12 August 2026  4:11 PM</t>
  </si>
  <si>
    <t>12 August 2026  4:56 PM</t>
  </si>
  <si>
    <t>12 August 2026  5:54 PM</t>
  </si>
  <si>
    <t>12 August 2026  6:32 PM</t>
  </si>
  <si>
    <t>37 mins 50 secs</t>
  </si>
  <si>
    <t>12 August 2026  6:06 PM</t>
  </si>
  <si>
    <t>12 August 2026  6:19 PM</t>
  </si>
  <si>
    <t>12 mins 57 secs</t>
  </si>
  <si>
    <t>12 August 2026  6:09 PM</t>
  </si>
  <si>
    <t>12 August 2026  6:29 PM</t>
  </si>
  <si>
    <t>19 mins 30 secs</t>
  </si>
  <si>
    <t>12 August 2026  6:17 PM</t>
  </si>
  <si>
    <t>12 August 2026  6:22 PM</t>
  </si>
  <si>
    <t>5 mins 47 secs</t>
  </si>
  <si>
    <t>12 August 2026  6:26 PM</t>
  </si>
  <si>
    <t>12 August 2026  6:34 PM</t>
  </si>
  <si>
    <t>8 mins 11 secs</t>
  </si>
  <si>
    <t>12 August 2026  6:30 PM</t>
  </si>
  <si>
    <t>12 August 2026  6:56 PM</t>
  </si>
  <si>
    <t>26 mins 14 secs</t>
  </si>
  <si>
    <t>12 August 2026  6:54 PM</t>
  </si>
  <si>
    <t>12 August 2026  7:15 PM</t>
  </si>
  <si>
    <t>20 mins 55 secs</t>
  </si>
  <si>
    <t>12 August 2026  7:09 PM</t>
  </si>
  <si>
    <t>5 mins 27 secs</t>
  </si>
  <si>
    <t>12 August 2026  7:13 PM</t>
  </si>
  <si>
    <t>12 August 2026  7:25 PM</t>
  </si>
  <si>
    <t>12 August 2026  7:24 PM</t>
  </si>
  <si>
    <t>12 August 2026  8:09 PM</t>
  </si>
  <si>
    <t>12 August 2026  7:36 PM</t>
  </si>
  <si>
    <t>12 August 2026  7:51 PM</t>
  </si>
  <si>
    <t>12 August 2026  8:00 PM</t>
  </si>
  <si>
    <t>12 August 2026  8:08 PM</t>
  </si>
  <si>
    <t>8 mins</t>
  </si>
  <si>
    <t>12 August 2026  8:04 PM</t>
  </si>
  <si>
    <t>12 August 2026  8:16 PM</t>
  </si>
  <si>
    <t>11 mins 32 secs</t>
  </si>
  <si>
    <t>12 August 2026  8:11 PM</t>
  </si>
  <si>
    <t>12 August 2026  8:18 PM</t>
  </si>
  <si>
    <t>7 mins 1 sec</t>
  </si>
  <si>
    <t>12 August 2026  8:13 PM</t>
  </si>
  <si>
    <t>12 August 2026  8:22 PM</t>
  </si>
  <si>
    <t>9 mins 4 secs</t>
  </si>
  <si>
    <t>12 August 2026  8:32 PM</t>
  </si>
  <si>
    <t>12 August 2026  8:48 PM</t>
  </si>
  <si>
    <t>12 August 2026  8:42 PM</t>
  </si>
  <si>
    <t>12 August 2026  8:52 PM</t>
  </si>
  <si>
    <t>9 mins 56 secs</t>
  </si>
  <si>
    <t>12 August 2026  9:11 PM</t>
  </si>
  <si>
    <t>22 mins 42 secs</t>
  </si>
  <si>
    <t>12 August 2026  9:13 PM</t>
  </si>
  <si>
    <t>12 August 2026  9:23 PM</t>
  </si>
  <si>
    <t>10 mins 16 secs</t>
  </si>
  <si>
    <t>12 August 2026  9:15 PM</t>
  </si>
  <si>
    <t>12 August 2026  9:36 PM</t>
  </si>
  <si>
    <t>12 August 2026  9:16 PM</t>
  </si>
  <si>
    <t>12 August 2026  9:29 PM</t>
  </si>
  <si>
    <t>13 mins 36 secs</t>
  </si>
  <si>
    <t>12 August 2026  9:33 PM</t>
  </si>
  <si>
    <t>12 August 2026  9:26 PM</t>
  </si>
  <si>
    <t>12 August 2026  9:35 PM</t>
  </si>
  <si>
    <t>9 mins 15 secs</t>
  </si>
  <si>
    <t>12 August 2026  9:38 PM</t>
  </si>
  <si>
    <t>3 mins 38 secs</t>
  </si>
  <si>
    <t>12 August 2026  9:56 PM</t>
  </si>
  <si>
    <t>18 mins 7 secs</t>
  </si>
  <si>
    <t>12 August 2026  9:46 PM</t>
  </si>
  <si>
    <t>12 August 2026  9:55 PM</t>
  </si>
  <si>
    <t>9 mins 23 secs</t>
  </si>
  <si>
    <t>12 August 2026  10:13 PM</t>
  </si>
  <si>
    <t>16 mins 47 secs</t>
  </si>
  <si>
    <t>12 August 2026  10:06 PM</t>
  </si>
  <si>
    <t>12 August 2026  10:22 PM</t>
  </si>
  <si>
    <t>15 mins 48 secs</t>
  </si>
  <si>
    <t>12 August 2026  10:38 PM</t>
  </si>
  <si>
    <t>12 August 2026  10:51 PM</t>
  </si>
  <si>
    <t>12 mins 22 secs</t>
  </si>
  <si>
    <t>13 August 2026  8:53 AM</t>
  </si>
  <si>
    <t>13 August 2026  8:59 AM</t>
  </si>
  <si>
    <t>5 mins 37 secs</t>
  </si>
  <si>
    <t>13 August 2026  9:04 AM</t>
  </si>
  <si>
    <t>13 August 2026  9:34 AM</t>
  </si>
  <si>
    <t>30 mins 4 secs</t>
  </si>
  <si>
    <t>13 August 2026  9:11 AM</t>
  </si>
  <si>
    <t>13 August 2026  9:17 AM</t>
  </si>
  <si>
    <t>5 mins 53 secs</t>
  </si>
  <si>
    <t>13 August 2026  9:29 AM</t>
  </si>
  <si>
    <t>13 August 2026  9:36 AM</t>
  </si>
  <si>
    <t>6 mins 36 secs</t>
  </si>
  <si>
    <t>13 August 2026  9:38 AM</t>
  </si>
  <si>
    <t>13 August 2026  9:44 AM</t>
  </si>
  <si>
    <t>6 mins 2 secs</t>
  </si>
  <si>
    <t>13 August 2026  9:45 AM</t>
  </si>
  <si>
    <t>13 August 2026  9:56 AM</t>
  </si>
  <si>
    <t>11 mins 7 secs</t>
  </si>
  <si>
    <t>13 August 2026  11:15 AM</t>
  </si>
  <si>
    <t>13 August 2026  11:26 AM</t>
  </si>
  <si>
    <t>13 August 2026  12:12 PM</t>
  </si>
  <si>
    <t>13 August 2026  12:16 PM</t>
  </si>
  <si>
    <t>3 mins 52 secs</t>
  </si>
  <si>
    <t>13 August 2026  1:55 PM</t>
  </si>
  <si>
    <t>13 August 2026  2:31 PM</t>
  </si>
  <si>
    <t>35 mins 57 secs</t>
  </si>
  <si>
    <t>13 August 2026  2:11 PM</t>
  </si>
  <si>
    <t>13 August 2026  2:15 PM</t>
  </si>
  <si>
    <t>3 mins 18 secs</t>
  </si>
  <si>
    <t>13 August 2026  2:18 PM</t>
  </si>
  <si>
    <t>13 August 2026  2:32 PM</t>
  </si>
  <si>
    <t>13 mins 59 secs</t>
  </si>
  <si>
    <t>13 August 2026  2:22 PM</t>
  </si>
  <si>
    <t>13 August 2026  2:27 PM</t>
  </si>
  <si>
    <t>4 mins 19 secs</t>
  </si>
  <si>
    <t>13 August 2026  2:28 PM</t>
  </si>
  <si>
    <t>13 August 2026  2:30 PM</t>
  </si>
  <si>
    <t>2 mins 12 secs</t>
  </si>
  <si>
    <t>13 August 2026  2:34 PM</t>
  </si>
  <si>
    <t>3 mins 7 secs</t>
  </si>
  <si>
    <t>13 August 2026  2:43 PM</t>
  </si>
  <si>
    <t>13 August 2026  2:47 PM</t>
  </si>
  <si>
    <t>3 mins 13 secs</t>
  </si>
  <si>
    <t>13 August 2026  3:13 PM</t>
  </si>
  <si>
    <t>13 August 2026  3:26 PM</t>
  </si>
  <si>
    <t>12 mins 26 secs</t>
  </si>
  <si>
    <t>13 August 2026  3:57 PM</t>
  </si>
  <si>
    <t>13 August 2026  4:16 PM</t>
  </si>
  <si>
    <t>19 mins 13 secs</t>
  </si>
  <si>
    <t>13 August 2026  6:14 PM</t>
  </si>
  <si>
    <t>13 August 2026  6:23 PM</t>
  </si>
  <si>
    <t>8 mins 56 secs</t>
  </si>
  <si>
    <t>13 August 2026  6:37 PM</t>
  </si>
  <si>
    <t>13 August 2026  6:58 PM</t>
  </si>
  <si>
    <t>13 August 2026  6:45 PM</t>
  </si>
  <si>
    <t>13 August 2026  7:10 PM</t>
  </si>
  <si>
    <t>24 mins 55 secs</t>
  </si>
  <si>
    <t>13 August 2026  6:52 PM</t>
  </si>
  <si>
    <t>13 August 2026  7:01 PM</t>
  </si>
  <si>
    <t>9 mins 2 secs</t>
  </si>
  <si>
    <t>13 August 2026  6:55 PM</t>
  </si>
  <si>
    <t>13 August 2026  7:12 PM</t>
  </si>
  <si>
    <t>16 mins 19 secs</t>
  </si>
  <si>
    <t>13 August 2026  7:06 PM</t>
  </si>
  <si>
    <t>13 August 2026  7:15 PM</t>
  </si>
  <si>
    <t>13 August 2026  7:34 PM</t>
  </si>
  <si>
    <t>27 mins 58 secs</t>
  </si>
  <si>
    <t>13 August 2026  7:14 PM</t>
  </si>
  <si>
    <t>13 August 2026  7:22 PM</t>
  </si>
  <si>
    <t>13 August 2026  7:29 PM</t>
  </si>
  <si>
    <t>15 mins 1 sec</t>
  </si>
  <si>
    <t>13 August 2026  7:30 PM</t>
  </si>
  <si>
    <t>15 mins 18 secs</t>
  </si>
  <si>
    <t>13 August 2026  7:20 PM</t>
  </si>
  <si>
    <t>13 August 2026  7:57 PM</t>
  </si>
  <si>
    <t>27 mins 52 secs</t>
  </si>
  <si>
    <t>13 August 2026  7:35 PM</t>
  </si>
  <si>
    <t>13 August 2026  7:42 PM</t>
  </si>
  <si>
    <t>6 mins 39 secs</t>
  </si>
  <si>
    <t>13 August 2026  7:38 PM</t>
  </si>
  <si>
    <t>13 August 2026  8:20 PM</t>
  </si>
  <si>
    <t>41 mins 40 secs</t>
  </si>
  <si>
    <t>13 August 2026  8:06 PM</t>
  </si>
  <si>
    <t>23 mins 55 secs</t>
  </si>
  <si>
    <t>13 August 2026  7:46 PM</t>
  </si>
  <si>
    <t>13 August 2026  8:08 PM</t>
  </si>
  <si>
    <t>21 mins 25 secs</t>
  </si>
  <si>
    <t>13 August 2026  7:48 PM</t>
  </si>
  <si>
    <t>13 August 2026  7:59 PM</t>
  </si>
  <si>
    <t>13 August 2026  7:49 PM</t>
  </si>
  <si>
    <t>13 August 2026  8:13 PM</t>
  </si>
  <si>
    <t>24 mins 18 secs</t>
  </si>
  <si>
    <t>7 mins 55 secs</t>
  </si>
  <si>
    <t>13 August 2026  8:19 PM</t>
  </si>
  <si>
    <t>13 August 2026  8:07 PM</t>
  </si>
  <si>
    <t>11 mins 49 secs</t>
  </si>
  <si>
    <t>13 August 2026  8:12 PM</t>
  </si>
  <si>
    <t>13 August 2026  8:29 PM</t>
  </si>
  <si>
    <t>16 mins 52 secs</t>
  </si>
  <si>
    <t>13 August 2026  8:15 PM</t>
  </si>
  <si>
    <t>13 August 2026  8:48 PM</t>
  </si>
  <si>
    <t>33 mins 10 secs</t>
  </si>
  <si>
    <t>13 August 2026  8:24 PM</t>
  </si>
  <si>
    <t>13 August 2026  8:28 PM</t>
  </si>
  <si>
    <t>3 mins 58 secs</t>
  </si>
  <si>
    <t>13 August 2026  8:30 PM</t>
  </si>
  <si>
    <t>13 August 2026  9:01 PM</t>
  </si>
  <si>
    <t>30 mins 33 secs</t>
  </si>
  <si>
    <t>13 August 2026  8:32 PM</t>
  </si>
  <si>
    <t>13 August 2026  8:47 PM</t>
  </si>
  <si>
    <t>15 mins 6 secs</t>
  </si>
  <si>
    <t>16 mins 3 secs</t>
  </si>
  <si>
    <t>13 August 2026  8:43 PM</t>
  </si>
  <si>
    <t>13 August 2026  9:03 PM</t>
  </si>
  <si>
    <t>19 mins 55 secs</t>
  </si>
  <si>
    <t>13 August 2026  9:25 PM</t>
  </si>
  <si>
    <t>13 August 2026  9:36 PM</t>
  </si>
  <si>
    <t>13 August 2026  9:30 PM</t>
  </si>
  <si>
    <t>13 August 2026  9:47 PM</t>
  </si>
  <si>
    <t>17 mins 16 secs</t>
  </si>
  <si>
    <t>13 August 2026  10:02 PM</t>
  </si>
  <si>
    <t>13 August 2026  10:28 PM</t>
  </si>
  <si>
    <t>25 mins 43 secs</t>
  </si>
  <si>
    <t>14 August 2026  8:19 AM</t>
  </si>
  <si>
    <t>14 August 2026  8:38 AM</t>
  </si>
  <si>
    <t>19 mins 23 secs</t>
  </si>
  <si>
    <t>14 August 2026  9:26 AM</t>
  </si>
  <si>
    <t>14 August 2026  9:48 AM</t>
  </si>
  <si>
    <t>22 mins 17 secs</t>
  </si>
  <si>
    <t>14 August 2026  11:47 AM</t>
  </si>
  <si>
    <t>14 August 2026  12:07 PM</t>
  </si>
  <si>
    <t>20 mins 23 secs</t>
  </si>
  <si>
    <t>14 August 2026  12:02 PM</t>
  </si>
  <si>
    <t>14 August 2026  12:47 PM</t>
  </si>
  <si>
    <t>14 August 2026  12:17 PM</t>
  </si>
  <si>
    <t>14 August 2026  12:29 PM</t>
  </si>
  <si>
    <t>11 mins 25 secs</t>
  </si>
  <si>
    <t>14 August 2026  6:03 PM</t>
  </si>
  <si>
    <t>14 August 2026  6:16 PM</t>
  </si>
  <si>
    <t>13 mins 41 secs</t>
  </si>
  <si>
    <t>14 August 2026  6:14 PM</t>
  </si>
  <si>
    <t>14 August 2026  6:23 PM</t>
  </si>
  <si>
    <t>8 mins 53 secs</t>
  </si>
  <si>
    <t>14 August 2026  6:34 PM</t>
  </si>
  <si>
    <t>14 August 2026  6:42 PM</t>
  </si>
  <si>
    <t>14 August 2026  6:40 PM</t>
  </si>
  <si>
    <t>14 August 2026  6:47 PM</t>
  </si>
  <si>
    <t>6 mins 18 secs</t>
  </si>
  <si>
    <t>14 August 2026  6:54 PM</t>
  </si>
  <si>
    <t>14 August 2026  6:58 PM</t>
  </si>
  <si>
    <t>4 mins 14 secs</t>
  </si>
  <si>
    <t>14 August 2026  7:17 PM</t>
  </si>
  <si>
    <t>19 mins 15 secs</t>
  </si>
  <si>
    <t>14 August 2026  7:00 PM</t>
  </si>
  <si>
    <t>14 August 2026  7:23 PM</t>
  </si>
  <si>
    <t>23 mins 24 secs</t>
  </si>
  <si>
    <t>14 August 2026  7:01 PM</t>
  </si>
  <si>
    <t>14 August 2026  7:32 PM</t>
  </si>
  <si>
    <t>31 mins 17 secs</t>
  </si>
  <si>
    <t>14 August 2026  7:02 PM</t>
  </si>
  <si>
    <t>14 August 2026  7:47 PM</t>
  </si>
  <si>
    <t>2.00</t>
  </si>
  <si>
    <t>14 August 2026  7:06 PM</t>
  </si>
  <si>
    <t>14 August 2026  7:52 PM</t>
  </si>
  <si>
    <t>45 mins 45 secs</t>
  </si>
  <si>
    <t>14 August 2026  7:18 PM</t>
  </si>
  <si>
    <t>14 August 2026  7:59 PM</t>
  </si>
  <si>
    <t>41 mins 28 secs</t>
  </si>
  <si>
    <t>14 August 2026  7:27 PM</t>
  </si>
  <si>
    <t>8 mins 54 secs</t>
  </si>
  <si>
    <t>14 August 2026  7:20 PM</t>
  </si>
  <si>
    <t>14 August 2026  7:43 PM</t>
  </si>
  <si>
    <t>23 mins 14 secs</t>
  </si>
  <si>
    <t>14 August 2026  7:22 PM</t>
  </si>
  <si>
    <t>14 August 2026  7:41 PM</t>
  </si>
  <si>
    <t>14 August 2026  8:12 PM</t>
  </si>
  <si>
    <t>14 August 2026  7:28 PM</t>
  </si>
  <si>
    <t>14 August 2026  7:48 PM</t>
  </si>
  <si>
    <t>14 August 2026  7:30 PM</t>
  </si>
  <si>
    <t>21 mins 52 secs</t>
  </si>
  <si>
    <t>14 August 2026  7:51 PM</t>
  </si>
  <si>
    <t>14 August 2026  8:06 PM</t>
  </si>
  <si>
    <t>15 mins</t>
  </si>
  <si>
    <t>14 August 2026  7:54 PM</t>
  </si>
  <si>
    <t>14 August 2026  8:19 PM</t>
  </si>
  <si>
    <t>24 mins 42 secs</t>
  </si>
  <si>
    <t>14 August 2026  8:02 PM</t>
  </si>
  <si>
    <t>4 mins 45 secs</t>
  </si>
  <si>
    <t>14 August 2026  8:09 PM</t>
  </si>
  <si>
    <t>14 August 2026  8:14 PM</t>
  </si>
  <si>
    <t>4 mins 37 secs</t>
  </si>
  <si>
    <t>14 August 2026  8:32 PM</t>
  </si>
  <si>
    <t>22 mins 32 secs</t>
  </si>
  <si>
    <t>14 August 2026  8:16 PM</t>
  </si>
  <si>
    <t>14 August 2026  8:43 PM</t>
  </si>
  <si>
    <t>27 mins 24 secs</t>
  </si>
  <si>
    <t>14 August 2026  8:18 PM</t>
  </si>
  <si>
    <t>14 August 2026  8:39 PM</t>
  </si>
  <si>
    <t>20 mins 7 secs</t>
  </si>
  <si>
    <t>14 August 2026  8:47 PM</t>
  </si>
  <si>
    <t>27 mins 30 secs</t>
  </si>
  <si>
    <t>14 August 2026  8:27 PM</t>
  </si>
  <si>
    <t>14 August 2026  9:12 PM</t>
  </si>
  <si>
    <t>14 August 2026  8:29 PM</t>
  </si>
  <si>
    <t>14 August 2026  8:38 PM</t>
  </si>
  <si>
    <t>14 August 2026  8:31 PM</t>
  </si>
  <si>
    <t>14 August 2026  9:02 PM</t>
  </si>
  <si>
    <t>30 mins 46 secs</t>
  </si>
  <si>
    <t>14 August 2026  8:34 PM</t>
  </si>
  <si>
    <t>14 August 2026  8:48 PM</t>
  </si>
  <si>
    <t>14 mins 43 secs</t>
  </si>
  <si>
    <t>14 August 2026  8:35 PM</t>
  </si>
  <si>
    <t>14 August 2026  8:59 PM</t>
  </si>
  <si>
    <t>23 mins 49 secs</t>
  </si>
  <si>
    <t>14 August 2026  8:56 PM</t>
  </si>
  <si>
    <t>12 mins 46 secs</t>
  </si>
  <si>
    <t>14 August 2026  9:00 PM</t>
  </si>
  <si>
    <t>16 mins 14 secs</t>
  </si>
  <si>
    <t>14 August 2026  9:11 PM</t>
  </si>
  <si>
    <t>12 mins 20 secs</t>
  </si>
  <si>
    <t>14 August 2026  9:03 PM</t>
  </si>
  <si>
    <t>8 mins 28 secs</t>
  </si>
  <si>
    <t>14 August 2026  9:08 PM</t>
  </si>
  <si>
    <t>14 August 2026  9:21 PM</t>
  </si>
  <si>
    <t>14 August 2026  9:27 PM</t>
  </si>
  <si>
    <t>6 mins 4 secs</t>
  </si>
  <si>
    <t>14 August 2026  9:37 PM</t>
  </si>
  <si>
    <t>14 August 2026  9:57 PM</t>
  </si>
  <si>
    <t>14 August 2026  9:43 PM</t>
  </si>
  <si>
    <t>14 August 2026  9:56 PM</t>
  </si>
  <si>
    <t>12 mins 53 secs</t>
  </si>
  <si>
    <t>14 August 2026  9:53 PM</t>
  </si>
  <si>
    <t>14 August 2026  10:00 PM</t>
  </si>
  <si>
    <t>7 mins 17 secs</t>
  </si>
  <si>
    <t>3 mins 4 secs</t>
  </si>
  <si>
    <t>14 August 2026  9:59 PM</t>
  </si>
  <si>
    <t>14 August 2026  10:04 PM</t>
  </si>
  <si>
    <t>4 mins 26 secs</t>
  </si>
  <si>
    <t>14 August 2026  10:14 PM</t>
  </si>
  <si>
    <t>14 August 2026  10:26 PM</t>
  </si>
  <si>
    <t>12 mins 29 secs</t>
  </si>
  <si>
    <t>14 August 2026  10:19 PM</t>
  </si>
  <si>
    <t>14 August 2026  10:32 PM</t>
  </si>
  <si>
    <t>13 mins 15 secs</t>
  </si>
  <si>
    <t>14 August 2026  10:23 PM</t>
  </si>
  <si>
    <t>14 August 2026  10:31 PM</t>
  </si>
  <si>
    <t>14 August 2026  10:29 PM</t>
  </si>
  <si>
    <t>5 mins 39 secs</t>
  </si>
  <si>
    <t>14 August 2026  10:37 PM</t>
  </si>
  <si>
    <t>14 August 2026  10:39 PM</t>
  </si>
  <si>
    <t>14 August 2026  11:25 PM</t>
  </si>
  <si>
    <t>14 August 2026  11:58 PM</t>
  </si>
  <si>
    <t>32 mins 28 secs</t>
  </si>
  <si>
    <t>15 August 2026  4:58 AM</t>
  </si>
  <si>
    <t>15 August 2026  5:06 AM</t>
  </si>
  <si>
    <t>7 mins 54 secs</t>
  </si>
  <si>
    <t>15 August 2026  8:18 AM</t>
  </si>
  <si>
    <t>15 August 2026  8:26 AM</t>
  </si>
  <si>
    <t>8 mins 50 secs</t>
  </si>
  <si>
    <t>15 August 2026  9:33 AM</t>
  </si>
  <si>
    <t>15 August 2026  9:42 AM</t>
  </si>
  <si>
    <t>15 August 2026  9:35 AM</t>
  </si>
  <si>
    <t>15 August 2026  9:40 AM</t>
  </si>
  <si>
    <t>5 mins 10 secs</t>
  </si>
  <si>
    <t>15 August 2026  9:41 AM</t>
  </si>
  <si>
    <t>15 August 2026  10:09 AM</t>
  </si>
  <si>
    <t>28 mins 11 secs</t>
  </si>
  <si>
    <t>15 August 2026  9:59 AM</t>
  </si>
  <si>
    <t>18 mins 23 secs</t>
  </si>
  <si>
    <t>15 August 2026  9:44 AM</t>
  </si>
  <si>
    <t>15 August 2026  9:48 AM</t>
  </si>
  <si>
    <t>4 mins 58 secs</t>
  </si>
  <si>
    <t>15 August 2026  9:56 AM</t>
  </si>
  <si>
    <t>15 August 2026  10:05 AM</t>
  </si>
  <si>
    <t>8 mins 57 secs</t>
  </si>
  <si>
    <t>15 August 2026  10:45 AM</t>
  </si>
  <si>
    <t>15 August 2026  11:07 AM</t>
  </si>
  <si>
    <t>22 mins</t>
  </si>
  <si>
    <t>15 August 2026  10:50 AM</t>
  </si>
  <si>
    <t>15 August 2026  11:03 AM</t>
  </si>
  <si>
    <t>15 August 2026  11:00 AM</t>
  </si>
  <si>
    <t>15 August 2026  11:10 AM</t>
  </si>
  <si>
    <t>10 mins 6 secs</t>
  </si>
  <si>
    <t>15 August 2026  11:02 AM</t>
  </si>
  <si>
    <t>15 August 2026  11:08 AM</t>
  </si>
  <si>
    <t>6 mins 27 secs</t>
  </si>
  <si>
    <t>15 August 2026  11:35 AM</t>
  </si>
  <si>
    <t>32 mins 16 secs</t>
  </si>
  <si>
    <t>15 August 2026  11:06 AM</t>
  </si>
  <si>
    <t>15 August 2026  11:21 AM</t>
  </si>
  <si>
    <t>14 mins 50 secs</t>
  </si>
  <si>
    <t>15 August 2026  11:22 AM</t>
  </si>
  <si>
    <t>15 August 2026  11:34 AM</t>
  </si>
  <si>
    <t>15 August 2026  11:28 AM</t>
  </si>
  <si>
    <t>15 August 2026  11:40 AM</t>
  </si>
  <si>
    <t>15 August 2026  11:29 AM</t>
  </si>
  <si>
    <t>15 August 2026  11:37 AM</t>
  </si>
  <si>
    <t>15 August 2026  11:33 AM</t>
  </si>
  <si>
    <t>15 August 2026  11:39 AM</t>
  </si>
  <si>
    <t>6 mins 9 secs</t>
  </si>
  <si>
    <t>15 August 2026  11:47 AM</t>
  </si>
  <si>
    <t>15 August 2026  12:07 PM</t>
  </si>
  <si>
    <t>19 mins 40 secs</t>
  </si>
  <si>
    <t>15 August 2026  11:59 AM</t>
  </si>
  <si>
    <t>15 August 2026  12:12 PM</t>
  </si>
  <si>
    <t>13 mins</t>
  </si>
  <si>
    <t>15 August 2026  12:04 PM</t>
  </si>
  <si>
    <t>15 August 2026  12:32 PM</t>
  </si>
  <si>
    <t>28 mins 2 secs</t>
  </si>
  <si>
    <t>15 August 2026  12:41 PM</t>
  </si>
  <si>
    <t>15 August 2026  12:15 PM</t>
  </si>
  <si>
    <t>15 August 2026  12:31 PM</t>
  </si>
  <si>
    <t>15 mins 44 secs</t>
  </si>
  <si>
    <t>15 August 2026  12:21 PM</t>
  </si>
  <si>
    <t>15 August 2026  12:53 PM</t>
  </si>
  <si>
    <t>31 mins 53 secs</t>
  </si>
  <si>
    <t>15 August 2026  12:23 PM</t>
  </si>
  <si>
    <t>15 August 2026  12:55 PM</t>
  </si>
  <si>
    <t>31 mins 42 secs</t>
  </si>
  <si>
    <t>15 August 2026  12:42 PM</t>
  </si>
  <si>
    <t>15 August 2026  1:05 PM</t>
  </si>
  <si>
    <t>22 mins 55 secs</t>
  </si>
  <si>
    <t>15 August 2026  1:02 PM</t>
  </si>
  <si>
    <t>15 August 2026  1:16 PM</t>
  </si>
  <si>
    <t>14 mins 45 secs</t>
  </si>
  <si>
    <t>15 August 2026  1:09 PM</t>
  </si>
  <si>
    <t>15 August 2026  1:19 PM</t>
  </si>
  <si>
    <t>9 mins 21 secs</t>
  </si>
  <si>
    <t>15 August 2026  1:45 PM</t>
  </si>
  <si>
    <t>15 August 2026  1:58 PM</t>
  </si>
  <si>
    <t>12 mins 38 secs</t>
  </si>
  <si>
    <t>15 August 2026  1:49 PM</t>
  </si>
  <si>
    <t>15 August 2026  2:26 PM</t>
  </si>
  <si>
    <t>36 mins 18 secs</t>
  </si>
  <si>
    <t>15 August 2026  2:08 PM</t>
  </si>
  <si>
    <t>15 August 2026  2:17 PM</t>
  </si>
  <si>
    <t>15 August 2026  2:11 PM</t>
  </si>
  <si>
    <t>15 August 2026  2:53 PM</t>
  </si>
  <si>
    <t>42 mins 11 secs</t>
  </si>
  <si>
    <t>15 August 2026  2:58 PM</t>
  </si>
  <si>
    <t>15 August 2026  3:09 PM</t>
  </si>
  <si>
    <t>11 mins 29 secs</t>
  </si>
  <si>
    <t>15 August 2026  3:50 PM</t>
  </si>
  <si>
    <t>15 August 2026  4:01 PM</t>
  </si>
  <si>
    <t>15 August 2026  4:38 PM</t>
  </si>
  <si>
    <t>15 August 2026  4:52 PM</t>
  </si>
  <si>
    <t>15 August 2026  5:40 PM</t>
  </si>
  <si>
    <t>15 August 2026  6:04 PM</t>
  </si>
  <si>
    <t>24 mins 39 secs</t>
  </si>
  <si>
    <t>15 August 2026  5:41 PM</t>
  </si>
  <si>
    <t>15 August 2026  5:53 PM</t>
  </si>
  <si>
    <t>12 mins 50 secs</t>
  </si>
  <si>
    <t>15 August 2026  5:46 PM</t>
  </si>
  <si>
    <t>15 August 2026  6:25 PM</t>
  </si>
  <si>
    <t>38 mins 30 secs</t>
  </si>
  <si>
    <t>15 August 2026  6:42 PM</t>
  </si>
  <si>
    <t>15 August 2026  6:52 PM</t>
  </si>
  <si>
    <t>9 mins 29 secs</t>
  </si>
  <si>
    <t>15 August 2026  6:46 PM</t>
  </si>
  <si>
    <t>15 August 2026  7:27 PM</t>
  </si>
  <si>
    <t>40 mins 39 secs</t>
  </si>
  <si>
    <t>15 August 2026  6:50 PM</t>
  </si>
  <si>
    <t>15 August 2026  7:16 PM</t>
  </si>
  <si>
    <t>15 August 2026  6:53 PM</t>
  </si>
  <si>
    <t>15 August 2026  7:12 PM</t>
  </si>
  <si>
    <t>18 mins 21 secs</t>
  </si>
  <si>
    <t>15 August 2026  7:08 PM</t>
  </si>
  <si>
    <t>15 August 2026  7:17 PM</t>
  </si>
  <si>
    <t>9 mins 36 secs</t>
  </si>
  <si>
    <t>15 August 2026  7:15 PM</t>
  </si>
  <si>
    <t>15 August 2026  7:22 PM</t>
  </si>
  <si>
    <t>7 mins 31 secs</t>
  </si>
  <si>
    <t>15 August 2026  7:28 PM</t>
  </si>
  <si>
    <t>15 August 2026  7:39 PM</t>
  </si>
  <si>
    <t>15 August 2026  7:56 PM</t>
  </si>
  <si>
    <t>16 mins 22 secs</t>
  </si>
  <si>
    <t>15 August 2026  8:19 PM</t>
  </si>
  <si>
    <t>15 August 2026  8:35 PM</t>
  </si>
  <si>
    <t>15 mins 47 secs</t>
  </si>
  <si>
    <t>15 August 2026  8:46 PM</t>
  </si>
  <si>
    <t>15 August 2026  9:06 PM</t>
  </si>
  <si>
    <t>15 August 2026  8:54 PM</t>
  </si>
  <si>
    <t>15 August 2026  9:00 PM</t>
  </si>
  <si>
    <t>6 mins 7 secs</t>
  </si>
  <si>
    <t>15 August 2026  8:55 PM</t>
  </si>
  <si>
    <t>15 August 2026  9:05 PM</t>
  </si>
  <si>
    <t>15 August 2026  9:25 PM</t>
  </si>
  <si>
    <t>15 August 2026  9:50 PM</t>
  </si>
  <si>
    <t>15 August 2026  9:31 PM</t>
  </si>
  <si>
    <t>5 mins 55 secs</t>
  </si>
  <si>
    <t>15 August 2026  9:27 PM</t>
  </si>
  <si>
    <t>15 August 2026  9:38 PM</t>
  </si>
  <si>
    <t>10 mins 35 secs</t>
  </si>
  <si>
    <t>15 August 2026  10:25 PM</t>
  </si>
  <si>
    <t>15 August 2026  10:39 PM</t>
  </si>
  <si>
    <t>13 mins 31 secs</t>
  </si>
  <si>
    <t>16 August 2026  8:00 AM</t>
  </si>
  <si>
    <t>16 August 2026  8:21 AM</t>
  </si>
  <si>
    <t>21 mins 50 secs</t>
  </si>
  <si>
    <t>16 August 2026  8:14 AM</t>
  </si>
  <si>
    <t>13 mins 8 secs</t>
  </si>
  <si>
    <t>16 August 2026  8:15 AM</t>
  </si>
  <si>
    <t>16 August 2026  8:31 AM</t>
  </si>
  <si>
    <t>16 August 2026  8:16 AM</t>
  </si>
  <si>
    <t>16 August 2026  8:27 AM</t>
  </si>
  <si>
    <t>16 August 2026  8:30 AM</t>
  </si>
  <si>
    <t>16 August 2026  8:42 AM</t>
  </si>
  <si>
    <t>16 August 2026  8:32 AM</t>
  </si>
  <si>
    <t>16 August 2026  8:41 AM</t>
  </si>
  <si>
    <t>9 mins 45 secs</t>
  </si>
  <si>
    <t>16 August 2026  8:37 AM</t>
  </si>
  <si>
    <t>16 August 2026  9:01 AM</t>
  </si>
  <si>
    <t>24 mins 2 secs</t>
  </si>
  <si>
    <t>16 August 2026  8:51 AM</t>
  </si>
  <si>
    <t>8 mins 59 secs</t>
  </si>
  <si>
    <t>16 August 2026  8:56 AM</t>
  </si>
  <si>
    <t>16 August 2026  9:41 AM</t>
  </si>
  <si>
    <t>16 August 2026  9:03 AM</t>
  </si>
  <si>
    <t>16 August 2026  9:20 AM</t>
  </si>
  <si>
    <t>17 mins</t>
  </si>
  <si>
    <t>16 August 2026  9:19 AM</t>
  </si>
  <si>
    <t>16 August 2026  9:32 AM</t>
  </si>
  <si>
    <t>12 mins 45 secs</t>
  </si>
  <si>
    <t>16 August 2026  9:35 AM</t>
  </si>
  <si>
    <t>16 August 2026  9:52 AM</t>
  </si>
  <si>
    <t>16 August 2026  9:45 AM</t>
  </si>
  <si>
    <t>16 August 2026  9:55 AM</t>
  </si>
  <si>
    <t>10 mins 13 secs</t>
  </si>
  <si>
    <t>16 August 2026  9:58 AM</t>
  </si>
  <si>
    <t>16 August 2026  10:23 AM</t>
  </si>
  <si>
    <t>25 mins 6 secs</t>
  </si>
  <si>
    <t>16 August 2026  10:30 AM</t>
  </si>
  <si>
    <t>16 August 2026  10:55 AM</t>
  </si>
  <si>
    <t>16 August 2026  10:36 AM</t>
  </si>
  <si>
    <t>16 August 2026  10:47 AM</t>
  </si>
  <si>
    <t>11 mins 46 secs</t>
  </si>
  <si>
    <t>16 August 2026  10:38 AM</t>
  </si>
  <si>
    <t>16 August 2026  11:09 AM</t>
  </si>
  <si>
    <t>31 mins 28 secs</t>
  </si>
  <si>
    <t>16 August 2026  10:46 AM</t>
  </si>
  <si>
    <t>16 August 2026  11:10 AM</t>
  </si>
  <si>
    <t>24 mins 19 secs</t>
  </si>
  <si>
    <t>16 August 2026  11:04 AM</t>
  </si>
  <si>
    <t>16 August 2026  10:52 AM</t>
  </si>
  <si>
    <t>16 August 2026  11:18 AM</t>
  </si>
  <si>
    <t>26 mins 48 secs</t>
  </si>
  <si>
    <t>16 mins 25 secs</t>
  </si>
  <si>
    <t>16 August 2026  11:27 AM</t>
  </si>
  <si>
    <t>16 August 2026  11:15 AM</t>
  </si>
  <si>
    <t>16 August 2026  11:28 AM</t>
  </si>
  <si>
    <t>12 mins 21 secs</t>
  </si>
  <si>
    <t>16 August 2026  11:31 AM</t>
  </si>
  <si>
    <t>16 August 2026  11:43 AM</t>
  </si>
  <si>
    <t>16 August 2026  12:05 PM</t>
  </si>
  <si>
    <t>16 August 2026  12:27 PM</t>
  </si>
  <si>
    <t>22 mins 5 secs</t>
  </si>
  <si>
    <t>16 August 2026  12:06 PM</t>
  </si>
  <si>
    <t>16 August 2026  12:35 PM</t>
  </si>
  <si>
    <t>29 mins 28 secs</t>
  </si>
  <si>
    <t>16 August 2026  12:11 PM</t>
  </si>
  <si>
    <t>16 August 2026  12:23 PM</t>
  </si>
  <si>
    <t>12 mins 5 secs</t>
  </si>
  <si>
    <t>16 August 2026  12:16 PM</t>
  </si>
  <si>
    <t>7 mins 34 secs</t>
  </si>
  <si>
    <t>16 August 2026  12:39 PM</t>
  </si>
  <si>
    <t>16 August 2026  1:01 PM</t>
  </si>
  <si>
    <t>22 mins 28 secs</t>
  </si>
  <si>
    <t>16 August 2026  12:41 PM</t>
  </si>
  <si>
    <t>16 August 2026  12:59 PM</t>
  </si>
  <si>
    <t>18 mins 16 secs</t>
  </si>
  <si>
    <t>11.00</t>
  </si>
  <si>
    <t>16 August 2026  1:11 PM</t>
  </si>
  <si>
    <t>16 August 2026  1:50 PM</t>
  </si>
  <si>
    <t>39 mins 3 secs</t>
  </si>
  <si>
    <t>16 August 2026  1:20 PM</t>
  </si>
  <si>
    <t>8 mins 23 secs</t>
  </si>
  <si>
    <t>16 August 2026  1:28 PM</t>
  </si>
  <si>
    <t>16 August 2026  1:55 PM</t>
  </si>
  <si>
    <t>26 mins 42 secs</t>
  </si>
  <si>
    <t>16 August 2026  2:21 PM</t>
  </si>
  <si>
    <t>16 August 2026  2:35 PM</t>
  </si>
  <si>
    <t>14 mins 35 secs</t>
  </si>
  <si>
    <t>16 August 2026  2:51 PM</t>
  </si>
  <si>
    <t>16 August 2026  3:06 PM</t>
  </si>
  <si>
    <t>15 mins 21 secs</t>
  </si>
  <si>
    <t>16 August 2026  3:16 PM</t>
  </si>
  <si>
    <t>16 August 2026  3:23 PM</t>
  </si>
  <si>
    <t>7 mins 41 secs</t>
  </si>
  <si>
    <t>16 August 2026  3:17 PM</t>
  </si>
  <si>
    <t>16 August 2026  3:32 PM</t>
  </si>
  <si>
    <t>15 mins 2 secs</t>
  </si>
  <si>
    <t>16 August 2026  3:18 PM</t>
  </si>
  <si>
    <t>14 mins 33 secs</t>
  </si>
  <si>
    <t>16 August 2026  3:38 PM</t>
  </si>
  <si>
    <t>16 August 2026  4:02 PM</t>
  </si>
  <si>
    <t>24 mins 37 secs</t>
  </si>
  <si>
    <t>16 August 2026  3:53 PM</t>
  </si>
  <si>
    <t>14 mins 34 secs</t>
  </si>
  <si>
    <t>16 August 2026  3:52 PM</t>
  </si>
  <si>
    <t>16 August 2026  4:14 PM</t>
  </si>
  <si>
    <t>21 mins 28 secs</t>
  </si>
  <si>
    <t>16 August 2026  4:07 PM</t>
  </si>
  <si>
    <t>16 August 2026  4:29 PM</t>
  </si>
  <si>
    <t>22 mins 16 secs</t>
  </si>
  <si>
    <t>16 August 2026  4:28 PM</t>
  </si>
  <si>
    <t>16 August 2026  4:52 PM</t>
  </si>
  <si>
    <t>24 mins 20 secs</t>
  </si>
  <si>
    <t>16 August 2026  4:57 PM</t>
  </si>
  <si>
    <t>16 August 2026  5:42 PM</t>
  </si>
  <si>
    <t>16 August 2026  5:00 PM</t>
  </si>
  <si>
    <t>16 August 2026  5:11 PM</t>
  </si>
  <si>
    <t>10 mins 18 secs</t>
  </si>
  <si>
    <t>16 August 2026  5:43 PM</t>
  </si>
  <si>
    <t>16 August 2026  5:49 PM</t>
  </si>
  <si>
    <t>6 mins 22 secs</t>
  </si>
  <si>
    <t>16 August 2026  5:44 PM</t>
  </si>
  <si>
    <t>16 August 2026  5:55 PM</t>
  </si>
  <si>
    <t>11 mins 1 sec</t>
  </si>
  <si>
    <t>16 August 2026  6:09 PM</t>
  </si>
  <si>
    <t>24 mins 33 secs</t>
  </si>
  <si>
    <t>16 August 2026  6:05 PM</t>
  </si>
  <si>
    <t>15 mins 51 secs</t>
  </si>
  <si>
    <t>16 August 2026  5:56 PM</t>
  </si>
  <si>
    <t>16 August 2026  6:27 PM</t>
  </si>
  <si>
    <t>31 mins 14 secs</t>
  </si>
  <si>
    <t>16 August 2026  6:23 PM</t>
  </si>
  <si>
    <t>16 August 2026  6:35 PM</t>
  </si>
  <si>
    <t>12 mins</t>
  </si>
  <si>
    <t>16 August 2026  6:24 PM</t>
  </si>
  <si>
    <t>16 August 2026  6:34 PM</t>
  </si>
  <si>
    <t>16 August 2026  6:47 PM</t>
  </si>
  <si>
    <t>16 August 2026  7:06 PM</t>
  </si>
  <si>
    <t>18 mins 19 secs</t>
  </si>
  <si>
    <t>16 August 2026  6:48 PM</t>
  </si>
  <si>
    <t>16 August 2026  7:11 PM</t>
  </si>
  <si>
    <t>16 August 2026  7:18 PM</t>
  </si>
  <si>
    <t>16 August 2026  7:22 PM</t>
  </si>
  <si>
    <t>16 August 2026  7:45 PM</t>
  </si>
  <si>
    <t>16 August 2026  7:29 PM</t>
  </si>
  <si>
    <t>16 August 2026  7:30 PM</t>
  </si>
  <si>
    <t>15 mins 56 secs</t>
  </si>
  <si>
    <t>16 August 2026  7:41 PM</t>
  </si>
  <si>
    <t>16 August 2026  7:56 PM</t>
  </si>
  <si>
    <t>14 mins 39 secs</t>
  </si>
  <si>
    <t>16 August 2026  7:55 PM</t>
  </si>
  <si>
    <t>16 August 2026  8:21 PM</t>
  </si>
  <si>
    <t>25 mins 44 secs</t>
  </si>
  <si>
    <t>16 August 2026  8:09 PM</t>
  </si>
  <si>
    <t>16 August 2026  8:16 PM</t>
  </si>
  <si>
    <t>7 mins 11 secs</t>
  </si>
  <si>
    <t>16 August 2026  8:23 PM</t>
  </si>
  <si>
    <t>14 mins 18 secs</t>
  </si>
  <si>
    <t>16 August 2026  8:14 PM</t>
  </si>
  <si>
    <t>7 mins 37 secs</t>
  </si>
  <si>
    <t>16 August 2026  8:41 PM</t>
  </si>
  <si>
    <t>16 August 2026  9:04 PM</t>
  </si>
  <si>
    <t>22 mins 30 secs</t>
  </si>
  <si>
    <t>16 August 2026  8:47 PM</t>
  </si>
  <si>
    <t>16 August 2026  8:56 PM</t>
  </si>
  <si>
    <t>16 August 2026  9:00 PM</t>
  </si>
  <si>
    <t>16 August 2026  9:06 PM</t>
  </si>
  <si>
    <t>6 mins 37 secs</t>
  </si>
  <si>
    <t>16 August 2026  9:03 PM</t>
  </si>
  <si>
    <t>16 August 2026  9:13 PM</t>
  </si>
  <si>
    <t>9 mins 30 secs</t>
  </si>
  <si>
    <t>16 August 2026  9:09 PM</t>
  </si>
  <si>
    <t>16 August 2026  9:22 PM</t>
  </si>
  <si>
    <t>16 August 2026  9:17 PM</t>
  </si>
  <si>
    <t>16 August 2026  9:15 PM</t>
  </si>
  <si>
    <t>16 August 2026  9:26 PM</t>
  </si>
  <si>
    <t>16 August 2026  9:49 PM</t>
  </si>
  <si>
    <t>32 mins 47 secs</t>
  </si>
  <si>
    <t>16 August 2026  9:18 PM</t>
  </si>
  <si>
    <t>16 August 2026  9:21 PM</t>
  </si>
  <si>
    <t>3 mins</t>
  </si>
  <si>
    <t>16 August 2026  11:05 PM</t>
  </si>
  <si>
    <t>16 August 2026  11:35 PM</t>
  </si>
  <si>
    <t>29 mins 32 secs</t>
  </si>
  <si>
    <t>17 August 2026  8:15 AM</t>
  </si>
  <si>
    <t>17 August 2026  8:24 AM</t>
  </si>
  <si>
    <t>9 mins 14 secs</t>
  </si>
  <si>
    <t>17 August 2026  9:28 AM</t>
  </si>
  <si>
    <t>17 August 2026  9:42 AM</t>
  </si>
  <si>
    <t>13 mins 16 secs</t>
  </si>
  <si>
    <t>17 August 2026  9:47 AM</t>
  </si>
  <si>
    <t>18 mins 50 secs</t>
  </si>
  <si>
    <t>17 August 2026  9:44 AM</t>
  </si>
  <si>
    <t>17 August 2026  9:55 AM</t>
  </si>
  <si>
    <t>17 August 2026  9:57 AM</t>
  </si>
  <si>
    <t>17 August 2026  10:05 AM</t>
  </si>
  <si>
    <t>17 August 2026  10:04 AM</t>
  </si>
  <si>
    <t>17 August 2026  10:14 AM</t>
  </si>
  <si>
    <t>17 August 2026  10:23 AM</t>
  </si>
  <si>
    <t>17 August 2026  10:45 AM</t>
  </si>
  <si>
    <t>21 mins 57 secs</t>
  </si>
  <si>
    <t>17 August 2026  10:51 AM</t>
  </si>
  <si>
    <t>17 August 2026  11:00 AM</t>
  </si>
  <si>
    <t>17 August 2026  11:27 AM</t>
  </si>
  <si>
    <t>17 August 2026  11:46 AM</t>
  </si>
  <si>
    <t>19 mins 25 secs</t>
  </si>
  <si>
    <t>17 August 2026  11:42 AM</t>
  </si>
  <si>
    <t>17 August 2026  12:01 PM</t>
  </si>
  <si>
    <t>19 mins 20 secs</t>
  </si>
  <si>
    <t>17 August 2026  1:43 PM</t>
  </si>
  <si>
    <t>17 August 2026  2:01 PM</t>
  </si>
  <si>
    <t>17 mins 44 secs</t>
  </si>
  <si>
    <t>17 August 2026  1:49 PM</t>
  </si>
  <si>
    <t>17 August 2026  2:02 PM</t>
  </si>
  <si>
    <t>13 mins 23 secs</t>
  </si>
  <si>
    <t>17 August 2026  2:21 PM</t>
  </si>
  <si>
    <t>19 mins 43 secs</t>
  </si>
  <si>
    <t>17 August 2026  2:10 PM</t>
  </si>
  <si>
    <t>8 mins 19 secs</t>
  </si>
  <si>
    <t>17 August 2026  2:13 PM</t>
  </si>
  <si>
    <t>17 August 2026  2:19 PM</t>
  </si>
  <si>
    <t>5 mins 43 secs</t>
  </si>
  <si>
    <t>17 August 2026  2:41 PM</t>
  </si>
  <si>
    <t>17 August 2026  2:55 PM</t>
  </si>
  <si>
    <t>17 August 2026  2:46 PM</t>
  </si>
  <si>
    <t>17 August 2026  2:54 PM</t>
  </si>
  <si>
    <t>17 August 2026  3:28 PM</t>
  </si>
  <si>
    <t>17 August 2026  3:39 PM</t>
  </si>
  <si>
    <t>11 mins 6 secs</t>
  </si>
  <si>
    <t>17 August 2026  4:18 PM</t>
  </si>
  <si>
    <t>17 August 2026  4:24 PM</t>
  </si>
  <si>
    <t>6 mins 13 secs</t>
  </si>
  <si>
    <t>17 August 2026  4:29 PM</t>
  </si>
  <si>
    <t>17 August 2026  4:33 PM</t>
  </si>
  <si>
    <t>4 mins 10 secs</t>
  </si>
  <si>
    <t>17 August 2026  5:54 PM</t>
  </si>
  <si>
    <t>17 August 2026  6:06 PM</t>
  </si>
  <si>
    <t>17 August 2026  6:01 PM</t>
  </si>
  <si>
    <t>17 August 2026  6:23 PM</t>
  </si>
  <si>
    <t>17 August 2026  6:29 PM</t>
  </si>
  <si>
    <t>17 August 2026  6:39 PM</t>
  </si>
  <si>
    <t>17 August 2026  6:49 PM</t>
  </si>
  <si>
    <t>17 August 2026  7:15 PM</t>
  </si>
  <si>
    <t>17 August 2026  6:57 PM</t>
  </si>
  <si>
    <t>17 August 2026  7:06 PM</t>
  </si>
  <si>
    <t>8 mins 55 secs</t>
  </si>
  <si>
    <t>17 August 2026  7:02 PM</t>
  </si>
  <si>
    <t>17 August 2026  7:31 PM</t>
  </si>
  <si>
    <t>28 mins 21 secs</t>
  </si>
  <si>
    <t>17 August 2026  7:28 PM</t>
  </si>
  <si>
    <t>17 August 2026  7:45 PM</t>
  </si>
  <si>
    <t>16 mins 43 secs</t>
  </si>
  <si>
    <t>17 August 2026  7:49 PM</t>
  </si>
  <si>
    <t>17 August 2026  8:03 PM</t>
  </si>
  <si>
    <t>17 August 2026  8:00 PM</t>
  </si>
  <si>
    <t>17 August 2026  8:10 PM</t>
  </si>
  <si>
    <t>9 mins 33 secs</t>
  </si>
  <si>
    <t>17 August 2026  8:26 PM</t>
  </si>
  <si>
    <t>17 August 2026  8:44 PM</t>
  </si>
  <si>
    <t>18 mins 12 secs</t>
  </si>
  <si>
    <t>17 August 2026  8:35 PM</t>
  </si>
  <si>
    <t>17 August 2026  8:55 PM</t>
  </si>
  <si>
    <t>20 mins 13 secs</t>
  </si>
  <si>
    <t>17 August 2026  8:58 PM</t>
  </si>
  <si>
    <t>17 August 2026  9:17 PM</t>
  </si>
  <si>
    <t>18 mins 34 secs</t>
  </si>
  <si>
    <t>17 August 2026  9:03 PM</t>
  </si>
  <si>
    <t>17 August 2026  9:11 PM</t>
  </si>
  <si>
    <t>7 mins 29 secs</t>
  </si>
  <si>
    <t>17 August 2026  9:24 PM</t>
  </si>
  <si>
    <t>17 August 2026  9:26 PM</t>
  </si>
  <si>
    <t>2 mins 24 secs</t>
  </si>
  <si>
    <t>17 August 2026  9:49 PM</t>
  </si>
  <si>
    <t>17 August 2026  10:34 PM</t>
  </si>
  <si>
    <t>17 August 2026  10:38 PM</t>
  </si>
  <si>
    <t>17 August 2026  10:50 PM</t>
  </si>
  <si>
    <t>18 August 2026  6:37 AM</t>
  </si>
  <si>
    <t>18 August 2026  6:46 AM</t>
  </si>
  <si>
    <t>9 mins 12 secs</t>
  </si>
  <si>
    <t>18 August 2026  8:58 AM</t>
  </si>
  <si>
    <t>18 August 2026  9:10 AM</t>
  </si>
  <si>
    <t>12 mins 3 secs</t>
  </si>
  <si>
    <t>18 August 2026  9:09 AM</t>
  </si>
  <si>
    <t>18 August 2026  9:21 AM</t>
  </si>
  <si>
    <t>18 August 2026  9:16 AM</t>
  </si>
  <si>
    <t>18 August 2026  9:27 AM</t>
  </si>
  <si>
    <t>18 August 2026  9:19 AM</t>
  </si>
  <si>
    <t>18 August 2026  9:31 AM</t>
  </si>
  <si>
    <t>11 mins 48 secs</t>
  </si>
  <si>
    <t>18 August 2026  11:28 AM</t>
  </si>
  <si>
    <t>18 August 2026  11:37 AM</t>
  </si>
  <si>
    <t>18 August 2026  11:33 AM</t>
  </si>
  <si>
    <t>18 August 2026  11:54 AM</t>
  </si>
  <si>
    <t>21 mins 16 secs</t>
  </si>
  <si>
    <t>18 August 2026  11:48 AM</t>
  </si>
  <si>
    <t>18 August 2026  12:04 PM</t>
  </si>
  <si>
    <t>15 mins 36 secs</t>
  </si>
  <si>
    <t>18 August 2026  11:55 AM</t>
  </si>
  <si>
    <t>18 August 2026  12:14 PM</t>
  </si>
  <si>
    <t>18 August 2026  12:19 PM</t>
  </si>
  <si>
    <t>18 August 2026  12:33 PM</t>
  </si>
  <si>
    <t>13 mins 48 secs</t>
  </si>
  <si>
    <t>18 August 2026  2:32 PM</t>
  </si>
  <si>
    <t>18 August 2026  2:45 PM</t>
  </si>
  <si>
    <t>18 August 2026  5:08 PM</t>
  </si>
  <si>
    <t>18 August 2026  5:17 PM</t>
  </si>
  <si>
    <t>9 mins 41 secs</t>
  </si>
  <si>
    <t>18 August 2026  5:21 PM</t>
  </si>
  <si>
    <t>18 August 2026  5:13 PM</t>
  </si>
  <si>
    <t>3 mins 44 secs</t>
  </si>
  <si>
    <t>18 August 2026  6:03 PM</t>
  </si>
  <si>
    <t>18 August 2026  6:11 PM</t>
  </si>
  <si>
    <t>7 mins 48 secs</t>
  </si>
  <si>
    <t>18 August 2026  6:10 PM</t>
  </si>
  <si>
    <t>18 August 2026  6:19 PM</t>
  </si>
  <si>
    <t>18 August 2026  6:21 PM</t>
  </si>
  <si>
    <t>18 August 2026  6:34 PM</t>
  </si>
  <si>
    <t>18 August 2026  6:27 PM</t>
  </si>
  <si>
    <t>7 mins 45 secs</t>
  </si>
  <si>
    <t>18 August 2026  6:29 PM</t>
  </si>
  <si>
    <t>18 August 2026  6:51 PM</t>
  </si>
  <si>
    <t>18 August 2026  6:31 PM</t>
  </si>
  <si>
    <t>18 August 2026  6:43 PM</t>
  </si>
  <si>
    <t>12 mins 27 secs</t>
  </si>
  <si>
    <t>18 August 2026  6:38 PM</t>
  </si>
  <si>
    <t>18 August 2026  6:49 PM</t>
  </si>
  <si>
    <t>18 August 2026  6:39 PM</t>
  </si>
  <si>
    <t>18 August 2026  6:57 PM</t>
  </si>
  <si>
    <t>17 mins 20 secs</t>
  </si>
  <si>
    <t>18 August 2026  6:48 PM</t>
  </si>
  <si>
    <t>18 August 2026  7:03 PM</t>
  </si>
  <si>
    <t>15 mins 9 secs</t>
  </si>
  <si>
    <t>18 August 2026  6:52 PM</t>
  </si>
  <si>
    <t>18 August 2026  7:10 PM</t>
  </si>
  <si>
    <t>18 mins 6 secs</t>
  </si>
  <si>
    <t>18 August 2026  6:54 PM</t>
  </si>
  <si>
    <t>18 August 2026  7:16 PM</t>
  </si>
  <si>
    <t>21 mins 26 secs</t>
  </si>
  <si>
    <t>18 August 2026  7:13 PM</t>
  </si>
  <si>
    <t>18 mins 41 secs</t>
  </si>
  <si>
    <t>18 August 2026  7:05 PM</t>
  </si>
  <si>
    <t>8 mins 4 secs</t>
  </si>
  <si>
    <t>18 August 2026  6:58 PM</t>
  </si>
  <si>
    <t>18 August 2026  6:59 PM</t>
  </si>
  <si>
    <t>18 August 2026  7:01 PM</t>
  </si>
  <si>
    <t>14 mins 59 secs</t>
  </si>
  <si>
    <t>18 August 2026  7:08 PM</t>
  </si>
  <si>
    <t>18 August 2026  7:18 PM</t>
  </si>
  <si>
    <t>9 mins 49 secs</t>
  </si>
  <si>
    <t>18 August 2026  7:09 PM</t>
  </si>
  <si>
    <t>18 August 2026  7:19 PM</t>
  </si>
  <si>
    <t>18 August 2026  7:11 PM</t>
  </si>
  <si>
    <t>18 August 2026  7:52 PM</t>
  </si>
  <si>
    <t>41 mins 5 secs</t>
  </si>
  <si>
    <t>18 August 2026  7:38 PM</t>
  </si>
  <si>
    <t>25 mins 34 secs</t>
  </si>
  <si>
    <t>18 August 2026  7:14 PM</t>
  </si>
  <si>
    <t>18 August 2026  7:34 PM</t>
  </si>
  <si>
    <t>18 August 2026  7:15 PM</t>
  </si>
  <si>
    <t>18 August 2026  7:32 PM</t>
  </si>
  <si>
    <t>18 August 2026  7:28 PM</t>
  </si>
  <si>
    <t>10 mins 21 secs</t>
  </si>
  <si>
    <t>18 August 2026  7:21 PM</t>
  </si>
  <si>
    <t>18 August 2026  7:39 PM</t>
  </si>
  <si>
    <t>18 August 2026  7:23 PM</t>
  </si>
  <si>
    <t>18 August 2026  7:37 PM</t>
  </si>
  <si>
    <t>18 August 2026  7:54 PM</t>
  </si>
  <si>
    <t>2K24eee63@kiot.ac.in</t>
  </si>
  <si>
    <t>18 August 2026  7:24 PM</t>
  </si>
  <si>
    <t>18 August 2026  7:26 PM</t>
  </si>
  <si>
    <t>11 mins 18 secs</t>
  </si>
  <si>
    <t>18 August 2026  7:29 PM</t>
  </si>
  <si>
    <t>18 August 2026  7:41 PM</t>
  </si>
  <si>
    <t>11 mins 39 secs</t>
  </si>
  <si>
    <t>18 August 2026  7:31 PM</t>
  </si>
  <si>
    <t>18 August 2026  7:40 PM</t>
  </si>
  <si>
    <t>18 August 2026  8:00 PM</t>
  </si>
  <si>
    <t>28 mins 1 sec</t>
  </si>
  <si>
    <t>18 August 2026  8:14 PM</t>
  </si>
  <si>
    <t>36 mins 53 secs</t>
  </si>
  <si>
    <t>18 August 2026  8:13 PM</t>
  </si>
  <si>
    <t>35 mins 16 secs</t>
  </si>
  <si>
    <t>18 August 2026  7:45 PM</t>
  </si>
  <si>
    <t>5 mins 42 secs</t>
  </si>
  <si>
    <t>8 mins 3 secs</t>
  </si>
  <si>
    <t>18 August 2026  8:21 PM</t>
  </si>
  <si>
    <t>28 mins 41 secs</t>
  </si>
  <si>
    <t>18 August 2026  8:18 PM</t>
  </si>
  <si>
    <t>24 mins 3 secs</t>
  </si>
  <si>
    <t>18 August 2026  7:55 PM</t>
  </si>
  <si>
    <t>18 August 2026  8:10 PM</t>
  </si>
  <si>
    <t>14 mins 41 secs</t>
  </si>
  <si>
    <t>18 August 2026  7:56 PM</t>
  </si>
  <si>
    <t>18 August 2026  8:15 PM</t>
  </si>
  <si>
    <t>19 mins 26 secs</t>
  </si>
  <si>
    <t>18 August 2026  7:59 PM</t>
  </si>
  <si>
    <t>13 mins 47 secs</t>
  </si>
  <si>
    <t>18 August 2026  8:09 PM</t>
  </si>
  <si>
    <t>18 August 2026  8:29 PM</t>
  </si>
  <si>
    <t>19 mins 47 secs</t>
  </si>
  <si>
    <t>18 August 2026  8:12 PM</t>
  </si>
  <si>
    <t>18 August 2026  8:37 PM</t>
  </si>
  <si>
    <t>25 mins 9 secs</t>
  </si>
  <si>
    <t>18 August 2026  8:27 PM</t>
  </si>
  <si>
    <t>18 August 2026  8:24 PM</t>
  </si>
  <si>
    <t>18 August 2026  8:44 PM</t>
  </si>
  <si>
    <t>19 mins 59 secs</t>
  </si>
  <si>
    <t>18 August 2026  8:26 PM</t>
  </si>
  <si>
    <t>18 August 2026  8:36 PM</t>
  </si>
  <si>
    <t>9 mins 16 secs</t>
  </si>
  <si>
    <t>18 August 2026  8:28 PM</t>
  </si>
  <si>
    <t>18 August 2026  8:34 PM</t>
  </si>
  <si>
    <t>5 mins 33 secs</t>
  </si>
  <si>
    <t>18 August 2026  8:51 PM</t>
  </si>
  <si>
    <t>16 mins 32 secs</t>
  </si>
  <si>
    <t>18 August 2026  8:46 PM</t>
  </si>
  <si>
    <t>18 August 2026  8:55 PM</t>
  </si>
  <si>
    <t>18 August 2026  8:56 PM</t>
  </si>
  <si>
    <t>18 August 2026  9:07 PM</t>
  </si>
  <si>
    <t>10 mins 30 secs</t>
  </si>
  <si>
    <t>18 August 2026  8:59 PM</t>
  </si>
  <si>
    <t>18 August 2026  9:11 PM</t>
  </si>
  <si>
    <t>12 mins 10 secs</t>
  </si>
  <si>
    <t>18 August 2026  9:00 PM</t>
  </si>
  <si>
    <t>18 August 2026  9:12 PM</t>
  </si>
  <si>
    <t>11 mins 33 secs</t>
  </si>
  <si>
    <t>18 August 2026  9:10 PM</t>
  </si>
  <si>
    <t>9 mins 57 secs</t>
  </si>
  <si>
    <t>18 August 2026  9:19 PM</t>
  </si>
  <si>
    <t>7 mins 28 secs</t>
  </si>
  <si>
    <t>18 August 2026  9:15 PM</t>
  </si>
  <si>
    <t>18 August 2026  9:25 PM</t>
  </si>
  <si>
    <t>18 August 2026  9:17 PM</t>
  </si>
  <si>
    <t>18 August 2026  10:00 PM</t>
  </si>
  <si>
    <t>42 mins 31 secs</t>
  </si>
  <si>
    <t>18 August 2026  9:23 PM</t>
  </si>
  <si>
    <t>18 August 2026  9:31 PM</t>
  </si>
  <si>
    <t>8 mins 24 secs</t>
  </si>
  <si>
    <t>18 August 2026  9:26 PM</t>
  </si>
  <si>
    <t>18 August 2026  9:30 PM</t>
  </si>
  <si>
    <t>4 mins 17 secs</t>
  </si>
  <si>
    <t>18 August 2026  9:27 PM</t>
  </si>
  <si>
    <t>4 mins 24 secs</t>
  </si>
  <si>
    <t>18 August 2026  9:35 PM</t>
  </si>
  <si>
    <t>18 August 2026  9:43 PM</t>
  </si>
  <si>
    <t>18 August 2026  9:44 PM</t>
  </si>
  <si>
    <t>8 mins 25 secs</t>
  </si>
  <si>
    <t>18 August 2026  9:42 PM</t>
  </si>
  <si>
    <t>18 August 2026  10:05 PM</t>
  </si>
  <si>
    <t>22 mins 41 secs</t>
  </si>
  <si>
    <t>18 August 2026  9:52 PM</t>
  </si>
  <si>
    <t>9 mins 26 secs</t>
  </si>
  <si>
    <t>18 August 2026  9:45 PM</t>
  </si>
  <si>
    <t>18 August 2026  10:01 PM</t>
  </si>
  <si>
    <t>15 mins 33 secs</t>
  </si>
  <si>
    <t>18 August 2026  9:47 PM</t>
  </si>
  <si>
    <t>18 August 2026  9:55 PM</t>
  </si>
  <si>
    <t>6 mins 19 secs</t>
  </si>
  <si>
    <t>18 August 2026  9:57 PM</t>
  </si>
  <si>
    <t>18 August 2026  10:13 PM</t>
  </si>
  <si>
    <t>18 August 2026  10:28 PM</t>
  </si>
  <si>
    <t>18 August 2026  10:51 PM</t>
  </si>
  <si>
    <t>23 mins 12 secs</t>
  </si>
  <si>
    <t>18 August 2026  10:29 PM</t>
  </si>
  <si>
    <t>18 August 2026  10:41 PM</t>
  </si>
  <si>
    <t>18 August 2026  11:38 PM</t>
  </si>
  <si>
    <t>18 August 2026  11:48 PM</t>
  </si>
  <si>
    <t>9 mins 43 secs</t>
  </si>
  <si>
    <t>19 August 2026  7:09 AM</t>
  </si>
  <si>
    <t>19 August 2026  7:17 AM</t>
  </si>
  <si>
    <t>19 August 2026  7:30 AM</t>
  </si>
  <si>
    <t>19 August 2026  7:37 AM</t>
  </si>
  <si>
    <t>7 mins</t>
  </si>
  <si>
    <t>19 August 2026  8:09 AM</t>
  </si>
  <si>
    <t>19 August 2026  8:18 AM</t>
  </si>
  <si>
    <t>19 August 2026  8:37 AM</t>
  </si>
  <si>
    <t>19 August 2026  8:41 AM</t>
  </si>
  <si>
    <t>3 mins 21 secs</t>
  </si>
  <si>
    <t>19 August 2026  9:11 AM</t>
  </si>
  <si>
    <t>19 August 2026  9:19 AM</t>
  </si>
  <si>
    <t>19 August 2026  9:12 AM</t>
  </si>
  <si>
    <t>19 August 2026  9:20 AM</t>
  </si>
  <si>
    <t>19 August 2026  9:49 AM</t>
  </si>
  <si>
    <t>28 mins 26 secs</t>
  </si>
  <si>
    <t>19 August 2026  9:35 AM</t>
  </si>
  <si>
    <t>19 August 2026  10:01 AM</t>
  </si>
  <si>
    <t>25 mins 20 secs</t>
  </si>
  <si>
    <t>19 August 2026  9:58 AM</t>
  </si>
  <si>
    <t>9 mins 22 secs</t>
  </si>
  <si>
    <t>19 August 2026  10:04 AM</t>
  </si>
  <si>
    <t>19 August 2026  10:33 AM</t>
  </si>
  <si>
    <t>19 August 2026  10:05 AM</t>
  </si>
  <si>
    <t>19 August 2026  10:11 AM</t>
  </si>
  <si>
    <t>5 mins 57 secs</t>
  </si>
  <si>
    <t>19 August 2026  10:16 AM</t>
  </si>
  <si>
    <t>19 August 2026  10:09 AM</t>
  </si>
  <si>
    <t>19 August 2026  10:19 AM</t>
  </si>
  <si>
    <t>10 mins 40 secs</t>
  </si>
  <si>
    <t>19 August 2026  10:10 AM</t>
  </si>
  <si>
    <t>19 August 2026  10:22 AM</t>
  </si>
  <si>
    <t>12 mins 37 secs</t>
  </si>
  <si>
    <t>19 August 2026  10:17 AM</t>
  </si>
  <si>
    <t>19 August 2026  10:28 AM</t>
  </si>
  <si>
    <t>19 August 2026  10:25 AM</t>
  </si>
  <si>
    <t>19 August 2026  10:32 AM</t>
  </si>
  <si>
    <t>6 mins 49 secs</t>
  </si>
  <si>
    <t>19 August 2026  10:35 AM</t>
  </si>
  <si>
    <t>19 August 2026  10:47 AM</t>
  </si>
  <si>
    <t>12 mins 13 secs</t>
  </si>
  <si>
    <t>19 August 2026  11:39 AM</t>
  </si>
  <si>
    <t>19 August 2026  11:50 AM</t>
  </si>
  <si>
    <t>Overall average</t>
  </si>
  <si>
    <t>0.97</t>
  </si>
  <si>
    <t>0.86</t>
  </si>
  <si>
    <t>0.96</t>
  </si>
  <si>
    <t>0.98</t>
  </si>
  <si>
    <t>0.81</t>
  </si>
  <si>
    <t>0.80</t>
  </si>
  <si>
    <t>0.79</t>
  </si>
  <si>
    <t>0.95</t>
  </si>
  <si>
    <t>0.92</t>
  </si>
  <si>
    <t>0.75</t>
  </si>
  <si>
    <t>0.88</t>
  </si>
  <si>
    <t>0.91</t>
  </si>
  <si>
    <t>0.82</t>
  </si>
  <si>
    <t>0.90</t>
  </si>
  <si>
    <t>Grade/50.00</t>
  </si>
  <si>
    <t>Q. 1 /10.00</t>
  </si>
  <si>
    <t>Q. 2 /10.00</t>
  </si>
  <si>
    <t>Q. 3 /10.00</t>
  </si>
  <si>
    <t>Q. 4 /10.00</t>
  </si>
  <si>
    <t>Q. 5 /10.00</t>
  </si>
  <si>
    <t>8 August 2026  7:35 PM</t>
  </si>
  <si>
    <t>8 August 2026  7:59 PM</t>
  </si>
  <si>
    <t>23 mins 40 secs</t>
  </si>
  <si>
    <t>41.00</t>
  </si>
  <si>
    <t>6.00</t>
  </si>
  <si>
    <t>8 August 2026  10:22 PM</t>
  </si>
  <si>
    <t>42 mins 58 secs</t>
  </si>
  <si>
    <t>35.00</t>
  </si>
  <si>
    <t>8 August 2026  11:04 PM</t>
  </si>
  <si>
    <t>8 August 2026  11:32 PM</t>
  </si>
  <si>
    <t>42.00</t>
  </si>
  <si>
    <t>9 August 2026  11:01 AM</t>
  </si>
  <si>
    <t>27 mins 39 secs</t>
  </si>
  <si>
    <t>36.00</t>
  </si>
  <si>
    <t>3.00</t>
  </si>
  <si>
    <t>9 August 2026  11:07 AM</t>
  </si>
  <si>
    <t>9 August 2026  11:50 AM</t>
  </si>
  <si>
    <t>43 mins 28 secs</t>
  </si>
  <si>
    <t>38.00</t>
  </si>
  <si>
    <t>9 August 2026  11:48 AM</t>
  </si>
  <si>
    <t>15 mins 40 secs</t>
  </si>
  <si>
    <t>9 August 2026  12:38 PM</t>
  </si>
  <si>
    <t>32 mins 52 secs</t>
  </si>
  <si>
    <t>46.00</t>
  </si>
  <si>
    <t>9 August 2026  1:35 PM</t>
  </si>
  <si>
    <t>9 August 2026  2:00 PM</t>
  </si>
  <si>
    <t>9 August 2026  2:11 PM</t>
  </si>
  <si>
    <t>9 August 2026  2:36 PM</t>
  </si>
  <si>
    <t>9 August 2026  2:19 PM</t>
  </si>
  <si>
    <t>9 August 2026  3:03 PM</t>
  </si>
  <si>
    <t>44 mins 25 secs</t>
  </si>
  <si>
    <t>9 August 2026  4:40 PM</t>
  </si>
  <si>
    <t>9 August 2026  5:12 PM</t>
  </si>
  <si>
    <t>31 mins 38 secs</t>
  </si>
  <si>
    <t>44.00</t>
  </si>
  <si>
    <t>9 August 2026  5:53 PM</t>
  </si>
  <si>
    <t>9 August 2026  6:49 PM</t>
  </si>
  <si>
    <t>55 mins 55 secs</t>
  </si>
  <si>
    <t>9 August 2026  7:14 PM</t>
  </si>
  <si>
    <t>41 mins 26 secs</t>
  </si>
  <si>
    <t>45.00</t>
  </si>
  <si>
    <t>9 August 2026  7:13 PM</t>
  </si>
  <si>
    <t>23 mins 44 secs</t>
  </si>
  <si>
    <t>9 August 2026  6:52 PM</t>
  </si>
  <si>
    <t>9 August 2026  7:15 PM</t>
  </si>
  <si>
    <t>23 mins 21 secs</t>
  </si>
  <si>
    <t>43.00</t>
  </si>
  <si>
    <t>9 August 2026  7:29 PM</t>
  </si>
  <si>
    <t>9 August 2026  7:50 PM</t>
  </si>
  <si>
    <t>21 mins 32 secs</t>
  </si>
  <si>
    <t>9 August 2026  7:33 PM</t>
  </si>
  <si>
    <t>20 mins 50 secs</t>
  </si>
  <si>
    <t>9 August 2026  8:34 PM</t>
  </si>
  <si>
    <t>31 mins 9 secs</t>
  </si>
  <si>
    <t>9 August 2026  8:57 PM</t>
  </si>
  <si>
    <t>13 mins 17 secs</t>
  </si>
  <si>
    <t>17 mins 7 secs</t>
  </si>
  <si>
    <t>30 mins 41 secs</t>
  </si>
  <si>
    <t>47.00</t>
  </si>
  <si>
    <t>9 August 2026  8:55 PM</t>
  </si>
  <si>
    <t>9 August 2026  9:32 PM</t>
  </si>
  <si>
    <t>37 mins 16 secs</t>
  </si>
  <si>
    <t>9 August 2026  9:30 PM</t>
  </si>
  <si>
    <t>24 mins 53 secs</t>
  </si>
  <si>
    <t>48.00</t>
  </si>
  <si>
    <t>9 August 2026  9:26 PM</t>
  </si>
  <si>
    <t>9 August 2026  9:11 PM</t>
  </si>
  <si>
    <t>9 August 2026  10:11 PM</t>
  </si>
  <si>
    <t>1 hour</t>
  </si>
  <si>
    <t>32.00</t>
  </si>
  <si>
    <t>9 August 2026  9:28 PM</t>
  </si>
  <si>
    <t>30.00</t>
  </si>
  <si>
    <t>9 August 2026  10:02 PM</t>
  </si>
  <si>
    <t>9 August 2026  10:40 PM</t>
  </si>
  <si>
    <t>37 mins 13 secs</t>
  </si>
  <si>
    <t>28.00</t>
  </si>
  <si>
    <t>9 August 2026  10:03 PM</t>
  </si>
  <si>
    <t>9 August 2026  10:21 PM</t>
  </si>
  <si>
    <t>18 mins 22 secs</t>
  </si>
  <si>
    <t>9 August 2026  10:08 PM</t>
  </si>
  <si>
    <t>9 August 2026  10:26 PM</t>
  </si>
  <si>
    <t>17 mins 55 secs</t>
  </si>
  <si>
    <t>9 August 2026  10:09 PM</t>
  </si>
  <si>
    <t>9 August 2026  10:30 PM</t>
  </si>
  <si>
    <t>21 mins 12 secs</t>
  </si>
  <si>
    <t>9 August 2026  10:12 PM</t>
  </si>
  <si>
    <t>9 August 2026  10:31 PM</t>
  </si>
  <si>
    <t>19 mins 8 secs</t>
  </si>
  <si>
    <t>9 August 2026  10:25 PM</t>
  </si>
  <si>
    <t>9 August 2026  10:49 PM</t>
  </si>
  <si>
    <t>24 mins 15 secs</t>
  </si>
  <si>
    <t>9 August 2026  10:33 PM</t>
  </si>
  <si>
    <t>9 August 2026  10:53 PM</t>
  </si>
  <si>
    <t>19 mins 50 secs</t>
  </si>
  <si>
    <t>37.00</t>
  </si>
  <si>
    <t>9 August 2026  10:56 PM</t>
  </si>
  <si>
    <t>9 August 2026  11:10 PM</t>
  </si>
  <si>
    <t>9 August 2026  11:08 PM</t>
  </si>
  <si>
    <t>9 August 2026  11:44 PM</t>
  </si>
  <si>
    <t>36 mins 25 secs</t>
  </si>
  <si>
    <t>40.00</t>
  </si>
  <si>
    <t>9 August 2026  11:32 PM</t>
  </si>
  <si>
    <t>9 August 2026  11:49 PM</t>
  </si>
  <si>
    <t>10 August 2026  6:28 PM</t>
  </si>
  <si>
    <t>10 August 2026  6:52 PM</t>
  </si>
  <si>
    <t>24 mins 28 secs</t>
  </si>
  <si>
    <t>10 August 2026  7:32 PM</t>
  </si>
  <si>
    <t>10 August 2026  8:13 PM</t>
  </si>
  <si>
    <t>41 mins 44 secs</t>
  </si>
  <si>
    <t>10 August 2026  7:33 PM</t>
  </si>
  <si>
    <t>32 mins 8 secs</t>
  </si>
  <si>
    <t>34.00</t>
  </si>
  <si>
    <t>10 August 2026  8:18 PM</t>
  </si>
  <si>
    <t>30 mins 7 secs</t>
  </si>
  <si>
    <t>19 mins 17 secs</t>
  </si>
  <si>
    <t>39 mins 5 secs</t>
  </si>
  <si>
    <t>10 August 2026  8:24 PM</t>
  </si>
  <si>
    <t>10 August 2026  8:58 PM</t>
  </si>
  <si>
    <t>34 mins 44 secs</t>
  </si>
  <si>
    <t>10 August 2026  8:35 PM</t>
  </si>
  <si>
    <t>10 August 2026  9:02 PM</t>
  </si>
  <si>
    <t>26 mins 17 secs</t>
  </si>
  <si>
    <t>31.00</t>
  </si>
  <si>
    <t>10 August 2026  9:40 PM</t>
  </si>
  <si>
    <t>10 August 2026  8:50 PM</t>
  </si>
  <si>
    <t>26 mins 59 secs</t>
  </si>
  <si>
    <t>10 August 2026  9:50 PM</t>
  </si>
  <si>
    <t>56 mins 16 secs</t>
  </si>
  <si>
    <t>10 August 2026  9:13 PM</t>
  </si>
  <si>
    <t>15 mins 42 secs</t>
  </si>
  <si>
    <t>10 August 2026  9:05 PM</t>
  </si>
  <si>
    <t>54 mins 40 secs</t>
  </si>
  <si>
    <t>26.00</t>
  </si>
  <si>
    <t>10 August 2026  9:07 PM</t>
  </si>
  <si>
    <t>10 August 2026  10:07 PM</t>
  </si>
  <si>
    <t>10 August 2026  9:12 PM</t>
  </si>
  <si>
    <t>32 mins 23 secs</t>
  </si>
  <si>
    <t>10 August 2026  9:41 PM</t>
  </si>
  <si>
    <t>18 mins 25 secs</t>
  </si>
  <si>
    <t>10 August 2026  10:32 PM</t>
  </si>
  <si>
    <t>27.00</t>
  </si>
  <si>
    <t>20 mins 25 secs</t>
  </si>
  <si>
    <t>10 August 2026  10:11 PM</t>
  </si>
  <si>
    <t>20 mins 42 secs</t>
  </si>
  <si>
    <t>10 August 2026  10:38 PM</t>
  </si>
  <si>
    <t>30 mins 32 secs</t>
  </si>
  <si>
    <t>10 August 2026  10:27 PM</t>
  </si>
  <si>
    <t>19 mins 7 secs</t>
  </si>
  <si>
    <t>10 August 2026  10:43 PM</t>
  </si>
  <si>
    <t>10 August 2026  10:17 PM</t>
  </si>
  <si>
    <t>10 August 2026  10:52 PM</t>
  </si>
  <si>
    <t>34 mins 12 secs</t>
  </si>
  <si>
    <t>10 August 2026  10:53 PM</t>
  </si>
  <si>
    <t>33 mins 51 secs</t>
  </si>
  <si>
    <t>10 August 2026  10:50 PM</t>
  </si>
  <si>
    <t>17 mins 19 secs</t>
  </si>
  <si>
    <t>10 August 2026  10:42 PM</t>
  </si>
  <si>
    <t>9 mins 54 secs</t>
  </si>
  <si>
    <t>10 August 2026  11:09 PM</t>
  </si>
  <si>
    <t>10 August 2026  11:24 PM</t>
  </si>
  <si>
    <t>30 mins 24 secs</t>
  </si>
  <si>
    <t>10 August 2026  11:06 PM</t>
  </si>
  <si>
    <t>10 August 2026  11:50 PM</t>
  </si>
  <si>
    <t>43 mins 33 secs</t>
  </si>
  <si>
    <t>10 August 2026  11:34 PM</t>
  </si>
  <si>
    <t>24 mins 44 secs</t>
  </si>
  <si>
    <t>10 August 2026  11:53 PM</t>
  </si>
  <si>
    <t>39 mins 7 secs</t>
  </si>
  <si>
    <t>29.00</t>
  </si>
  <si>
    <t>10 August 2026  11:27 PM</t>
  </si>
  <si>
    <t>23 mins 38 secs</t>
  </si>
  <si>
    <t>10 August 2026  11:37 PM</t>
  </si>
  <si>
    <t>11 August 2026  12:02 AM</t>
  </si>
  <si>
    <t>24 mins 57 secs</t>
  </si>
  <si>
    <t>11 August 2026  4:51 AM</t>
  </si>
  <si>
    <t>11 August 2026  5:18 AM</t>
  </si>
  <si>
    <t>11 August 2026  6:33 AM</t>
  </si>
  <si>
    <t>11 August 2026  6:35 AM</t>
  </si>
  <si>
    <t>11 August 2026  7:15 AM</t>
  </si>
  <si>
    <t>40 mins 49 secs</t>
  </si>
  <si>
    <t>11 August 2026  6:46 AM</t>
  </si>
  <si>
    <t>11 August 2026  7:46 AM</t>
  </si>
  <si>
    <t>11 August 2026  8:06 AM</t>
  </si>
  <si>
    <t>11 August 2026  8:36 AM</t>
  </si>
  <si>
    <t>29 mins 42 secs</t>
  </si>
  <si>
    <t>33.00</t>
  </si>
  <si>
    <t>11 August 2026  8:45 AM</t>
  </si>
  <si>
    <t>26 mins 1 sec</t>
  </si>
  <si>
    <t>11 August 2026  9:21 AM</t>
  </si>
  <si>
    <t>11 August 2026  9:49 AM</t>
  </si>
  <si>
    <t>27 mins 40 secs</t>
  </si>
  <si>
    <t>11 August 2026  9:25 AM</t>
  </si>
  <si>
    <t>11 August 2026  9:57 AM</t>
  </si>
  <si>
    <t>11 August 2026  9:53 AM</t>
  </si>
  <si>
    <t>11 August 2026  10:21 AM</t>
  </si>
  <si>
    <t>28 mins 5 secs</t>
  </si>
  <si>
    <t>11 August 2026  9:59 AM</t>
  </si>
  <si>
    <t>11 August 2026  10:30 AM</t>
  </si>
  <si>
    <t>30 mins 40 secs</t>
  </si>
  <si>
    <t>11 August 2026  10:06 AM</t>
  </si>
  <si>
    <t>11 August 2026  11:06 AM</t>
  </si>
  <si>
    <t>11 August 2026  10:11 AM</t>
  </si>
  <si>
    <t>11 August 2026  11:11 AM</t>
  </si>
  <si>
    <t>11 August 2026  10:37 AM</t>
  </si>
  <si>
    <t>11 August 2026  10:53 AM</t>
  </si>
  <si>
    <t>11 August 2026  11:56 AM</t>
  </si>
  <si>
    <t>50 mins 7 secs</t>
  </si>
  <si>
    <t>11 August 2026  11:08 AM</t>
  </si>
  <si>
    <t>11 August 2026  11:28 AM</t>
  </si>
  <si>
    <t>11 August 2026  11:44 AM</t>
  </si>
  <si>
    <t>15 mins 38 secs</t>
  </si>
  <si>
    <t>39.00</t>
  </si>
  <si>
    <t>11 August 2026  11:30 AM</t>
  </si>
  <si>
    <t>11 August 2026  11:39 AM</t>
  </si>
  <si>
    <t>11 August 2026  11:50 AM</t>
  </si>
  <si>
    <t>11 August 2026  11:55 AM</t>
  </si>
  <si>
    <t>11 August 2026  12:24 PM</t>
  </si>
  <si>
    <t>11 August 2026  12:36 PM</t>
  </si>
  <si>
    <t>11 August 2026  12:53 PM</t>
  </si>
  <si>
    <t>16 mins 21 secs</t>
  </si>
  <si>
    <t>11 August 2026  12:57 PM</t>
  </si>
  <si>
    <t>11 August 2026  1:08 PM</t>
  </si>
  <si>
    <t>10 mins 22 secs</t>
  </si>
  <si>
    <t>11 August 2026  2:19 PM</t>
  </si>
  <si>
    <t>16 mins 58 secs</t>
  </si>
  <si>
    <t>11 August 2026  2:03 PM</t>
  </si>
  <si>
    <t>11 August 2026  3:03 PM</t>
  </si>
  <si>
    <t>11 August 2026  2:27 PM</t>
  </si>
  <si>
    <t>28 mins 45 secs</t>
  </si>
  <si>
    <t>11 August 2026  3:29 PM</t>
  </si>
  <si>
    <t>11 August 2026  6:25 PM</t>
  </si>
  <si>
    <t>11 August 2026  6:46 PM</t>
  </si>
  <si>
    <t>21 mins</t>
  </si>
  <si>
    <t>11 August 2026  6:44 PM</t>
  </si>
  <si>
    <t>11 August 2026  6:55 PM</t>
  </si>
  <si>
    <t>11 mins 9 secs</t>
  </si>
  <si>
    <t>11 August 2026  6:50 PM</t>
  </si>
  <si>
    <t>11 August 2026  7:14 PM</t>
  </si>
  <si>
    <t>23 mins 30 secs</t>
  </si>
  <si>
    <t>49.00</t>
  </si>
  <si>
    <t>11 August 2026  6:51 PM</t>
  </si>
  <si>
    <t>11 August 2026  7:10 PM</t>
  </si>
  <si>
    <t>19 mins</t>
  </si>
  <si>
    <t>11 August 2026  7:36 PM</t>
  </si>
  <si>
    <t>11 August 2026  8:06 PM</t>
  </si>
  <si>
    <t>29 mins 59 secs</t>
  </si>
  <si>
    <t>11 August 2026  7:41 PM</t>
  </si>
  <si>
    <t>39 mins 51 secs</t>
  </si>
  <si>
    <t>11 August 2026  7:44 PM</t>
  </si>
  <si>
    <t>14 mins 31 secs</t>
  </si>
  <si>
    <t>11 August 2026  8:10 PM</t>
  </si>
  <si>
    <t>11 August 2026  8:45 PM</t>
  </si>
  <si>
    <t>35 mins 2 secs</t>
  </si>
  <si>
    <t>11 August 2026  9:15 PM</t>
  </si>
  <si>
    <t>24 mins 52 secs</t>
  </si>
  <si>
    <t>11 August 2026  9:34 PM</t>
  </si>
  <si>
    <t>43 mins 3 secs</t>
  </si>
  <si>
    <t>11 August 2026  8:55 PM</t>
  </si>
  <si>
    <t>11 August 2026  9:24 PM</t>
  </si>
  <si>
    <t>11 August 2026  9:01 PM</t>
  </si>
  <si>
    <t>11 August 2026  9:56 PM</t>
  </si>
  <si>
    <t>54 mins 56 secs</t>
  </si>
  <si>
    <t>11 August 2026  9:31 PM</t>
  </si>
  <si>
    <t>30 mins 14 secs</t>
  </si>
  <si>
    <t>50.00</t>
  </si>
  <si>
    <t>11 August 2026  9:07 PM</t>
  </si>
  <si>
    <t>11 August 2026  9:19 PM</t>
  </si>
  <si>
    <t>11 August 2026  9:28 PM</t>
  </si>
  <si>
    <t>9 mins 25 secs</t>
  </si>
  <si>
    <t>11 August 2026  10:25 PM</t>
  </si>
  <si>
    <t>59 mins 45 secs</t>
  </si>
  <si>
    <t>11 August 2026  9:54 PM</t>
  </si>
  <si>
    <t>11 August 2026  10:22 PM</t>
  </si>
  <si>
    <t>27 mins 38 secs</t>
  </si>
  <si>
    <t>11 August 2026  10:20 PM</t>
  </si>
  <si>
    <t>22 mins 4 secs</t>
  </si>
  <si>
    <t>11 August 2026  10:31 PM</t>
  </si>
  <si>
    <t>11 August 2026  11:04 PM</t>
  </si>
  <si>
    <t>33 mins 17 secs</t>
  </si>
  <si>
    <t>11 August 2026  11:10 PM</t>
  </si>
  <si>
    <t>11 August 2026  11:57 PM</t>
  </si>
  <si>
    <t>47 mins</t>
  </si>
  <si>
    <t>11 August 2026  11:11 PM</t>
  </si>
  <si>
    <t>11 August 2026  11:25 PM</t>
  </si>
  <si>
    <t>12 August 2026  5:54 AM</t>
  </si>
  <si>
    <t>12 August 2026  6:21 AM</t>
  </si>
  <si>
    <t>27 mins 33 secs</t>
  </si>
  <si>
    <t>12 August 2026  6:07 AM</t>
  </si>
  <si>
    <t>12 August 2026  6:22 AM</t>
  </si>
  <si>
    <t>12 August 2026  9:58 AM</t>
  </si>
  <si>
    <t>12 August 2026  11:55 AM</t>
  </si>
  <si>
    <t>37 mins 28 secs</t>
  </si>
  <si>
    <t>12 August 2026  12:36 PM</t>
  </si>
  <si>
    <t>12 August 2026  1:24 PM</t>
  </si>
  <si>
    <t>47 mins 45 secs</t>
  </si>
  <si>
    <t>12 August 2026  1:13 PM</t>
  </si>
  <si>
    <t>49 mins 26 secs</t>
  </si>
  <si>
    <t>12 August 2026  2:39 PM</t>
  </si>
  <si>
    <t>33 mins 26 secs</t>
  </si>
  <si>
    <t>48 mins 41 secs</t>
  </si>
  <si>
    <t>12 August 2026  2:42 PM</t>
  </si>
  <si>
    <t>34 mins 41 secs</t>
  </si>
  <si>
    <t>38 mins 14 secs</t>
  </si>
  <si>
    <t>12 August 2026  2:49 PM</t>
  </si>
  <si>
    <t>39 mins 21 secs</t>
  </si>
  <si>
    <t>12 August 2026  2:36 PM</t>
  </si>
  <si>
    <t>25 mins 48 secs</t>
  </si>
  <si>
    <t>12 August 2026  2:11 PM</t>
  </si>
  <si>
    <t>12 August 2026  2:34 PM</t>
  </si>
  <si>
    <t>22 mins 58 secs</t>
  </si>
  <si>
    <t>12 August 2026  2:43 PM</t>
  </si>
  <si>
    <t>31 mins 52 secs</t>
  </si>
  <si>
    <t>12 August 2026  2:45 PM</t>
  </si>
  <si>
    <t>33 mins 52 secs</t>
  </si>
  <si>
    <t>33 mins 28 secs</t>
  </si>
  <si>
    <t>38 mins 4 secs</t>
  </si>
  <si>
    <t>12 August 2026  2:15 PM</t>
  </si>
  <si>
    <t>32 mins 27 secs</t>
  </si>
  <si>
    <t>12 August 2026  3:16 PM</t>
  </si>
  <si>
    <t>29 mins 31 secs</t>
  </si>
  <si>
    <t>12 August 2026  2:17 PM</t>
  </si>
  <si>
    <t>12 August 2026  3:09 PM</t>
  </si>
  <si>
    <t>52 mins 14 secs</t>
  </si>
  <si>
    <t>12 August 2026  2:19 PM</t>
  </si>
  <si>
    <t>45 mins 16 secs</t>
  </si>
  <si>
    <t>12 August 2026  2:24 PM</t>
  </si>
  <si>
    <t>12 August 2026  2:25 PM</t>
  </si>
  <si>
    <t>22 mins 24 secs</t>
  </si>
  <si>
    <t>12 August 2026  2:26 PM</t>
  </si>
  <si>
    <t>13 mins 13 secs</t>
  </si>
  <si>
    <t>12 August 2026  3:11 PM</t>
  </si>
  <si>
    <t>34 mins 4 secs</t>
  </si>
  <si>
    <t>12 August 2026  3:05 PM</t>
  </si>
  <si>
    <t>18 mins 29 secs</t>
  </si>
  <si>
    <t>12 August 2026  2:58 PM</t>
  </si>
  <si>
    <t>12 August 2026  3:55 PM</t>
  </si>
  <si>
    <t>12 August 2026  4:22 PM</t>
  </si>
  <si>
    <t>27 mins 9 secs</t>
  </si>
  <si>
    <t>12 August 2026  3:58 PM</t>
  </si>
  <si>
    <t>12 August 2026  4:51 PM</t>
  </si>
  <si>
    <t>52 mins 36 secs</t>
  </si>
  <si>
    <t>12 August 2026  6:50 PM</t>
  </si>
  <si>
    <t>12 August 2026  6:45 PM</t>
  </si>
  <si>
    <t>15 mins 39 secs</t>
  </si>
  <si>
    <t>12 August 2026  6:42 PM</t>
  </si>
  <si>
    <t>12 August 2026  7:03 PM</t>
  </si>
  <si>
    <t>12 August 2026  7:00 PM</t>
  </si>
  <si>
    <t>12 August 2026  7:34 PM</t>
  </si>
  <si>
    <t>34 mins 5 secs</t>
  </si>
  <si>
    <t>12 August 2026  7:26 PM</t>
  </si>
  <si>
    <t>25 mins 26 secs</t>
  </si>
  <si>
    <t>12 August 2026  7:07 PM</t>
  </si>
  <si>
    <t>12 August 2026  7:42 PM</t>
  </si>
  <si>
    <t>34 mins 47 secs</t>
  </si>
  <si>
    <t>12 August 2026  7:17 PM</t>
  </si>
  <si>
    <t>12 August 2026  7:49 PM</t>
  </si>
  <si>
    <t>32 mins 10 secs</t>
  </si>
  <si>
    <t>12 August 2026  7:39 PM</t>
  </si>
  <si>
    <t>38 mins 49 secs</t>
  </si>
  <si>
    <t>12 August 2026  7:45 PM</t>
  </si>
  <si>
    <t>22 mins 57 secs</t>
  </si>
  <si>
    <t>12 August 2026  8:03 PM</t>
  </si>
  <si>
    <t>12 August 2026  8:51 PM</t>
  </si>
  <si>
    <t>47 mins 55 secs</t>
  </si>
  <si>
    <t>12 August 2026  8:45 PM</t>
  </si>
  <si>
    <t>40 mins 27 secs</t>
  </si>
  <si>
    <t>12 August 2026  8:07 PM</t>
  </si>
  <si>
    <t>12 August 2026  8:35 PM</t>
  </si>
  <si>
    <t>27 mins 55 secs</t>
  </si>
  <si>
    <t>12 August 2026  8:37 PM</t>
  </si>
  <si>
    <t>12 August 2026  8:44 PM</t>
  </si>
  <si>
    <t>28 mins 4 secs</t>
  </si>
  <si>
    <t>12 August 2026  8:28 PM</t>
  </si>
  <si>
    <t>12 August 2026  8:39 PM</t>
  </si>
  <si>
    <t>12 August 2026  8:47 PM</t>
  </si>
  <si>
    <t>12 August 2026  9:22 PM</t>
  </si>
  <si>
    <t>35 mins 33 secs</t>
  </si>
  <si>
    <t>12 August 2026  8:49 PM</t>
  </si>
  <si>
    <t>12 August 2026  9:08 PM</t>
  </si>
  <si>
    <t>19 mins 41 secs</t>
  </si>
  <si>
    <t>12 August 2026  9:12 PM</t>
  </si>
  <si>
    <t>21 mins 38 secs</t>
  </si>
  <si>
    <t>12 August 2026  8:55 PM</t>
  </si>
  <si>
    <t>12 August 2026  9:07 PM</t>
  </si>
  <si>
    <t>12 August 2026  9:34 PM</t>
  </si>
  <si>
    <t>27 mins 3 secs</t>
  </si>
  <si>
    <t>12 August 2026  9:10 PM</t>
  </si>
  <si>
    <t>12 August 2026  9:52 PM</t>
  </si>
  <si>
    <t>42 mins 9 secs</t>
  </si>
  <si>
    <t>22 mins 36 secs</t>
  </si>
  <si>
    <t>12 August 2026  9:50 PM</t>
  </si>
  <si>
    <t>24 mins 9 secs</t>
  </si>
  <si>
    <t>12 August 2026  9:37 PM</t>
  </si>
  <si>
    <t>12 August 2026  9:57 PM</t>
  </si>
  <si>
    <t>12 August 2026  9:39 PM</t>
  </si>
  <si>
    <t>12 August 2026  10:14 PM</t>
  </si>
  <si>
    <t>12 August 2026  9:42 PM</t>
  </si>
  <si>
    <t>12 August 2026  10:11 PM</t>
  </si>
  <si>
    <t>28 mins 46 secs</t>
  </si>
  <si>
    <t>12 August 2026  9:59 PM</t>
  </si>
  <si>
    <t>12 August 2026  10:35 PM</t>
  </si>
  <si>
    <t>36 mins 13 secs</t>
  </si>
  <si>
    <t>12 August 2026  10:08 PM</t>
  </si>
  <si>
    <t>12 August 2026  10:40 PM</t>
  </si>
  <si>
    <t>31 mins 47 secs</t>
  </si>
  <si>
    <t>12 August 2026  10:10 PM</t>
  </si>
  <si>
    <t>11 mins 59 secs</t>
  </si>
  <si>
    <t>12 August 2026  10:18 PM</t>
  </si>
  <si>
    <t>12 August 2026  10:36 PM</t>
  </si>
  <si>
    <t>18 mins 49 secs</t>
  </si>
  <si>
    <t>12 August 2026  10:39 PM</t>
  </si>
  <si>
    <t>12 August 2026  10:41 PM</t>
  </si>
  <si>
    <t>12 August 2026  11:00 PM</t>
  </si>
  <si>
    <t>12 August 2026  10:50 PM</t>
  </si>
  <si>
    <t>12 August 2026  11:18 PM</t>
  </si>
  <si>
    <t>28 mins 9 secs</t>
  </si>
  <si>
    <t>12 August 2026  11:23 PM</t>
  </si>
  <si>
    <t>22 mins 20 secs</t>
  </si>
  <si>
    <t>13 August 2026  12:57 AM</t>
  </si>
  <si>
    <t>13 August 2026  1:36 AM</t>
  </si>
  <si>
    <t>39 mins 10 secs</t>
  </si>
  <si>
    <t>13 August 2026  6:05 AM</t>
  </si>
  <si>
    <t>13 August 2026  6:34 AM</t>
  </si>
  <si>
    <t>29 mins 12 secs</t>
  </si>
  <si>
    <t>13 August 2026  7:07 AM</t>
  </si>
  <si>
    <t>13 August 2026  7:45 AM</t>
  </si>
  <si>
    <t>38 mins 10 secs</t>
  </si>
  <si>
    <t>13 August 2026  9:58 AM</t>
  </si>
  <si>
    <t>13 August 2026  10:39 AM</t>
  </si>
  <si>
    <t>41 mins 19 secs</t>
  </si>
  <si>
    <t>13 August 2026  10:20 AM</t>
  </si>
  <si>
    <t>13 August 2026  10:50 AM</t>
  </si>
  <si>
    <t>29 mins 23 secs</t>
  </si>
  <si>
    <t>13 August 2026  12:24 PM</t>
  </si>
  <si>
    <t>13 August 2026  12:48 PM</t>
  </si>
  <si>
    <t>23 mins 15 secs</t>
  </si>
  <si>
    <t>13 August 2026  2:16 PM</t>
  </si>
  <si>
    <t>13 August 2026  2:36 PM</t>
  </si>
  <si>
    <t>20 mins 5 secs</t>
  </si>
  <si>
    <t>13 August 2026  2:53 PM</t>
  </si>
  <si>
    <t>34 mins 35 secs</t>
  </si>
  <si>
    <t>13 August 2026  3:28 PM</t>
  </si>
  <si>
    <t>40 mins 53 secs</t>
  </si>
  <si>
    <t>13 August 2026  2:49 PM</t>
  </si>
  <si>
    <t>13 August 2026  3:22 PM</t>
  </si>
  <si>
    <t>13 August 2026  3:12 PM</t>
  </si>
  <si>
    <t>13 August 2026  4:00 PM</t>
  </si>
  <si>
    <t>48 mins 9 secs</t>
  </si>
  <si>
    <t>13 August 2026  4:02 PM</t>
  </si>
  <si>
    <t>40 mins</t>
  </si>
  <si>
    <t>13 August 2026  6:25 PM</t>
  </si>
  <si>
    <t>29 mins 49 secs</t>
  </si>
  <si>
    <t>13 August 2026  7:03 PM</t>
  </si>
  <si>
    <t>13 August 2026  7:36 PM</t>
  </si>
  <si>
    <t>32 mins 34 secs</t>
  </si>
  <si>
    <t>43 mins 36 secs</t>
  </si>
  <si>
    <t>13 August 2026  8:22 PM</t>
  </si>
  <si>
    <t>13 August 2026  7:58 PM</t>
  </si>
  <si>
    <t>13 August 2026  8:58 PM</t>
  </si>
  <si>
    <t>59 mins 20 secs</t>
  </si>
  <si>
    <t>13 August 2026  8:36 PM</t>
  </si>
  <si>
    <t>30 mins 18 secs</t>
  </si>
  <si>
    <t>13 August 2026  8:37 PM</t>
  </si>
  <si>
    <t>30 mins 16 secs</t>
  </si>
  <si>
    <t>13 August 2026  8:26 PM</t>
  </si>
  <si>
    <t>35 mins 48 secs</t>
  </si>
  <si>
    <t>13 August 2026  8:59 PM</t>
  </si>
  <si>
    <t>13 August 2026  9:15 PM</t>
  </si>
  <si>
    <t>16 mins 20 secs</t>
  </si>
  <si>
    <t>13 August 2026  9:14 PM</t>
  </si>
  <si>
    <t>13 August 2026  9:40 PM</t>
  </si>
  <si>
    <t>26 mins 25 secs</t>
  </si>
  <si>
    <t>13 August 2026  9:29 PM</t>
  </si>
  <si>
    <t>13 August 2026  10:11 PM</t>
  </si>
  <si>
    <t>41 mins 37 secs</t>
  </si>
  <si>
    <t>13 August 2026  10:18 PM</t>
  </si>
  <si>
    <t>13 August 2026  10:32 PM</t>
  </si>
  <si>
    <t>14 mins 2 secs</t>
  </si>
  <si>
    <t>13 August 2026  10:19 PM</t>
  </si>
  <si>
    <t>13 August 2026  10:54 PM</t>
  </si>
  <si>
    <t>34 mins 42 secs</t>
  </si>
  <si>
    <t>13 August 2026  10:45 PM</t>
  </si>
  <si>
    <t>13 August 2026  11:10 PM</t>
  </si>
  <si>
    <t>24 mins 48 secs</t>
  </si>
  <si>
    <t>13 August 2026  10:50 PM</t>
  </si>
  <si>
    <t>13 August 2026  11:34 PM</t>
  </si>
  <si>
    <t>44 mins 29 secs</t>
  </si>
  <si>
    <t>13 August 2026  11:13 PM</t>
  </si>
  <si>
    <t>13 August 2026  11:39 PM</t>
  </si>
  <si>
    <t>26 mins 19 secs</t>
  </si>
  <si>
    <t>13 August 2026  11:14 PM</t>
  </si>
  <si>
    <t>13 August 2026  11:32 PM</t>
  </si>
  <si>
    <t>18 mins 26 secs</t>
  </si>
  <si>
    <t>14 August 2026  11:51 AM</t>
  </si>
  <si>
    <t>14 August 2026  12:01 PM</t>
  </si>
  <si>
    <t>9 mins 40 secs</t>
  </si>
  <si>
    <t>14 August 2026  2:41 PM</t>
  </si>
  <si>
    <t>14 August 2026  2:48 PM</t>
  </si>
  <si>
    <t>6 mins 58 secs</t>
  </si>
  <si>
    <t>14 August 2026  6:27 PM</t>
  </si>
  <si>
    <t>14 August 2026  6:52 PM</t>
  </si>
  <si>
    <t>24 mins 36 secs</t>
  </si>
  <si>
    <t>14 August 2026  7:03 PM</t>
  </si>
  <si>
    <t>14 August 2026  7:29 PM</t>
  </si>
  <si>
    <t>26 mins 3 secs</t>
  </si>
  <si>
    <t>16 mins 16 secs</t>
  </si>
  <si>
    <t>14 August 2026  7:35 PM</t>
  </si>
  <si>
    <t>31 mins 32 secs</t>
  </si>
  <si>
    <t>14 August 2026  7:42 PM</t>
  </si>
  <si>
    <t>14 August 2026  8:07 PM</t>
  </si>
  <si>
    <t>24 mins 40 secs</t>
  </si>
  <si>
    <t>14 August 2026  7:44 PM</t>
  </si>
  <si>
    <t>14 August 2026  8:36 PM</t>
  </si>
  <si>
    <t>51 mins 59 secs</t>
  </si>
  <si>
    <t>14 August 2026  8:20 PM</t>
  </si>
  <si>
    <t>28 mins 57 secs</t>
  </si>
  <si>
    <t>14 August 2026  8:22 PM</t>
  </si>
  <si>
    <t>30 mins 12 secs</t>
  </si>
  <si>
    <t>27 mins 45 secs</t>
  </si>
  <si>
    <t>14 August 2026  7:57 PM</t>
  </si>
  <si>
    <t>14 August 2026  8:57 PM</t>
  </si>
  <si>
    <t>14 August 2026  8:33 PM</t>
  </si>
  <si>
    <t>26 mins 51 secs</t>
  </si>
  <si>
    <t>14 August 2026  8:49 PM</t>
  </si>
  <si>
    <t>32 mins 39 secs</t>
  </si>
  <si>
    <t>14 August 2026  8:24 PM</t>
  </si>
  <si>
    <t>14 August 2026  9:06 PM</t>
  </si>
  <si>
    <t>42 mins 19 secs</t>
  </si>
  <si>
    <t>14 August 2026  9:09 PM</t>
  </si>
  <si>
    <t>36 mins 59 secs</t>
  </si>
  <si>
    <t>33 mins 54 secs</t>
  </si>
  <si>
    <t>14 August 2026  8:55 PM</t>
  </si>
  <si>
    <t>14 August 2026  8:40 PM</t>
  </si>
  <si>
    <t>14 August 2026  8:42 PM</t>
  </si>
  <si>
    <t>14 August 2026  9:17 PM</t>
  </si>
  <si>
    <t>35 mins 9 secs</t>
  </si>
  <si>
    <t>14 August 2026  8:53 PM</t>
  </si>
  <si>
    <t>14 August 2026  9:16 PM</t>
  </si>
  <si>
    <t>14 August 2026  9:34 PM</t>
  </si>
  <si>
    <t>36 mins 49 secs</t>
  </si>
  <si>
    <t>14 August 2026  8:58 PM</t>
  </si>
  <si>
    <t>14 August 2026  9:05 PM</t>
  </si>
  <si>
    <t>14 August 2026  9:28 PM</t>
  </si>
  <si>
    <t>29 mins 5 secs</t>
  </si>
  <si>
    <t>14 August 2026  9:29 PM</t>
  </si>
  <si>
    <t>21 mins 34 secs</t>
  </si>
  <si>
    <t>14 August 2026  9:45 PM</t>
  </si>
  <si>
    <t>28 mins 44 secs</t>
  </si>
  <si>
    <t>14 August 2026  9:19 PM</t>
  </si>
  <si>
    <t>14 August 2026  9:58 PM</t>
  </si>
  <si>
    <t>14 August 2026  9:25 PM</t>
  </si>
  <si>
    <t>30 mins 48 secs</t>
  </si>
  <si>
    <t>30 mins 34 secs</t>
  </si>
  <si>
    <t>14 August 2026  9:30 PM</t>
  </si>
  <si>
    <t>14 August 2026  9:44 PM</t>
  </si>
  <si>
    <t>14 mins 16 secs</t>
  </si>
  <si>
    <t>14 August 2026  9:31 PM</t>
  </si>
  <si>
    <t>14 August 2026  10:06 PM</t>
  </si>
  <si>
    <t>35 mins 6 secs</t>
  </si>
  <si>
    <t>14 August 2026  9:32 PM</t>
  </si>
  <si>
    <t>14 August 2026  10:08 PM</t>
  </si>
  <si>
    <t>36 mins 19 secs</t>
  </si>
  <si>
    <t>14 August 2026  9:35 PM</t>
  </si>
  <si>
    <t>14 August 2026  9:55 PM</t>
  </si>
  <si>
    <t>14 August 2026  9:36 PM</t>
  </si>
  <si>
    <t>14 August 2026  10:05 PM</t>
  </si>
  <si>
    <t>28 mins 43 secs</t>
  </si>
  <si>
    <t>14 August 2026  9:39 PM</t>
  </si>
  <si>
    <t>14 August 2026  10:11 PM</t>
  </si>
  <si>
    <t>31 mins 46 secs</t>
  </si>
  <si>
    <t>14 August 2026  9:40 PM</t>
  </si>
  <si>
    <t>25 mins 37 secs</t>
  </si>
  <si>
    <t>15 mins 26 secs</t>
  </si>
  <si>
    <t>14 August 2026  10:16 PM</t>
  </si>
  <si>
    <t>14 August 2026  9:50 PM</t>
  </si>
  <si>
    <t>39 mins 49 secs</t>
  </si>
  <si>
    <t>14 August 2026  10:38 PM</t>
  </si>
  <si>
    <t>48 mins 5 secs</t>
  </si>
  <si>
    <t>40 mins 25 secs</t>
  </si>
  <si>
    <t>14 August 2026  10:01 PM</t>
  </si>
  <si>
    <t>14 August 2026  10:30 PM</t>
  </si>
  <si>
    <t>29 mins 13 secs</t>
  </si>
  <si>
    <t>14 August 2026  10:10 PM</t>
  </si>
  <si>
    <t>14 August 2026  11:10 PM</t>
  </si>
  <si>
    <t>14 August 2026  10:12 PM</t>
  </si>
  <si>
    <t>17 mins 18 secs</t>
  </si>
  <si>
    <t>14 August 2026  10:13 PM</t>
  </si>
  <si>
    <t>14 August 2026  10:36 PM</t>
  </si>
  <si>
    <t>22 mins 27 secs</t>
  </si>
  <si>
    <t>14 August 2026  10:22 PM</t>
  </si>
  <si>
    <t>14 August 2026  10:47 PM</t>
  </si>
  <si>
    <t>24 mins 32 secs</t>
  </si>
  <si>
    <t>14 August 2026  10:57 PM</t>
  </si>
  <si>
    <t>18 mins 17 secs</t>
  </si>
  <si>
    <t>14 August 2026  10:42 PM</t>
  </si>
  <si>
    <t>14 August 2026  11:09 PM</t>
  </si>
  <si>
    <t>27 mins 16 secs</t>
  </si>
  <si>
    <t>14 August 2026  11:12 PM</t>
  </si>
  <si>
    <t>14 August 2026  11:02 PM</t>
  </si>
  <si>
    <t>20 mins 12 secs</t>
  </si>
  <si>
    <t>14 August 2026  10:43 PM</t>
  </si>
  <si>
    <t>14 August 2026  11:11 PM</t>
  </si>
  <si>
    <t>14 August 2026  11:26 PM</t>
  </si>
  <si>
    <t>14 August 2026  11:42 PM</t>
  </si>
  <si>
    <t>15 August 2026  12:20 AM</t>
  </si>
  <si>
    <t>15 August 2026  1:02 AM</t>
  </si>
  <si>
    <t>15 August 2026  7:27 AM</t>
  </si>
  <si>
    <t>15 August 2026  7:41 AM</t>
  </si>
  <si>
    <t>13 mins 56 secs</t>
  </si>
  <si>
    <t>15 August 2026  7:35 AM</t>
  </si>
  <si>
    <t>15 August 2026  8:19 AM</t>
  </si>
  <si>
    <t>44 mins 9 secs</t>
  </si>
  <si>
    <t>15 August 2026  7:36 AM</t>
  </si>
  <si>
    <t>15 August 2026  8:32 AM</t>
  </si>
  <si>
    <t>56 mins 18 secs</t>
  </si>
  <si>
    <t>15 August 2026  8:20 AM</t>
  </si>
  <si>
    <t>39 mins 32 secs</t>
  </si>
  <si>
    <t>15 August 2026  7:50 AM</t>
  </si>
  <si>
    <t>15 August 2026  8:50 AM</t>
  </si>
  <si>
    <t>15 August 2026  8:39 AM</t>
  </si>
  <si>
    <t>15 August 2026  8:56 AM</t>
  </si>
  <si>
    <t>15 August 2026  9:17 AM</t>
  </si>
  <si>
    <t>15 August 2026  9:34 AM</t>
  </si>
  <si>
    <t>16 mins 53 secs</t>
  </si>
  <si>
    <t>15 August 2026  9:45 AM</t>
  </si>
  <si>
    <t>15 August 2026  10:17 AM</t>
  </si>
  <si>
    <t>15 August 2026  10:13 AM</t>
  </si>
  <si>
    <t>15 August 2026  10:44 AM</t>
  </si>
  <si>
    <t>30 mins 59 secs</t>
  </si>
  <si>
    <t>15 August 2026  10:39 AM</t>
  </si>
  <si>
    <t>25 mins 55 secs</t>
  </si>
  <si>
    <t>15 August 2026  10:29 AM</t>
  </si>
  <si>
    <t>15 August 2026  10:48 AM</t>
  </si>
  <si>
    <t>15 August 2026  10:31 AM</t>
  </si>
  <si>
    <t>15 August 2026  10:59 AM</t>
  </si>
  <si>
    <t>28 mins 3 secs</t>
  </si>
  <si>
    <t>15 August 2026  11:25 AM</t>
  </si>
  <si>
    <t>46 mins 33 secs</t>
  </si>
  <si>
    <t>15 August 2026  10:49 AM</t>
  </si>
  <si>
    <t>15 August 2026  10:58 AM</t>
  </si>
  <si>
    <t>15 August 2026  10:55 AM</t>
  </si>
  <si>
    <t>15 August 2026  11:38 AM</t>
  </si>
  <si>
    <t>43 mins 46 secs</t>
  </si>
  <si>
    <t>15 August 2026  11:44 AM</t>
  </si>
  <si>
    <t>37 mins 58 secs</t>
  </si>
  <si>
    <t>15 August 2026  11:16 AM</t>
  </si>
  <si>
    <t>15 August 2026  11:42 AM</t>
  </si>
  <si>
    <t>26 mins 28 secs</t>
  </si>
  <si>
    <t>15 August 2026  12:22 PM</t>
  </si>
  <si>
    <t>56 mins 42 secs</t>
  </si>
  <si>
    <t>15 August 2026  11:32 AM</t>
  </si>
  <si>
    <t>15 August 2026  11:50 AM</t>
  </si>
  <si>
    <t>15 August 2026  11:58 AM</t>
  </si>
  <si>
    <t>16 mins 7 secs</t>
  </si>
  <si>
    <t>15 August 2026  11:45 AM</t>
  </si>
  <si>
    <t>15 August 2026  12:00 PM</t>
  </si>
  <si>
    <t>14 mins 52 secs</t>
  </si>
  <si>
    <t>15 August 2026  12:35 PM</t>
  </si>
  <si>
    <t>34 mins 28 secs</t>
  </si>
  <si>
    <t>15 August 2026  12:59 PM</t>
  </si>
  <si>
    <t>36 mins 21 secs</t>
  </si>
  <si>
    <t>15 August 2026  12:43 PM</t>
  </si>
  <si>
    <t>15 August 2026  1:17 PM</t>
  </si>
  <si>
    <t>34 mins 13 secs</t>
  </si>
  <si>
    <t>15 August 2026  12:44 PM</t>
  </si>
  <si>
    <t>15 August 2026  1:00 PM</t>
  </si>
  <si>
    <t>16 mins 28 secs</t>
  </si>
  <si>
    <t>15 August 2026  12:52 PM</t>
  </si>
  <si>
    <t>15 August 2026  1:28 PM</t>
  </si>
  <si>
    <t>15 August 2026  1:53 PM</t>
  </si>
  <si>
    <t>25 mins 45 secs</t>
  </si>
  <si>
    <t>15 August 2026  1:41 PM</t>
  </si>
  <si>
    <t>15 August 2026  2:25 PM</t>
  </si>
  <si>
    <t>44 mins 51 secs</t>
  </si>
  <si>
    <t>15 August 2026  1:42 PM</t>
  </si>
  <si>
    <t>15 August 2026  2:10 PM</t>
  </si>
  <si>
    <t>15 August 2026  2:22 PM</t>
  </si>
  <si>
    <t>15 August 2026  2:19 PM</t>
  </si>
  <si>
    <t>15 August 2026  3:05 PM</t>
  </si>
  <si>
    <t>45 mins 42 secs</t>
  </si>
  <si>
    <t>15 August 2026  2:55 PM</t>
  </si>
  <si>
    <t>15 August 2026  3:15 PM</t>
  </si>
  <si>
    <t>20 mins 3 secs</t>
  </si>
  <si>
    <t>15 August 2026  2:57 PM</t>
  </si>
  <si>
    <t>15 August 2026  3:33 PM</t>
  </si>
  <si>
    <t>35 mins 52 secs</t>
  </si>
  <si>
    <t>15 August 2026  3:22 PM</t>
  </si>
  <si>
    <t>27 mins 56 secs</t>
  </si>
  <si>
    <t>15 August 2026  3:35 PM</t>
  </si>
  <si>
    <t>15 August 2026  4:19 PM</t>
  </si>
  <si>
    <t>43 mins 45 secs</t>
  </si>
  <si>
    <t>15 August 2026  3:44 PM</t>
  </si>
  <si>
    <t>15 August 2026  4:15 PM</t>
  </si>
  <si>
    <t>30 mins 30 secs</t>
  </si>
  <si>
    <t>15 August 2026  3:55 PM</t>
  </si>
  <si>
    <t>15 August 2026  4:55 PM</t>
  </si>
  <si>
    <t>15 August 2026  4:10 PM</t>
  </si>
  <si>
    <t>15 August 2026  4:36 PM</t>
  </si>
  <si>
    <t>26 mins 26 secs</t>
  </si>
  <si>
    <t>15 August 2026  4:56 PM</t>
  </si>
  <si>
    <t>15 August 2026  5:56 PM</t>
  </si>
  <si>
    <t>15 August 2026  5:04 PM</t>
  </si>
  <si>
    <t>15 August 2026  5:26 PM</t>
  </si>
  <si>
    <t>22 mins 38 secs</t>
  </si>
  <si>
    <t>15 August 2026  5:55 PM</t>
  </si>
  <si>
    <t>15 August 2026  6:18 PM</t>
  </si>
  <si>
    <t>15 August 2026  6:08 PM</t>
  </si>
  <si>
    <t>15 August 2026  6:23 PM</t>
  </si>
  <si>
    <t>15 mins 31 secs</t>
  </si>
  <si>
    <t>15 August 2026  6:48 PM</t>
  </si>
  <si>
    <t>15 August 2026  6:54 PM</t>
  </si>
  <si>
    <t>15 August 2026  7:14 PM</t>
  </si>
  <si>
    <t>15 August 2026  7:24 PM</t>
  </si>
  <si>
    <t>15 August 2026  8:06 PM</t>
  </si>
  <si>
    <t>15 August 2026  7:25 PM</t>
  </si>
  <si>
    <t>15 August 2026  8:03 PM</t>
  </si>
  <si>
    <t>38 mins 18 secs</t>
  </si>
  <si>
    <t>15 August 2026  7:32 PM</t>
  </si>
  <si>
    <t>15 August 2026  7:58 PM</t>
  </si>
  <si>
    <t>26 mins 34 secs</t>
  </si>
  <si>
    <t>15 August 2026  8:12 PM</t>
  </si>
  <si>
    <t>42 mins 32 secs</t>
  </si>
  <si>
    <t>30 mins 23 secs</t>
  </si>
  <si>
    <t>15 August 2026  9:02 PM</t>
  </si>
  <si>
    <t>15 August 2026  9:15 PM</t>
  </si>
  <si>
    <t>15 August 2026  9:26 PM</t>
  </si>
  <si>
    <t>20 mins 43 secs</t>
  </si>
  <si>
    <t>15 August 2026  9:07 PM</t>
  </si>
  <si>
    <t>15 August 2026  9:30 PM</t>
  </si>
  <si>
    <t>23 mins 46 secs</t>
  </si>
  <si>
    <t>15 August 2026  10:05 PM</t>
  </si>
  <si>
    <t>39 mins 28 secs</t>
  </si>
  <si>
    <t>15 August 2026  9:33 PM</t>
  </si>
  <si>
    <t>15 August 2026  9:41 PM</t>
  </si>
  <si>
    <t>8 mins 2 secs</t>
  </si>
  <si>
    <t>16 August 2026  6:48 AM</t>
  </si>
  <si>
    <t>16 August 2026  7:11 AM</t>
  </si>
  <si>
    <t>16 August 2026  7:44 AM</t>
  </si>
  <si>
    <t>16 August 2026  8:11 AM</t>
  </si>
  <si>
    <t>27 mins 23 secs</t>
  </si>
  <si>
    <t>16 August 2026  8:39 AM</t>
  </si>
  <si>
    <t>16 August 2026  9:14 AM</t>
  </si>
  <si>
    <t>35 mins 11 secs</t>
  </si>
  <si>
    <t>16 August 2026  9:36 AM</t>
  </si>
  <si>
    <t>56 mins 24 secs</t>
  </si>
  <si>
    <t>16 August 2026  9:18 AM</t>
  </si>
  <si>
    <t>26 mins 27 secs</t>
  </si>
  <si>
    <t>16 August 2026  9:10 AM</t>
  </si>
  <si>
    <t>16 August 2026  10:10 AM</t>
  </si>
  <si>
    <t>16 August 2026  9:17 AM</t>
  </si>
  <si>
    <t>16 August 2026  9:46 AM</t>
  </si>
  <si>
    <t>28 mins 55 secs</t>
  </si>
  <si>
    <t>16 August 2026  9:48 AM</t>
  </si>
  <si>
    <t>16 August 2026  10:48 AM</t>
  </si>
  <si>
    <t>16 August 2026  9:54 AM</t>
  </si>
  <si>
    <t>16 August 2026  10:19 AM</t>
  </si>
  <si>
    <t>25 mins 13 secs</t>
  </si>
  <si>
    <t>16 August 2026  10:03 AM</t>
  </si>
  <si>
    <t>16 August 2026  10:51 AM</t>
  </si>
  <si>
    <t>48 mins 17 secs</t>
  </si>
  <si>
    <t>16 August 2026  10:04 AM</t>
  </si>
  <si>
    <t>16 August 2026  10:26 AM</t>
  </si>
  <si>
    <t>16 August 2026  10:44 AM</t>
  </si>
  <si>
    <t>16 August 2026  11:35 AM</t>
  </si>
  <si>
    <t>59 mins 22 secs</t>
  </si>
  <si>
    <t>16 August 2026  10:40 AM</t>
  </si>
  <si>
    <t>16 August 2026  11:07 AM</t>
  </si>
  <si>
    <t>26 mins 41 secs</t>
  </si>
  <si>
    <t>16 August 2026  10:41 AM</t>
  </si>
  <si>
    <t>16 August 2026  11:08 AM</t>
  </si>
  <si>
    <t>26 mins 30 secs</t>
  </si>
  <si>
    <t>16 August 2026  11:06 AM</t>
  </si>
  <si>
    <t>16 August 2026  11:36 AM</t>
  </si>
  <si>
    <t>26 mins 2 secs</t>
  </si>
  <si>
    <t>16 August 2026  11:14 AM</t>
  </si>
  <si>
    <t>29 mins 1 sec</t>
  </si>
  <si>
    <t>16 August 2026  11:23 AM</t>
  </si>
  <si>
    <t>16 August 2026  11:42 AM</t>
  </si>
  <si>
    <t>19 mins 16 secs</t>
  </si>
  <si>
    <t>16 August 2026  11:53 AM</t>
  </si>
  <si>
    <t>22 mins 44 secs</t>
  </si>
  <si>
    <t>16 August 2026  11:58 AM</t>
  </si>
  <si>
    <t>16 August 2026  12:46 PM</t>
  </si>
  <si>
    <t>48 mins</t>
  </si>
  <si>
    <t>16 August 2026  12:00 PM</t>
  </si>
  <si>
    <t>16 August 2026  12:53 PM</t>
  </si>
  <si>
    <t>52 mins 50 secs</t>
  </si>
  <si>
    <t>16 August 2026  12:04 PM</t>
  </si>
  <si>
    <t>30 mins 43 secs</t>
  </si>
  <si>
    <t>16 August 2026  12:19 PM</t>
  </si>
  <si>
    <t>16 August 2026  12:38 PM</t>
  </si>
  <si>
    <t>16 August 2026  12:25 PM</t>
  </si>
  <si>
    <t>16 August 2026  12:55 PM</t>
  </si>
  <si>
    <t>30 mins 37 secs</t>
  </si>
  <si>
    <t>16 August 2026  1:00 PM</t>
  </si>
  <si>
    <t>16 August 2026  1:27 PM</t>
  </si>
  <si>
    <t>48 mins 52 secs</t>
  </si>
  <si>
    <t>16 August 2026  12:49 PM</t>
  </si>
  <si>
    <t>16 August 2026  1:17 PM</t>
  </si>
  <si>
    <t>16 August 2026  1:46 PM</t>
  </si>
  <si>
    <t>47 mins 30 secs</t>
  </si>
  <si>
    <t>16 August 2026  1:12 PM</t>
  </si>
  <si>
    <t>16 August 2026  1:33 PM</t>
  </si>
  <si>
    <t>16 August 2026  1:24 PM</t>
  </si>
  <si>
    <t>16 August 2026  1:52 PM</t>
  </si>
  <si>
    <t>16 August 2026  1:51 PM</t>
  </si>
  <si>
    <t>22 mins 29 secs</t>
  </si>
  <si>
    <t>16 August 2026  2:10 PM</t>
  </si>
  <si>
    <t>41 mins 23 secs</t>
  </si>
  <si>
    <t>16 August 2026  2:04 PM</t>
  </si>
  <si>
    <t>17 mins 50 secs</t>
  </si>
  <si>
    <t>16 August 2026  2:24 PM</t>
  </si>
  <si>
    <t>16 August 2026  2:55 PM</t>
  </si>
  <si>
    <t>16 August 2026  3:35 PM</t>
  </si>
  <si>
    <t>16 August 2026  2:56 PM</t>
  </si>
  <si>
    <t>16 August 2026  3:01 PM</t>
  </si>
  <si>
    <t>21 mins 22 secs</t>
  </si>
  <si>
    <t>16 August 2026  3:26 PM</t>
  </si>
  <si>
    <t>16 August 2026  3:46 PM</t>
  </si>
  <si>
    <t>20 mins 22 secs</t>
  </si>
  <si>
    <t>16 August 2026  4:25 PM</t>
  </si>
  <si>
    <t>16 August 2026  4:53 PM</t>
  </si>
  <si>
    <t>27 mins 48 secs</t>
  </si>
  <si>
    <t>16 August 2026  5:10 PM</t>
  </si>
  <si>
    <t>17 mins 33 secs</t>
  </si>
  <si>
    <t>16 August 2026  4:54 PM</t>
  </si>
  <si>
    <t>16 August 2026  5:46 PM</t>
  </si>
  <si>
    <t>51 mins 46 secs</t>
  </si>
  <si>
    <t>16 August 2026  5:37 PM</t>
  </si>
  <si>
    <t>16 August 2026  6:15 PM</t>
  </si>
  <si>
    <t>16 August 2026  5:47 PM</t>
  </si>
  <si>
    <t>16 August 2026  6:11 PM</t>
  </si>
  <si>
    <t>16 August 2026  5:58 PM</t>
  </si>
  <si>
    <t>16 August 2026  6:58 PM</t>
  </si>
  <si>
    <t>16 August 2026  6:01 PM</t>
  </si>
  <si>
    <t>16 August 2026  6:26 PM</t>
  </si>
  <si>
    <t>16 August 2026  6:17 PM</t>
  </si>
  <si>
    <t>16 August 2026  6:52 PM</t>
  </si>
  <si>
    <t>35 mins 34 secs</t>
  </si>
  <si>
    <t>16 August 2026  6:19 PM</t>
  </si>
  <si>
    <t>16 August 2026  6:51 PM</t>
  </si>
  <si>
    <t>16 August 2026  6:42 PM</t>
  </si>
  <si>
    <t>16 August 2026  7:15 PM</t>
  </si>
  <si>
    <t>32 mins 41 secs</t>
  </si>
  <si>
    <t>16 August 2026  6:43 PM</t>
  </si>
  <si>
    <t>16 August 2026  7:37 PM</t>
  </si>
  <si>
    <t>45 mins 35 secs</t>
  </si>
  <si>
    <t>16 August 2026  7:17 PM</t>
  </si>
  <si>
    <t>16 August 2026  6:53 PM</t>
  </si>
  <si>
    <t>16 August 2026  7:42 PM</t>
  </si>
  <si>
    <t>48 mins 48 secs</t>
  </si>
  <si>
    <t>16 August 2026  7:20 PM</t>
  </si>
  <si>
    <t>16 August 2026  8:00 PM</t>
  </si>
  <si>
    <t>39 mins 27 secs</t>
  </si>
  <si>
    <t>16 August 2026  7:31 PM</t>
  </si>
  <si>
    <t>16 August 2026  8:12 PM</t>
  </si>
  <si>
    <t>40 mins 55 secs</t>
  </si>
  <si>
    <t>16 August 2026  7:32 PM</t>
  </si>
  <si>
    <t>16 August 2026  8:32 PM</t>
  </si>
  <si>
    <t>16 August 2026  7:34 PM</t>
  </si>
  <si>
    <t>16 August 2026  8:03 PM</t>
  </si>
  <si>
    <t>16 August 2026  7:57 PM</t>
  </si>
  <si>
    <t>16 August 2026  8:31 PM</t>
  </si>
  <si>
    <t>16 August 2026  7:59 PM</t>
  </si>
  <si>
    <t>48 mins 20 secs</t>
  </si>
  <si>
    <t>16 August 2026  8:02 PM</t>
  </si>
  <si>
    <t>16 August 2026  8:54 PM</t>
  </si>
  <si>
    <t>52 mins 13 secs</t>
  </si>
  <si>
    <t>16 August 2026  8:27 PM</t>
  </si>
  <si>
    <t>16 August 2026  8:49 PM</t>
  </si>
  <si>
    <t>16 August 2026  8:55 PM</t>
  </si>
  <si>
    <t>16 August 2026  8:45 PM</t>
  </si>
  <si>
    <t>16 August 2026  9:24 PM</t>
  </si>
  <si>
    <t>39 mins 26 secs</t>
  </si>
  <si>
    <t>16 August 2026  9:11 PM</t>
  </si>
  <si>
    <t>14 mins 10 secs</t>
  </si>
  <si>
    <t>16 August 2026  8:59 PM</t>
  </si>
  <si>
    <t>17 mins 32 secs</t>
  </si>
  <si>
    <t>16 August 2026  9:05 PM</t>
  </si>
  <si>
    <t>16 August 2026  10:04 PM</t>
  </si>
  <si>
    <t>59 mins 32 secs</t>
  </si>
  <si>
    <t>16 August 2026  9:53 PM</t>
  </si>
  <si>
    <t>43 mins 26 secs</t>
  </si>
  <si>
    <t>16 August 2026  9:31 PM</t>
  </si>
  <si>
    <t>16 August 2026  9:47 PM</t>
  </si>
  <si>
    <t>15 mins 45 secs</t>
  </si>
  <si>
    <t>16 August 2026  9:45 PM</t>
  </si>
  <si>
    <t>16 August 2026  9:56 PM</t>
  </si>
  <si>
    <t>16 August 2026  9:46 PM</t>
  </si>
  <si>
    <t>16 August 2026  10:46 PM</t>
  </si>
  <si>
    <t>16 August 2026  9:55 PM</t>
  </si>
  <si>
    <t>51 mins 34 secs</t>
  </si>
  <si>
    <t>16 August 2026  10:05 PM</t>
  </si>
  <si>
    <t>25 secs</t>
  </si>
  <si>
    <t>16 August 2026  10:20 PM</t>
  </si>
  <si>
    <t>16 August 2026  11:20 PM</t>
  </si>
  <si>
    <t>17 August 2026  9:04 AM</t>
  </si>
  <si>
    <t>17 August 2026  9:16 AM</t>
  </si>
  <si>
    <t>12 mins 11 secs</t>
  </si>
  <si>
    <t>17 August 2026  9:21 AM</t>
  </si>
  <si>
    <t>17 August 2026  10:16 AM</t>
  </si>
  <si>
    <t>55 mins 27 secs</t>
  </si>
  <si>
    <t>17 August 2026  9:38 AM</t>
  </si>
  <si>
    <t>17 August 2026  10:39 AM</t>
  </si>
  <si>
    <t>17 August 2026  9:39 AM</t>
  </si>
  <si>
    <t>17 August 2026  9:51 AM</t>
  </si>
  <si>
    <t>17 August 2026  10:36 AM</t>
  </si>
  <si>
    <t>17 August 2026  10:20 AM</t>
  </si>
  <si>
    <t>17 August 2026  11:20 AM</t>
  </si>
  <si>
    <t>17 August 2026  10:27 AM</t>
  </si>
  <si>
    <t>17 August 2026  11:01 AM</t>
  </si>
  <si>
    <t>34 mins 9 secs</t>
  </si>
  <si>
    <t>17 August 2026  10:37 AM</t>
  </si>
  <si>
    <t>17 August 2026  11:31 AM</t>
  </si>
  <si>
    <t>53 mins 24 secs</t>
  </si>
  <si>
    <t>17 August 2026  11:22 AM</t>
  </si>
  <si>
    <t>17 August 2026  11:23 AM</t>
  </si>
  <si>
    <t>17 August 2026  11:54 AM</t>
  </si>
  <si>
    <t>31 mins 5 secs</t>
  </si>
  <si>
    <t>17 August 2026  11:34 AM</t>
  </si>
  <si>
    <t>17 August 2026  11:35 AM</t>
  </si>
  <si>
    <t>17 August 2026  12:05 PM</t>
  </si>
  <si>
    <t>30 mins 35 secs</t>
  </si>
  <si>
    <t>17 August 2026  11:40 AM</t>
  </si>
  <si>
    <t>17 August 2026  12:09 PM</t>
  </si>
  <si>
    <t>29 mins 22 secs</t>
  </si>
  <si>
    <t>17 August 2026  11:47 AM</t>
  </si>
  <si>
    <t>17 August 2026  12:10 PM</t>
  </si>
  <si>
    <t>23 mins 31 secs</t>
  </si>
  <si>
    <t>17 August 2026  11:51 AM</t>
  </si>
  <si>
    <t>17 August 2026  12:19 PM</t>
  </si>
  <si>
    <t>17 August 2026  11:55 AM</t>
  </si>
  <si>
    <t>17 August 2026  12:23 PM</t>
  </si>
  <si>
    <t>17 August 2026  11:59 AM</t>
  </si>
  <si>
    <t>17 August 2026  12:16 PM</t>
  </si>
  <si>
    <t>17 August 2026  12:11 PM</t>
  </si>
  <si>
    <t>17 August 2026  12:27 PM</t>
  </si>
  <si>
    <t>16 mins 4 secs</t>
  </si>
  <si>
    <t>17 August 2026  1:38 PM</t>
  </si>
  <si>
    <t>23 mins 47 secs</t>
  </si>
  <si>
    <t>17 August 2026  2:07 PM</t>
  </si>
  <si>
    <t>17 August 2026  2:37 PM</t>
  </si>
  <si>
    <t>17 August 2026  3:10 PM</t>
  </si>
  <si>
    <t>17 August 2026  2:11 PM</t>
  </si>
  <si>
    <t>17 August 2026  2:33 PM</t>
  </si>
  <si>
    <t>21 mins 40 secs</t>
  </si>
  <si>
    <t>17 August 2026  2:17 PM</t>
  </si>
  <si>
    <t>17 August 2026  2:35 PM</t>
  </si>
  <si>
    <t>17 mins 56 secs</t>
  </si>
  <si>
    <t>17 August 2026  2:25 PM</t>
  </si>
  <si>
    <t>17 August 2026  3:11 PM</t>
  </si>
  <si>
    <t>21 mins 17 secs</t>
  </si>
  <si>
    <t>17 August 2026  2:27 PM</t>
  </si>
  <si>
    <t>17 August 2026  2:40 PM</t>
  </si>
  <si>
    <t>17 August 2026  3:40 PM</t>
  </si>
  <si>
    <t>17 August 2026  2:53 PM</t>
  </si>
  <si>
    <t>17 August 2026  2:50 PM</t>
  </si>
  <si>
    <t>17 August 2026  3:06 PM</t>
  </si>
  <si>
    <t>15 mins 27 secs</t>
  </si>
  <si>
    <t>17 August 2026  3:49 PM</t>
  </si>
  <si>
    <t>58 mins 4 secs</t>
  </si>
  <si>
    <t>17 August 2026  2:58 PM</t>
  </si>
  <si>
    <t>17 August 2026  3:25 PM</t>
  </si>
  <si>
    <t>26 mins 52 secs</t>
  </si>
  <si>
    <t>17 August 2026  3:00 PM</t>
  </si>
  <si>
    <t>17 August 2026  3:16 PM</t>
  </si>
  <si>
    <t>17 August 2026  3:09 PM</t>
  </si>
  <si>
    <t>17 August 2026  3:29 PM</t>
  </si>
  <si>
    <t>20 mins 2 secs</t>
  </si>
  <si>
    <t>17 August 2026  3:19 PM</t>
  </si>
  <si>
    <t>17 August 2026  3:35 PM</t>
  </si>
  <si>
    <t>16 mins 36 secs</t>
  </si>
  <si>
    <t>17 August 2026  3:54 PM</t>
  </si>
  <si>
    <t>29 mins 9 secs</t>
  </si>
  <si>
    <t>17 August 2026  4:00 PM</t>
  </si>
  <si>
    <t>31 mins 39 secs</t>
  </si>
  <si>
    <t>17 August 2026  3:32 PM</t>
  </si>
  <si>
    <t>17 mins 8 secs</t>
  </si>
  <si>
    <t>17 August 2026  3:42 PM</t>
  </si>
  <si>
    <t>17 August 2026  4:08 PM</t>
  </si>
  <si>
    <t>17 August 2026  3:43 PM</t>
  </si>
  <si>
    <t>17 August 2026  3:45 PM</t>
  </si>
  <si>
    <t>2 mins 43 secs</t>
  </si>
  <si>
    <t>17 August 2026  3:53 PM</t>
  </si>
  <si>
    <t>17 August 2026  4:53 PM</t>
  </si>
  <si>
    <t>17 August 2026  3:58 PM</t>
  </si>
  <si>
    <t>17 August 2026  4:28 PM</t>
  </si>
  <si>
    <t>17 August 2026  4:01 PM</t>
  </si>
  <si>
    <t>17 August 2026  4:31 PM</t>
  </si>
  <si>
    <t>29 mins 44 secs</t>
  </si>
  <si>
    <t>17 August 2026  5:48 PM</t>
  </si>
  <si>
    <t>17 August 2026  6:13 PM</t>
  </si>
  <si>
    <t>17 August 2026  6:54 PM</t>
  </si>
  <si>
    <t>17 August 2026  6:38 PM</t>
  </si>
  <si>
    <t>17 August 2026  7:30 PM</t>
  </si>
  <si>
    <t>51 mins 39 secs</t>
  </si>
  <si>
    <t>17 August 2026  6:56 PM</t>
  </si>
  <si>
    <t>17 August 2026  6:46 PM</t>
  </si>
  <si>
    <t>17 August 2026  6:55 PM</t>
  </si>
  <si>
    <t>17 August 2026  7:13 PM</t>
  </si>
  <si>
    <t>17 mins 39 secs</t>
  </si>
  <si>
    <t>17 August 2026  7:08 PM</t>
  </si>
  <si>
    <t>17 August 2026  7:23 PM</t>
  </si>
  <si>
    <t>17 August 2026  8:02 PM</t>
  </si>
  <si>
    <t>39 mins 9 secs</t>
  </si>
  <si>
    <t>17 August 2026  7:27 PM</t>
  </si>
  <si>
    <t>17 August 2026  7:52 PM</t>
  </si>
  <si>
    <t>17 August 2026  7:33 PM</t>
  </si>
  <si>
    <t>17 August 2026  8:13 PM</t>
  </si>
  <si>
    <t>39 mins 48 secs</t>
  </si>
  <si>
    <t>17 August 2026  8:01 PM</t>
  </si>
  <si>
    <t>17 August 2026  8:39 PM</t>
  </si>
  <si>
    <t>38 mins 44 secs</t>
  </si>
  <si>
    <t>17 August 2026  8:14 PM</t>
  </si>
  <si>
    <t>17 August 2026  8:25 PM</t>
  </si>
  <si>
    <t>17 August 2026  8:33 PM</t>
  </si>
  <si>
    <t>17 August 2026  8:37 PM</t>
  </si>
  <si>
    <t>17 August 2026  8:51 PM</t>
  </si>
  <si>
    <t>14 mins 7 secs</t>
  </si>
  <si>
    <t>17 August 2026  8:40 PM</t>
  </si>
  <si>
    <t>17 August 2026  8:52 PM</t>
  </si>
  <si>
    <t>17 August 2026  8:50 PM</t>
  </si>
  <si>
    <t>17 August 2026  9:10 PM</t>
  </si>
  <si>
    <t>17 August 2026  9:09 PM</t>
  </si>
  <si>
    <t>17 August 2026  10:09 PM</t>
  </si>
  <si>
    <t>17 August 2026  9:20 PM</t>
  </si>
  <si>
    <t>17 August 2026  10:10 PM</t>
  </si>
  <si>
    <t>49 mins 34 secs</t>
  </si>
  <si>
    <t>17 August 2026  10:42 PM</t>
  </si>
  <si>
    <t>17 August 2026  11:29 PM</t>
  </si>
  <si>
    <t>47 mins 47 secs</t>
  </si>
  <si>
    <t>17 August 2026  10:52 PM</t>
  </si>
  <si>
    <t>17 August 2026  11:28 PM</t>
  </si>
  <si>
    <t>35 mins 53 secs</t>
  </si>
  <si>
    <t>17 August 2026  11:44 PM</t>
  </si>
  <si>
    <t>18 August 2026  12:06 AM</t>
  </si>
  <si>
    <t>22 mins 52 secs</t>
  </si>
  <si>
    <t>18 August 2026  5:16 AM</t>
  </si>
  <si>
    <t>18 August 2026  5:25 AM</t>
  </si>
  <si>
    <t>18 August 2026  5:37 AM</t>
  </si>
  <si>
    <t>18 August 2026  5:52 AM</t>
  </si>
  <si>
    <t>14 mins 58 secs</t>
  </si>
  <si>
    <t>18 August 2026  9:04 AM</t>
  </si>
  <si>
    <t>18 August 2026  9:13 AM</t>
  </si>
  <si>
    <t>18 August 2026  9:53 AM</t>
  </si>
  <si>
    <t>44 mins 37 secs</t>
  </si>
  <si>
    <t>18 August 2026  9:37 AM</t>
  </si>
  <si>
    <t>5 mins 21 secs</t>
  </si>
  <si>
    <t>18 August 2026  9:32 AM</t>
  </si>
  <si>
    <t>18 August 2026  9:58 AM</t>
  </si>
  <si>
    <t>26 mins 45 secs</t>
  </si>
  <si>
    <t>18 August 2026  10:27 AM</t>
  </si>
  <si>
    <t>28 mins 34 secs</t>
  </si>
  <si>
    <t>18 August 2026  10:11 AM</t>
  </si>
  <si>
    <t>18 August 2026  10:17 AM</t>
  </si>
  <si>
    <t>6 mins 42 secs</t>
  </si>
  <si>
    <t>18 August 2026  10:30 AM</t>
  </si>
  <si>
    <t>18 August 2026  10:39 AM</t>
  </si>
  <si>
    <t>8 mins 43 secs</t>
  </si>
  <si>
    <t>18 August 2026  11:45 AM</t>
  </si>
  <si>
    <t>18 August 2026  12:22 PM</t>
  </si>
  <si>
    <t>18 August 2026  12:28 PM</t>
  </si>
  <si>
    <t>18 August 2026  12:42 PM</t>
  </si>
  <si>
    <t>14 mins 12 secs</t>
  </si>
  <si>
    <t>18 August 2026  5:24 PM</t>
  </si>
  <si>
    <t>18 August 2026  5:45 PM</t>
  </si>
  <si>
    <t>20 mins 58 secs</t>
  </si>
  <si>
    <t>18 August 2026  5:37 PM</t>
  </si>
  <si>
    <t>18 August 2026  6:04 PM</t>
  </si>
  <si>
    <t>18 August 2026  6:15 PM</t>
  </si>
  <si>
    <t>24 mins 1 sec</t>
  </si>
  <si>
    <t>18 August 2026  6:44 PM</t>
  </si>
  <si>
    <t>18 August 2026  7:04 PM</t>
  </si>
  <si>
    <t>19 mins 52 secs</t>
  </si>
  <si>
    <t>12 mins 49 secs</t>
  </si>
  <si>
    <t>18 August 2026  7:02 PM</t>
  </si>
  <si>
    <t>18 August 2026  7:17 PM</t>
  </si>
  <si>
    <t>18 August 2026  7:42 PM</t>
  </si>
  <si>
    <t>24 mins 56 secs</t>
  </si>
  <si>
    <t>27 mins 8 secs</t>
  </si>
  <si>
    <t>18 August 2026  7:25 PM</t>
  </si>
  <si>
    <t>33 mins 24 secs</t>
  </si>
  <si>
    <t>18 August 2026  7:33 PM</t>
  </si>
  <si>
    <t>39 mins 11 secs</t>
  </si>
  <si>
    <t>18 August 2026  7:35 PM</t>
  </si>
  <si>
    <t>18 August 2026  8:03 PM</t>
  </si>
  <si>
    <t>35 mins 50 secs</t>
  </si>
  <si>
    <t>18 August 2026  7:44 PM</t>
  </si>
  <si>
    <t>18 August 2026  8:07 PM</t>
  </si>
  <si>
    <t>38 mins 45 secs</t>
  </si>
  <si>
    <t>18 August 2026  8:30 PM</t>
  </si>
  <si>
    <t>36 mins 16 secs</t>
  </si>
  <si>
    <t>32 mins 37 secs</t>
  </si>
  <si>
    <t>18 August 2026  8:25 PM</t>
  </si>
  <si>
    <t>25 mins 30 secs</t>
  </si>
  <si>
    <t>18 August 2026  8:31 PM</t>
  </si>
  <si>
    <t>18 August 2026  8:42 PM</t>
  </si>
  <si>
    <t>18 August 2026  9:04 PM</t>
  </si>
  <si>
    <t>36 mins 33 secs</t>
  </si>
  <si>
    <t>18 August 2026  8:35 PM</t>
  </si>
  <si>
    <t>37 mins 46 secs</t>
  </si>
  <si>
    <t>20 mins 31 secs</t>
  </si>
  <si>
    <t>18 August 2026  8:58 PM</t>
  </si>
  <si>
    <t>18 August 2026  9:21 PM</t>
  </si>
  <si>
    <t>23 mins 35 secs</t>
  </si>
  <si>
    <t>18 August 2026  9:02 PM</t>
  </si>
  <si>
    <t>18 August 2026  9:32 PM</t>
  </si>
  <si>
    <t>30 mins 19 secs</t>
  </si>
  <si>
    <t>18 August 2026  9:36 PM</t>
  </si>
  <si>
    <t>29 mins 10 secs</t>
  </si>
  <si>
    <t>18 August 2026  9:09 PM</t>
  </si>
  <si>
    <t>34 mins 49 secs</t>
  </si>
  <si>
    <t>18 August 2026  10:11 PM</t>
  </si>
  <si>
    <t>40 mins 54 secs</t>
  </si>
  <si>
    <t>18 August 2026  9:13 PM</t>
  </si>
  <si>
    <t>18 August 2026  9:38 PM</t>
  </si>
  <si>
    <t>18 August 2026  9:14 PM</t>
  </si>
  <si>
    <t>18 August 2026  9:54 PM</t>
  </si>
  <si>
    <t>40 mins 31 secs</t>
  </si>
  <si>
    <t>18 August 2026  9:51 PM</t>
  </si>
  <si>
    <t>37 mins 10 secs</t>
  </si>
  <si>
    <t>8 mins 45 secs</t>
  </si>
  <si>
    <t>18 August 2026  9:22 PM</t>
  </si>
  <si>
    <t>42 mins 6 secs</t>
  </si>
  <si>
    <t>29 mins 15 secs</t>
  </si>
  <si>
    <t>18 August 2026  9:29 PM</t>
  </si>
  <si>
    <t>27 mins 47 secs</t>
  </si>
  <si>
    <t>18 August 2026  9:37 PM</t>
  </si>
  <si>
    <t>18 August 2026  10:30 PM</t>
  </si>
  <si>
    <t>52 mins 55 secs</t>
  </si>
  <si>
    <t>18 August 2026  10:16 PM</t>
  </si>
  <si>
    <t>37 mins 51 secs</t>
  </si>
  <si>
    <t>18 August 2026  9:39 PM</t>
  </si>
  <si>
    <t>18 August 2026  10:12 PM</t>
  </si>
  <si>
    <t>18 August 2026  10:04 PM</t>
  </si>
  <si>
    <t>18 August 2026  9:48 PM</t>
  </si>
  <si>
    <t>18 August 2026  9:49 PM</t>
  </si>
  <si>
    <t>18 August 2026  10:20 PM</t>
  </si>
  <si>
    <t>31 mins 24 secs</t>
  </si>
  <si>
    <t>18 August 2026  9:58 PM</t>
  </si>
  <si>
    <t>18 August 2026  10:27 PM</t>
  </si>
  <si>
    <t>28 mins 35 secs</t>
  </si>
  <si>
    <t>18 August 2026  10:26 PM</t>
  </si>
  <si>
    <t>18 August 2026  10:06 PM</t>
  </si>
  <si>
    <t>18 August 2026  10:47 PM</t>
  </si>
  <si>
    <t>18 August 2026  11:13 PM</t>
  </si>
  <si>
    <t>25 mins 57 secs</t>
  </si>
  <si>
    <t>18 August 2026  10:50 PM</t>
  </si>
  <si>
    <t>18 August 2026  11:15 PM</t>
  </si>
  <si>
    <t>25 mins 38 secs</t>
  </si>
  <si>
    <t>18 August 2026  11:20 PM</t>
  </si>
  <si>
    <t>18 August 2026  11:43 PM</t>
  </si>
  <si>
    <t>23 mins 18 secs</t>
  </si>
  <si>
    <t>19 August 2026  5:19 AM</t>
  </si>
  <si>
    <t>19 August 2026  5:54 AM</t>
  </si>
  <si>
    <t>35 mins 44 secs</t>
  </si>
  <si>
    <t>19 August 2026  9:07 AM</t>
  </si>
  <si>
    <t>19 August 2026  9:44 AM</t>
  </si>
  <si>
    <t>37 mins 7 secs</t>
  </si>
  <si>
    <t>19 August 2026  9:16 AM</t>
  </si>
  <si>
    <t>19 August 2026  9:37 AM</t>
  </si>
  <si>
    <t>20 mins 57 secs</t>
  </si>
  <si>
    <t>19 August 2026  9:26 AM</t>
  </si>
  <si>
    <t>19 August 2026  10:20 AM</t>
  </si>
  <si>
    <t>53 mins 47 secs</t>
  </si>
  <si>
    <t>19 August 2026  9:41 AM</t>
  </si>
  <si>
    <t>23 mins 34 secs</t>
  </si>
  <si>
    <t>19 August 2026  9:52 AM</t>
  </si>
  <si>
    <t>19 August 2026  10:36 AM</t>
  </si>
  <si>
    <t>44 mins 24 secs</t>
  </si>
  <si>
    <t>19 August 2026  10:03 AM</t>
  </si>
  <si>
    <t>19 August 2026  10:37 AM</t>
  </si>
  <si>
    <t>33 mins 15 secs</t>
  </si>
  <si>
    <t>22 mins 56 secs</t>
  </si>
  <si>
    <t>19 August 2026  10:12 AM</t>
  </si>
  <si>
    <t>19 August 2026  10:14 AM</t>
  </si>
  <si>
    <t>19 August 2026  11:08 AM</t>
  </si>
  <si>
    <t>54 mins 5 secs</t>
  </si>
  <si>
    <t>19 August 2026  11:20 AM</t>
  </si>
  <si>
    <t>59 mins 59 secs</t>
  </si>
  <si>
    <t>59 mins 58 secs</t>
  </si>
  <si>
    <t>19 August 2026  10:21 AM</t>
  </si>
  <si>
    <t>19 August 2026  10:43 AM</t>
  </si>
  <si>
    <t>22 mins 15 secs</t>
  </si>
  <si>
    <t>19 August 2026  11:21 AM</t>
  </si>
  <si>
    <t>19 August 2026  11:12 AM</t>
  </si>
  <si>
    <t>36 mins 58 secs</t>
  </si>
  <si>
    <t>19 August 2026  10:44 AM</t>
  </si>
  <si>
    <t>19 August 2026  11:34 AM</t>
  </si>
  <si>
    <t>50 mins 22 secs</t>
  </si>
  <si>
    <t>19 August 2026  10:58 AM</t>
  </si>
  <si>
    <t>14 mins 15 secs</t>
  </si>
  <si>
    <t>19 August 2026  11:02 AM</t>
  </si>
  <si>
    <t>19 August 2026  10:59 AM</t>
  </si>
  <si>
    <t>19 August 2026  11:45 AM</t>
  </si>
  <si>
    <t>45 mins 14 secs</t>
  </si>
  <si>
    <t>19 August 2026  11:00 AM</t>
  </si>
  <si>
    <t>19 August 2026  11:13 AM</t>
  </si>
  <si>
    <t>12 mins 55 secs</t>
  </si>
  <si>
    <t>19 August 2026  11:06 AM</t>
  </si>
  <si>
    <t>19 August 2026  11:38 AM</t>
  </si>
  <si>
    <t>32 mins 1 sec</t>
  </si>
  <si>
    <t>19 August 2026  11:11 AM</t>
  </si>
  <si>
    <t>19 August 2026  11:27 AM</t>
  </si>
  <si>
    <t>16 mins 30 secs</t>
  </si>
  <si>
    <t>19 August 2026  11:14 AM</t>
  </si>
  <si>
    <t>19 August 2026  11:37 AM</t>
  </si>
  <si>
    <t>22 mins 54 secs</t>
  </si>
  <si>
    <t>19 August 2026  11:16 AM</t>
  </si>
  <si>
    <t>19 August 2026  11:17 AM</t>
  </si>
  <si>
    <t>19 August 2026  12:03 PM</t>
  </si>
  <si>
    <t>45 mins 22 secs</t>
  </si>
  <si>
    <t>19 August 2026  11:24 AM</t>
  </si>
  <si>
    <t>19 August 2026  11:44 AM</t>
  </si>
  <si>
    <t>20 mins 48 secs</t>
  </si>
  <si>
    <t>19 August 2026  11:31 AM</t>
  </si>
  <si>
    <t>19 August 2026  12:14 PM</t>
  </si>
  <si>
    <t>43 mins 55 secs</t>
  </si>
  <si>
    <t>19 August 2026  12:07 PM</t>
  </si>
  <si>
    <t>19 August 2026  11:53 AM</t>
  </si>
  <si>
    <t>19 August 2026  12:26 PM</t>
  </si>
  <si>
    <t>33 mins 12 secs</t>
  </si>
  <si>
    <t>19 August 2026  11:55 AM</t>
  </si>
  <si>
    <t>19 August 2026  12:16 PM</t>
  </si>
  <si>
    <t>21 mins 5 secs</t>
  </si>
  <si>
    <t>19 August 2026  11:56 AM</t>
  </si>
  <si>
    <t>19 August 2026  12:01 PM</t>
  </si>
  <si>
    <t>19 August 2026  12:20 PM</t>
  </si>
  <si>
    <t>18 mins 43 secs</t>
  </si>
  <si>
    <t>Q. 1 /15.00</t>
  </si>
  <si>
    <t>8 August 2026  5:04 PM</t>
  </si>
  <si>
    <t>8 August 2026  5:18 PM</t>
  </si>
  <si>
    <t>14 mins 40 secs</t>
  </si>
  <si>
    <t>8 August 2026  8:00 PM</t>
  </si>
  <si>
    <t>8 August 2026  8:16 PM</t>
  </si>
  <si>
    <t>19.50</t>
  </si>
  <si>
    <t>10.50</t>
  </si>
  <si>
    <t>8 August 2026  9:22 PM</t>
  </si>
  <si>
    <t>8 August 2026  9:25 PM</t>
  </si>
  <si>
    <t>2 mins 17 secs</t>
  </si>
  <si>
    <t>8 August 2026  10:23 PM</t>
  </si>
  <si>
    <t>8 August 2026  10:35 PM</t>
  </si>
  <si>
    <t>12 mins 18 secs</t>
  </si>
  <si>
    <t>9 August 2026  7:38 AM</t>
  </si>
  <si>
    <t>9 August 2026  7:48 AM</t>
  </si>
  <si>
    <t>9 August 2026  8:48 AM</t>
  </si>
  <si>
    <t>9 August 2026  8:58 AM</t>
  </si>
  <si>
    <t>9 August 2026  12:11 PM</t>
  </si>
  <si>
    <t>9 August 2026  12:27 PM</t>
  </si>
  <si>
    <t>9 August 2026  12:28 PM</t>
  </si>
  <si>
    <t>9 August 2026  12:29 PM</t>
  </si>
  <si>
    <t>23 secs</t>
  </si>
  <si>
    <t>9 August 2026  1:50 PM</t>
  </si>
  <si>
    <t>9 August 2026  2:08 PM</t>
  </si>
  <si>
    <t>18 mins 30 secs</t>
  </si>
  <si>
    <t>9 August 2026  2:40 PM</t>
  </si>
  <si>
    <t>9 August 2026  3:06 PM</t>
  </si>
  <si>
    <t>9 August 2026  3:36 PM</t>
  </si>
  <si>
    <t>30 mins 1 sec</t>
  </si>
  <si>
    <t>9 August 2026  3:13 PM</t>
  </si>
  <si>
    <t>9 August 2026  3:19 PM</t>
  </si>
  <si>
    <t>9 August 2026  3:38 PM</t>
  </si>
  <si>
    <t>9 August 2026  3:47 PM</t>
  </si>
  <si>
    <t>8 mins 46 secs</t>
  </si>
  <si>
    <t>9 August 2026  4:02 PM</t>
  </si>
  <si>
    <t>9 August 2026  4:09 PM</t>
  </si>
  <si>
    <t>6 mins 24 secs</t>
  </si>
  <si>
    <t>9 August 2026  5:13 PM</t>
  </si>
  <si>
    <t>9 August 2026  5:33 PM</t>
  </si>
  <si>
    <t>9 August 2026  6:57 PM</t>
  </si>
  <si>
    <t>30 mins</t>
  </si>
  <si>
    <t>13.50</t>
  </si>
  <si>
    <t>9 August 2026  7:21 PM</t>
  </si>
  <si>
    <t>9 August 2026  7:31 PM</t>
  </si>
  <si>
    <t>3 mins 43 secs</t>
  </si>
  <si>
    <t>1 min 8 secs</t>
  </si>
  <si>
    <t>9 August 2026  7:37 PM</t>
  </si>
  <si>
    <t>9 August 2026  7:53 PM</t>
  </si>
  <si>
    <t>9 August 2026  7:38 PM</t>
  </si>
  <si>
    <t>9 August 2026  8:00 PM</t>
  </si>
  <si>
    <t>21 mins 36 secs</t>
  </si>
  <si>
    <t>9 August 2026  8:24 PM</t>
  </si>
  <si>
    <t>9 August 2026  7:58 PM</t>
  </si>
  <si>
    <t>1 min 53 secs</t>
  </si>
  <si>
    <t>1 min 48 secs</t>
  </si>
  <si>
    <t>9 August 2026  8:26 PM</t>
  </si>
  <si>
    <t>9 August 2026  8:39 PM</t>
  </si>
  <si>
    <t>20.50</t>
  </si>
  <si>
    <t>9 August 2026  9:00 PM</t>
  </si>
  <si>
    <t>14 mins 24 secs</t>
  </si>
  <si>
    <t>9 August 2026  9:03 PM</t>
  </si>
  <si>
    <t>16 mins 6 secs</t>
  </si>
  <si>
    <t>9 August 2026  9:04 PM</t>
  </si>
  <si>
    <t>15 mins 57 secs</t>
  </si>
  <si>
    <t>23.50</t>
  </si>
  <si>
    <t>12 mins 15 secs</t>
  </si>
  <si>
    <t>18.50</t>
  </si>
  <si>
    <t>9 August 2026  9:12 PM</t>
  </si>
  <si>
    <t>1 min 22 secs</t>
  </si>
  <si>
    <t>8 mins 8 secs</t>
  </si>
  <si>
    <t>9 August 2026  9:27 PM</t>
  </si>
  <si>
    <t>9 August 2026  9:48 PM</t>
  </si>
  <si>
    <t>9 August 2026  9:56 PM</t>
  </si>
  <si>
    <t>9 August 2026  9:42 PM</t>
  </si>
  <si>
    <t>15 mins 11 secs</t>
  </si>
  <si>
    <t>9 August 2026  10:17 PM</t>
  </si>
  <si>
    <t>12 mins 47 secs</t>
  </si>
  <si>
    <t>9 August 2026  10:27 PM</t>
  </si>
  <si>
    <t>7 mins 51 secs</t>
  </si>
  <si>
    <t>9 August 2026  10:37 PM</t>
  </si>
  <si>
    <t>9 August 2026  11:07 PM</t>
  </si>
  <si>
    <t>9 August 2026  10:51 PM</t>
  </si>
  <si>
    <t>16 mins 15 secs</t>
  </si>
  <si>
    <t>7 mins 30 secs</t>
  </si>
  <si>
    <t>9 August 2026  11:46 PM</t>
  </si>
  <si>
    <t>10 August 2026  12:13 AM</t>
  </si>
  <si>
    <t>26 mins 57 secs</t>
  </si>
  <si>
    <t>10 August 2026  3:15 PM</t>
  </si>
  <si>
    <t>10 August 2026  3:23 PM</t>
  </si>
  <si>
    <t>7 mins 49 secs</t>
  </si>
  <si>
    <t>10 August 2026  6:55 PM</t>
  </si>
  <si>
    <t>10 August 2026  6:56 PM</t>
  </si>
  <si>
    <t>10 August 2026  7:11 PM</t>
  </si>
  <si>
    <t>14 mins 27 secs</t>
  </si>
  <si>
    <t>10 August 2026  6:57 PM</t>
  </si>
  <si>
    <t>10 August 2026  7:27 PM</t>
  </si>
  <si>
    <t>10 August 2026  7:17 PM</t>
  </si>
  <si>
    <t>10 August 2026  7:29 PM</t>
  </si>
  <si>
    <t>10 August 2026  7:37 PM</t>
  </si>
  <si>
    <t>10 August 2026  7:43 PM</t>
  </si>
  <si>
    <t>10 August 2026  7:58 PM</t>
  </si>
  <si>
    <t>10 August 2026  8:17 PM</t>
  </si>
  <si>
    <t>20 mins 40 secs</t>
  </si>
  <si>
    <t>10 August 2026  8:01 PM</t>
  </si>
  <si>
    <t>11 mins 13 secs</t>
  </si>
  <si>
    <t>22.50</t>
  </si>
  <si>
    <t>10 August 2026  8:02 PM</t>
  </si>
  <si>
    <t>10 August 2026  8:03 PM</t>
  </si>
  <si>
    <t>10 August 2026  8:14 PM</t>
  </si>
  <si>
    <t>10 August 2026  8:07 PM</t>
  </si>
  <si>
    <t>10 August 2026  8:32 PM</t>
  </si>
  <si>
    <t>16 mins 57 secs</t>
  </si>
  <si>
    <t>10 August 2026  8:28 PM</t>
  </si>
  <si>
    <t>15 mins 53 secs</t>
  </si>
  <si>
    <t>10 August 2026  8:48 PM</t>
  </si>
  <si>
    <t>13 mins 30 secs</t>
  </si>
  <si>
    <t>17 mins 34 secs</t>
  </si>
  <si>
    <t>10 August 2026  9:03 PM</t>
  </si>
  <si>
    <t>10 August 2026  9:08 PM</t>
  </si>
  <si>
    <t>4 mins 18 secs</t>
  </si>
  <si>
    <t>2 mins 39 secs</t>
  </si>
  <si>
    <t>2 mins 13 secs</t>
  </si>
  <si>
    <t>11 mins 21 secs</t>
  </si>
  <si>
    <t>3 mins 39 secs</t>
  </si>
  <si>
    <t>10 August 2026  9:15 PM</t>
  </si>
  <si>
    <t>10 August 2026  9:28 PM</t>
  </si>
  <si>
    <t>7.50</t>
  </si>
  <si>
    <t>21 mins 37 secs</t>
  </si>
  <si>
    <t>10 August 2026  9:35 PM</t>
  </si>
  <si>
    <t>10 August 2026  9:57 PM</t>
  </si>
  <si>
    <t>11 mins 28 secs</t>
  </si>
  <si>
    <t>10 August 2026  9:49 PM</t>
  </si>
  <si>
    <t>6 mins 25 secs</t>
  </si>
  <si>
    <t>10 August 2026  10:15 PM</t>
  </si>
  <si>
    <t>10 August 2026  9:58 PM</t>
  </si>
  <si>
    <t>2 mins 14 secs</t>
  </si>
  <si>
    <t>10 August 2026  10:33 PM</t>
  </si>
  <si>
    <t>10 August 2026  10:04 PM</t>
  </si>
  <si>
    <t>10 August 2026  10:10 PM</t>
  </si>
  <si>
    <t>5 mins 23 secs</t>
  </si>
  <si>
    <t>10 August 2026  10:13 PM</t>
  </si>
  <si>
    <t>10 August 2026  10:23 PM</t>
  </si>
  <si>
    <t>10 August 2026  10:46 PM</t>
  </si>
  <si>
    <t>9 mins 18 secs</t>
  </si>
  <si>
    <t>10 August 2026  10:35 PM</t>
  </si>
  <si>
    <t>10 August 2026  10:40 PM</t>
  </si>
  <si>
    <t>11 mins 37 secs</t>
  </si>
  <si>
    <t>10 August 2026  10:45 PM</t>
  </si>
  <si>
    <t>10 August 2026  10:56 PM</t>
  </si>
  <si>
    <t>11 mins 4 secs</t>
  </si>
  <si>
    <t>10 August 2026  10:48 PM</t>
  </si>
  <si>
    <t>10 August 2026  11:18 PM</t>
  </si>
  <si>
    <t>10 August 2026  10:58 PM</t>
  </si>
  <si>
    <t>4 mins 48 secs</t>
  </si>
  <si>
    <t>10 August 2026  11:00 PM</t>
  </si>
  <si>
    <t>10 August 2026  11:02 PM</t>
  </si>
  <si>
    <t>1 min 50 secs</t>
  </si>
  <si>
    <t>10 August 2026  11:29 PM</t>
  </si>
  <si>
    <t>10 August 2026  11:25 PM</t>
  </si>
  <si>
    <t>10 August 2026  11:35 PM</t>
  </si>
  <si>
    <t>10 August 2026  11:36 PM</t>
  </si>
  <si>
    <t>11 August 2026  12:06 AM</t>
  </si>
  <si>
    <t>8 mins 44 secs</t>
  </si>
  <si>
    <t>11 August 2026  5:19 AM</t>
  </si>
  <si>
    <t>11 August 2026  5:34 AM</t>
  </si>
  <si>
    <t>11 August 2026  7:11 AM</t>
  </si>
  <si>
    <t>11 August 2026  7:41 AM</t>
  </si>
  <si>
    <t>11 August 2026  7:18 AM</t>
  </si>
  <si>
    <t>11 August 2026  7:33 AM</t>
  </si>
  <si>
    <t>11 August 2026  8:14 AM</t>
  </si>
  <si>
    <t>11 August 2026  8:25 AM</t>
  </si>
  <si>
    <t>11 mins 12 secs</t>
  </si>
  <si>
    <t>11 August 2026  8:26 AM</t>
  </si>
  <si>
    <t>1 min 19 secs</t>
  </si>
  <si>
    <t>11 August 2026  8:56 AM</t>
  </si>
  <si>
    <t>11 August 2026  8:48 AM</t>
  </si>
  <si>
    <t>11 August 2026  8:58 AM</t>
  </si>
  <si>
    <t>27 mins 35 secs</t>
  </si>
  <si>
    <t>11 August 2026  9:50 AM</t>
  </si>
  <si>
    <t>11 August 2026  10:20 AM</t>
  </si>
  <si>
    <t>30 mins 8 secs</t>
  </si>
  <si>
    <t>11 August 2026  10:32 AM</t>
  </si>
  <si>
    <t>11 August 2026  10:41 AM</t>
  </si>
  <si>
    <t>3 mins 20 secs</t>
  </si>
  <si>
    <t>11 August 2026  11:10 AM</t>
  </si>
  <si>
    <t>11 August 2026  11:22 AM</t>
  </si>
  <si>
    <t>11 August 2026  11:24 AM</t>
  </si>
  <si>
    <t>11 August 2026  11:40 AM</t>
  </si>
  <si>
    <t>15 mins 32 secs</t>
  </si>
  <si>
    <t>11 August 2026  11:48 AM</t>
  </si>
  <si>
    <t>7 mins 13 secs</t>
  </si>
  <si>
    <t>7 mins 27 secs</t>
  </si>
  <si>
    <t>11 August 2026  11:45 AM</t>
  </si>
  <si>
    <t>11 August 2026  12:00 PM</t>
  </si>
  <si>
    <t>11 August 2026  11:57 AM</t>
  </si>
  <si>
    <t>11 August 2026  12:05 PM</t>
  </si>
  <si>
    <t>8 mins 1 sec</t>
  </si>
  <si>
    <t>11 August 2026  11:59 AM</t>
  </si>
  <si>
    <t>56 secs</t>
  </si>
  <si>
    <t>11 August 2026  1:42 PM</t>
  </si>
  <si>
    <t>16 mins 51 secs</t>
  </si>
  <si>
    <t>11 August 2026  2:01 PM</t>
  </si>
  <si>
    <t>1 min 13 secs</t>
  </si>
  <si>
    <t>3 mins 54 secs</t>
  </si>
  <si>
    <t>11 August 2026  2:15 PM</t>
  </si>
  <si>
    <t>11 August 2026  2:31 PM</t>
  </si>
  <si>
    <t>11 August 2026  2:24 PM</t>
  </si>
  <si>
    <t>11 August 2026  2:28 PM</t>
  </si>
  <si>
    <t>11 August 2026  2:44 PM</t>
  </si>
  <si>
    <t>11 August 2026  2:35 PM</t>
  </si>
  <si>
    <t>11 August 2026  2:36 PM</t>
  </si>
  <si>
    <t>1 min 7 secs</t>
  </si>
  <si>
    <t>11 August 2026  2:39 PM</t>
  </si>
  <si>
    <t>11 August 2026  2:48 PM</t>
  </si>
  <si>
    <t>9 mins 1 sec</t>
  </si>
  <si>
    <t>11 August 2026  6:01 PM</t>
  </si>
  <si>
    <t>11 August 2026  6:20 PM</t>
  </si>
  <si>
    <t>11 August 2026  6:11 PM</t>
  </si>
  <si>
    <t>11 August 2026  6:24 PM</t>
  </si>
  <si>
    <t>11 August 2026  6:40 PM</t>
  </si>
  <si>
    <t>3 mins 25 secs</t>
  </si>
  <si>
    <t>11 August 2026  7:12 PM</t>
  </si>
  <si>
    <t>11 August 2026  7:24 PM</t>
  </si>
  <si>
    <t>11 August 2026  7:22 PM</t>
  </si>
  <si>
    <t>11 August 2026  7:13 PM</t>
  </si>
  <si>
    <t>11 August 2026  7:42 PM</t>
  </si>
  <si>
    <t>29 mins 24 secs</t>
  </si>
  <si>
    <t>11 August 2026  7:33 PM</t>
  </si>
  <si>
    <t>11 August 2026  8:23 PM</t>
  </si>
  <si>
    <t>30 mins 2 secs</t>
  </si>
  <si>
    <t>11 August 2026  7:59 PM</t>
  </si>
  <si>
    <t>11 August 2026  8:05 PM</t>
  </si>
  <si>
    <t>11 August 2026  8:08 PM</t>
  </si>
  <si>
    <t>11 August 2026  8:15 PM</t>
  </si>
  <si>
    <t>8 mins 32 secs</t>
  </si>
  <si>
    <t>11 August 2026  8:36 PM</t>
  </si>
  <si>
    <t>17 mins 23 secs</t>
  </si>
  <si>
    <t>11 August 2026  8:20 PM</t>
  </si>
  <si>
    <t>11 August 2026  8:40 PM</t>
  </si>
  <si>
    <t>11 August 2026  8:32 PM</t>
  </si>
  <si>
    <t>11 August 2026  8:24 PM</t>
  </si>
  <si>
    <t>11 August 2026  8:27 PM</t>
  </si>
  <si>
    <t>7 mins 6 secs</t>
  </si>
  <si>
    <t>11 August 2026  8:44 PM</t>
  </si>
  <si>
    <t>11 August 2026  8:47 PM</t>
  </si>
  <si>
    <t>17 mins 4 secs</t>
  </si>
  <si>
    <t>11 August 2026  9:06 PM</t>
  </si>
  <si>
    <t>11 August 2026  9:10 PM</t>
  </si>
  <si>
    <t>4 mins 6 secs</t>
  </si>
  <si>
    <t>11 August 2026  9:23 PM</t>
  </si>
  <si>
    <t>16 mins 49 secs</t>
  </si>
  <si>
    <t>11 August 2026  9:14 PM</t>
  </si>
  <si>
    <t>4 mins 33 secs</t>
  </si>
  <si>
    <t>11 August 2026  9:21 PM</t>
  </si>
  <si>
    <t>11 August 2026  9:35 PM</t>
  </si>
  <si>
    <t>11 August 2026  9:22 PM</t>
  </si>
  <si>
    <t>11 August 2026  9:27 PM</t>
  </si>
  <si>
    <t>4 mins 35 secs</t>
  </si>
  <si>
    <t>11 August 2026  9:39 PM</t>
  </si>
  <si>
    <t>14 mins 6 secs</t>
  </si>
  <si>
    <t>11 August 2026  9:30 PM</t>
  </si>
  <si>
    <t>4 mins 47 secs</t>
  </si>
  <si>
    <t>11 August 2026  9:33 PM</t>
  </si>
  <si>
    <t>14 mins 30 secs</t>
  </si>
  <si>
    <t>11 August 2026  9:52 PM</t>
  </si>
  <si>
    <t>11 August 2026  9:47 PM</t>
  </si>
  <si>
    <t>11 August 2026  10:07 PM</t>
  </si>
  <si>
    <t>20 mins 17 secs</t>
  </si>
  <si>
    <t>11 August 2026  10:06 PM</t>
  </si>
  <si>
    <t>11 August 2026  10:11 PM</t>
  </si>
  <si>
    <t>11 August 2026  10:09 PM</t>
  </si>
  <si>
    <t>11 August 2026  10:19 PM</t>
  </si>
  <si>
    <t>11 August 2026  10:13 PM</t>
  </si>
  <si>
    <t>8 mins 41 secs</t>
  </si>
  <si>
    <t>11 August 2026  10:23 PM</t>
  </si>
  <si>
    <t>11 August 2026  10:33 PM</t>
  </si>
  <si>
    <t>11 August 2026  10:53 PM</t>
  </si>
  <si>
    <t>11 August 2026  11:05 PM</t>
  </si>
  <si>
    <t>11 August 2026  11:32 PM</t>
  </si>
  <si>
    <t>21 mins 6 secs</t>
  </si>
  <si>
    <t>12 August 2026  12:10 AM</t>
  </si>
  <si>
    <t>12 August 2026  12:05 AM</t>
  </si>
  <si>
    <t>12 August 2026  12:18 AM</t>
  </si>
  <si>
    <t>13 mins 2 secs</t>
  </si>
  <si>
    <t>12 August 2026  6:23 AM</t>
  </si>
  <si>
    <t>12 August 2026  6:28 AM</t>
  </si>
  <si>
    <t>5 mins 22 secs</t>
  </si>
  <si>
    <t>12 August 2026  6:36 AM</t>
  </si>
  <si>
    <t>12 August 2026  6:41 AM</t>
  </si>
  <si>
    <t>4 mins 55 secs</t>
  </si>
  <si>
    <t>12 August 2026  6:56 AM</t>
  </si>
  <si>
    <t>19 mins 21 secs</t>
  </si>
  <si>
    <t>12 August 2026  7:59 AM</t>
  </si>
  <si>
    <t>12 August 2026  8:25 AM</t>
  </si>
  <si>
    <t>12 August 2026  10:07 AM</t>
  </si>
  <si>
    <t>12 August 2026  10:27 AM</t>
  </si>
  <si>
    <t>19 mins 24 secs</t>
  </si>
  <si>
    <t>12 August 2026  11:20 AM</t>
  </si>
  <si>
    <t>4 mins 46 secs</t>
  </si>
  <si>
    <t>12 August 2026  11:36 AM</t>
  </si>
  <si>
    <t>12 August 2026  11:37 AM</t>
  </si>
  <si>
    <t>12 August 2026  11:41 AM</t>
  </si>
  <si>
    <t>12 August 2026  11:44 AM</t>
  </si>
  <si>
    <t>3 mins 12 secs</t>
  </si>
  <si>
    <t>12 August 2026  12:27 PM</t>
  </si>
  <si>
    <t>4 mins 3 secs</t>
  </si>
  <si>
    <t>2 mins 48 secs</t>
  </si>
  <si>
    <t>17 mins 14 secs</t>
  </si>
  <si>
    <t>1 min 27 secs</t>
  </si>
  <si>
    <t>12 August 2026  2:27 PM</t>
  </si>
  <si>
    <t>1 min 1 sec</t>
  </si>
  <si>
    <t>16 mins 24 secs</t>
  </si>
  <si>
    <t>12 August 2026  2:30 PM</t>
  </si>
  <si>
    <t>20 mins</t>
  </si>
  <si>
    <t>11 mins 54 secs</t>
  </si>
  <si>
    <t>12 August 2026  2:18 PM</t>
  </si>
  <si>
    <t>1 min 59 secs</t>
  </si>
  <si>
    <t>12 August 2026  2:22 PM</t>
  </si>
  <si>
    <t>4 mins 4 secs</t>
  </si>
  <si>
    <t>9 mins 53 secs</t>
  </si>
  <si>
    <t>12 August 2026  2:44 PM</t>
  </si>
  <si>
    <t>2 mins 58 secs</t>
  </si>
  <si>
    <t>12 August 2026  3:00 PM</t>
  </si>
  <si>
    <t>17 mins 26 secs</t>
  </si>
  <si>
    <t>16.50</t>
  </si>
  <si>
    <t>3 mins 49 secs</t>
  </si>
  <si>
    <t>2 mins 19 secs</t>
  </si>
  <si>
    <t>12 August 2026  3:02 PM</t>
  </si>
  <si>
    <t>12 August 2026  2:57 PM</t>
  </si>
  <si>
    <t>7 mins 16 secs</t>
  </si>
  <si>
    <t>12 August 2026  3:03 PM</t>
  </si>
  <si>
    <t>12 August 2026  3:26 PM</t>
  </si>
  <si>
    <t>12 August 2026  3:42 PM</t>
  </si>
  <si>
    <t>12 August 2026  3:56 PM</t>
  </si>
  <si>
    <t>9 mins 34 secs</t>
  </si>
  <si>
    <t>12 August 2026  3:59 PM</t>
  </si>
  <si>
    <t>12 August 2026  4:29 PM</t>
  </si>
  <si>
    <t>21 mins 2 secs</t>
  </si>
  <si>
    <t>12 August 2026  6:35 PM</t>
  </si>
  <si>
    <t>12 August 2026  6:37 PM</t>
  </si>
  <si>
    <t>1 min 26 secs</t>
  </si>
  <si>
    <t>12 August 2026  6:39 PM</t>
  </si>
  <si>
    <t>12 August 2026  7:02 PM</t>
  </si>
  <si>
    <t>23 mins 20 secs</t>
  </si>
  <si>
    <t>12 August 2026  6:44 PM</t>
  </si>
  <si>
    <t>12 August 2026  6:48 PM</t>
  </si>
  <si>
    <t>1 min 41 secs</t>
  </si>
  <si>
    <t>12 August 2026  6:52 PM</t>
  </si>
  <si>
    <t>12 August 2026  6:57 PM</t>
  </si>
  <si>
    <t>12 August 2026  7:18 PM</t>
  </si>
  <si>
    <t>12 August 2026  7:28 PM</t>
  </si>
  <si>
    <t>12 August 2026  7:48 PM</t>
  </si>
  <si>
    <t>9.50</t>
  </si>
  <si>
    <t>1.50</t>
  </si>
  <si>
    <t>12 August 2026  7:33 PM</t>
  </si>
  <si>
    <t>12 August 2026  7:38 PM</t>
  </si>
  <si>
    <t>4 mins 51 secs</t>
  </si>
  <si>
    <t>12 August 2026  8:01 PM</t>
  </si>
  <si>
    <t>18 mins 46 secs</t>
  </si>
  <si>
    <t>12 August 2026  8:10 PM</t>
  </si>
  <si>
    <t>12 August 2026  8:12 PM</t>
  </si>
  <si>
    <t>12 August 2026  8:23 PM</t>
  </si>
  <si>
    <t>12 August 2026  8:40 PM</t>
  </si>
  <si>
    <t>12 August 2026  8:38 PM</t>
  </si>
  <si>
    <t>12 August 2026  9:05 PM</t>
  </si>
  <si>
    <t>27 mins</t>
  </si>
  <si>
    <t>12 August 2026  8:53 PM</t>
  </si>
  <si>
    <t>12 August 2026  9:04 PM</t>
  </si>
  <si>
    <t>12 August 2026  8:56 PM</t>
  </si>
  <si>
    <t>12 August 2026  8:57 PM</t>
  </si>
  <si>
    <t>12 August 2026  9:02 PM</t>
  </si>
  <si>
    <t>5 mins 1 sec</t>
  </si>
  <si>
    <t>12 August 2026  9:30 PM</t>
  </si>
  <si>
    <t>2 mins 44 secs</t>
  </si>
  <si>
    <t>12 August 2026  9:31 PM</t>
  </si>
  <si>
    <t>5 mins 19 secs</t>
  </si>
  <si>
    <t>12 August 2026  9:40 PM</t>
  </si>
  <si>
    <t>5 mins 26 secs</t>
  </si>
  <si>
    <t>12 August 2026  9:53 PM</t>
  </si>
  <si>
    <t>12 August 2026  9:41 PM</t>
  </si>
  <si>
    <t>1 min 3 secs</t>
  </si>
  <si>
    <t>12 August 2026  9:54 PM</t>
  </si>
  <si>
    <t>14 mins 37 secs</t>
  </si>
  <si>
    <t>12 August 2026  10:01 PM</t>
  </si>
  <si>
    <t>12 August 2026  9:58 PM</t>
  </si>
  <si>
    <t>12 August 2026  10:00 PM</t>
  </si>
  <si>
    <t>2 mins</t>
  </si>
  <si>
    <t>12 August 2026  10:02 PM</t>
  </si>
  <si>
    <t>12 August 2026  10:05 PM</t>
  </si>
  <si>
    <t>3 mins 23 secs</t>
  </si>
  <si>
    <t>12 August 2026  10:12 PM</t>
  </si>
  <si>
    <t>2 mins 5 secs</t>
  </si>
  <si>
    <t>12 August 2026  10:23 PM</t>
  </si>
  <si>
    <t>13 mins 26 secs</t>
  </si>
  <si>
    <t>12 August 2026  10:46 PM</t>
  </si>
  <si>
    <t>12 August 2026  11:08 PM</t>
  </si>
  <si>
    <t>22 mins 23 secs</t>
  </si>
  <si>
    <t>12 August 2026  10:56 PM</t>
  </si>
  <si>
    <t>12 August 2026  10:52 PM</t>
  </si>
  <si>
    <t>12 August 2026  11:01 PM</t>
  </si>
  <si>
    <t>12 August 2026  11:21 PM</t>
  </si>
  <si>
    <t>12 August 2026  11:39 PM</t>
  </si>
  <si>
    <t>18 mins 31 secs</t>
  </si>
  <si>
    <t>12 August 2026  11:45 PM</t>
  </si>
  <si>
    <t>12 August 2026  11:54 PM</t>
  </si>
  <si>
    <t>8 mins 47 secs</t>
  </si>
  <si>
    <t>13 August 2026  6:36 AM</t>
  </si>
  <si>
    <t>13 August 2026  6:49 AM</t>
  </si>
  <si>
    <t>21.50</t>
  </si>
  <si>
    <t>13 August 2026  9:18 AM</t>
  </si>
  <si>
    <t>13 August 2026  9:23 AM</t>
  </si>
  <si>
    <t>4 mins 34 secs</t>
  </si>
  <si>
    <t>13 August 2026  9:37 AM</t>
  </si>
  <si>
    <t>13 August 2026  9:49 AM</t>
  </si>
  <si>
    <t>13 August 2026  12:57 PM</t>
  </si>
  <si>
    <t>13 August 2026  1:07 PM</t>
  </si>
  <si>
    <t>10 mins 11 secs</t>
  </si>
  <si>
    <t>13 August 2026  1:46 PM</t>
  </si>
  <si>
    <t>13 August 2026  1:59 PM</t>
  </si>
  <si>
    <t>13 mins 3 secs</t>
  </si>
  <si>
    <t>13 August 2026  2:35 PM</t>
  </si>
  <si>
    <t>13 August 2026  2:50 PM</t>
  </si>
  <si>
    <t>13 August 2026  2:38 PM</t>
  </si>
  <si>
    <t>13 August 2026  2:48 PM</t>
  </si>
  <si>
    <t>15 mins 14 secs</t>
  </si>
  <si>
    <t>13 August 2026  2:39 PM</t>
  </si>
  <si>
    <t>13 August 2026  2:58 PM</t>
  </si>
  <si>
    <t>19 mins 5 secs</t>
  </si>
  <si>
    <t>13 August 2026  2:40 PM</t>
  </si>
  <si>
    <t>13 August 2026  2:57 PM</t>
  </si>
  <si>
    <t>16 mins 50 secs</t>
  </si>
  <si>
    <t>13 August 2026  2:42 PM</t>
  </si>
  <si>
    <t>13 August 2026  2:56 PM</t>
  </si>
  <si>
    <t>13 mins 46 secs</t>
  </si>
  <si>
    <t>13 August 2026  3:03 PM</t>
  </si>
  <si>
    <t>13 August 2026  3:17 PM</t>
  </si>
  <si>
    <t>14 mins 26 secs</t>
  </si>
  <si>
    <t>13 August 2026  3:06 PM</t>
  </si>
  <si>
    <t>13 August 2026  3:10 PM</t>
  </si>
  <si>
    <t>13 August 2026  6:36 PM</t>
  </si>
  <si>
    <t>13 August 2026  6:40 PM</t>
  </si>
  <si>
    <t>13 August 2026  7:02 PM</t>
  </si>
  <si>
    <t>13 August 2026  7:18 PM</t>
  </si>
  <si>
    <t>13 August 2026  7:24 PM</t>
  </si>
  <si>
    <t>6 mins 16 secs</t>
  </si>
  <si>
    <t>13 August 2026  7:37 PM</t>
  </si>
  <si>
    <t>13 August 2026  8:02 PM</t>
  </si>
  <si>
    <t>13 August 2026  7:39 PM</t>
  </si>
  <si>
    <t>13 August 2026  7:45 PM</t>
  </si>
  <si>
    <t>13 August 2026  8:03 PM</t>
  </si>
  <si>
    <t>13 August 2026  9:00 PM</t>
  </si>
  <si>
    <t>13 August 2026  8:33 PM</t>
  </si>
  <si>
    <t>26 mins 24 secs</t>
  </si>
  <si>
    <t>13 August 2026  8:38 PM</t>
  </si>
  <si>
    <t>21 mins 18 secs</t>
  </si>
  <si>
    <t>13 August 2026  8:51 PM</t>
  </si>
  <si>
    <t>13 mins 25 secs</t>
  </si>
  <si>
    <t>13 August 2026  8:44 PM</t>
  </si>
  <si>
    <t>13 mins 33 secs</t>
  </si>
  <si>
    <t>13 August 2026  8:49 PM</t>
  </si>
  <si>
    <t>13 August 2026  9:05 PM</t>
  </si>
  <si>
    <t>13 August 2026  9:02 PM</t>
  </si>
  <si>
    <t>50 secs</t>
  </si>
  <si>
    <t>13 August 2026  9:32 PM</t>
  </si>
  <si>
    <t>13 August 2026  9:20 PM</t>
  </si>
  <si>
    <t>13 August 2026  9:50 PM</t>
  </si>
  <si>
    <t>13 August 2026  9:37 PM</t>
  </si>
  <si>
    <t>13 August 2026  9:38 PM</t>
  </si>
  <si>
    <t>1 min 32 secs</t>
  </si>
  <si>
    <t>13 August 2026  9:42 PM</t>
  </si>
  <si>
    <t>13 August 2026  9:58 PM</t>
  </si>
  <si>
    <t>13 August 2026  10:22 PM</t>
  </si>
  <si>
    <t>23 mins 45 secs</t>
  </si>
  <si>
    <t>13 August 2026  10:29 PM</t>
  </si>
  <si>
    <t>13 August 2026  10:44 PM</t>
  </si>
  <si>
    <t>13 August 2026  11:17 PM</t>
  </si>
  <si>
    <t>13 August 2026  11:21 PM</t>
  </si>
  <si>
    <t>4 mins 39 secs</t>
  </si>
  <si>
    <t>5 mins 36 secs</t>
  </si>
  <si>
    <t>14 August 2026  11:58 AM</t>
  </si>
  <si>
    <t>14 August 2026  12:20 PM</t>
  </si>
  <si>
    <t>21 mins 33 secs</t>
  </si>
  <si>
    <t>14 August 2026  1:54 PM</t>
  </si>
  <si>
    <t>14 August 2026  2:16 PM</t>
  </si>
  <si>
    <t>22 mins 2 secs</t>
  </si>
  <si>
    <t>14 August 2026  1:55 PM</t>
  </si>
  <si>
    <t>14 August 2026  2:14 PM</t>
  </si>
  <si>
    <t>14 August 2026  6:18 PM</t>
  </si>
  <si>
    <t>14 August 2026  6:29 PM</t>
  </si>
  <si>
    <t>14 August 2026  6:24 PM</t>
  </si>
  <si>
    <t>14 August 2026  6:25 PM</t>
  </si>
  <si>
    <t>1 min 42 secs</t>
  </si>
  <si>
    <t>14 August 2026  6:50 PM</t>
  </si>
  <si>
    <t>14 August 2026  6:53 PM</t>
  </si>
  <si>
    <t>14 August 2026  6:56 PM</t>
  </si>
  <si>
    <t>14 August 2026  6:59 PM</t>
  </si>
  <si>
    <t>1 min 17 secs</t>
  </si>
  <si>
    <t>17 mins 2 secs</t>
  </si>
  <si>
    <t>2 mins 8 secs</t>
  </si>
  <si>
    <t>14 August 2026  7:33 PM</t>
  </si>
  <si>
    <t>14 August 2026  7:39 PM</t>
  </si>
  <si>
    <t>14 August 2026  7:45 PM</t>
  </si>
  <si>
    <t>2 mins 53 secs</t>
  </si>
  <si>
    <t>14 August 2026  7:53 PM</t>
  </si>
  <si>
    <t>14 August 2026  8:05 PM</t>
  </si>
  <si>
    <t>11 mins 11 secs</t>
  </si>
  <si>
    <t>14 August 2026  8:13 PM</t>
  </si>
  <si>
    <t>14 August 2026  8:26 PM</t>
  </si>
  <si>
    <t>20 mins 38 secs</t>
  </si>
  <si>
    <t>19 mins 53 secs</t>
  </si>
  <si>
    <t>14 August 2026  8:11 PM</t>
  </si>
  <si>
    <t>5 mins 2 secs</t>
  </si>
  <si>
    <t>18 mins 51 secs</t>
  </si>
  <si>
    <t>20 mins 18 secs</t>
  </si>
  <si>
    <t>14 August 2026  8:30 PM</t>
  </si>
  <si>
    <t>13 mins 27 secs</t>
  </si>
  <si>
    <t>14 August 2026  8:41 PM</t>
  </si>
  <si>
    <t>6 mins 57 secs</t>
  </si>
  <si>
    <t>14 August 2026  8:45 PM</t>
  </si>
  <si>
    <t>14 August 2026  9:14 PM</t>
  </si>
  <si>
    <t>14 August 2026  8:51 PM</t>
  </si>
  <si>
    <t>14 August 2026  9:07 PM</t>
  </si>
  <si>
    <t>15 mins 19 secs</t>
  </si>
  <si>
    <t>3 mins 55 secs</t>
  </si>
  <si>
    <t>23 mins 4 secs</t>
  </si>
  <si>
    <t>14 August 2026  9:20 PM</t>
  </si>
  <si>
    <t>17.50</t>
  </si>
  <si>
    <t>14 August 2026  9:23 PM</t>
  </si>
  <si>
    <t>16 mins 27 secs</t>
  </si>
  <si>
    <t>14 August 2026  9:18 PM</t>
  </si>
  <si>
    <t>6 mins 38 secs</t>
  </si>
  <si>
    <t>14 August 2026  9:13 PM</t>
  </si>
  <si>
    <t>14 August 2026  9:33 PM</t>
  </si>
  <si>
    <t>14 mins 54 secs</t>
  </si>
  <si>
    <t>14 August 2026  9:46 PM</t>
  </si>
  <si>
    <t>49 secs</t>
  </si>
  <si>
    <t>1 min 12 secs</t>
  </si>
  <si>
    <t>14 August 2026  10:33 PM</t>
  </si>
  <si>
    <t>25 mins 27 secs</t>
  </si>
  <si>
    <t>14 August 2026  10:27 PM</t>
  </si>
  <si>
    <t>13 mins 12 secs</t>
  </si>
  <si>
    <t>14 August 2026  10:15 PM</t>
  </si>
  <si>
    <t>15 mins 52 secs</t>
  </si>
  <si>
    <t>14 August 2026  10:17 PM</t>
  </si>
  <si>
    <t>14 August 2026  10:20 PM</t>
  </si>
  <si>
    <t>14 August 2026  10:28 PM</t>
  </si>
  <si>
    <t>38 secs</t>
  </si>
  <si>
    <t>14 August 2026  10:34 PM</t>
  </si>
  <si>
    <t>1 min 23 secs</t>
  </si>
  <si>
    <t>5 mins 54 secs</t>
  </si>
  <si>
    <t>14 August 2026  10:35 PM</t>
  </si>
  <si>
    <t>1 min 18 secs</t>
  </si>
  <si>
    <t>14 August 2026  10:55 PM</t>
  </si>
  <si>
    <t>17 mins 24 secs</t>
  </si>
  <si>
    <t>14.50</t>
  </si>
  <si>
    <t>36 secs</t>
  </si>
  <si>
    <t>14 August 2026  11:04 PM</t>
  </si>
  <si>
    <t>14 August 2026  10:44 PM</t>
  </si>
  <si>
    <t>14 August 2026  10:45 PM</t>
  </si>
  <si>
    <t>14 August 2026  10:51 PM</t>
  </si>
  <si>
    <t>14 August 2026  11:08 PM</t>
  </si>
  <si>
    <t>16 mins 45 secs</t>
  </si>
  <si>
    <t>14 August 2026  10:56 PM</t>
  </si>
  <si>
    <t>14 August 2026  10:59 PM</t>
  </si>
  <si>
    <t>2 mins 50 secs</t>
  </si>
  <si>
    <t>14 August 2026  11:14 PM</t>
  </si>
  <si>
    <t>14 August 2026  11:15 PM</t>
  </si>
  <si>
    <t>14 August 2026  11:36 PM</t>
  </si>
  <si>
    <t>21 mins 21 secs</t>
  </si>
  <si>
    <t>4.50</t>
  </si>
  <si>
    <t>14 August 2026  11:37 PM</t>
  </si>
  <si>
    <t>14 August 2026  11:40 PM</t>
  </si>
  <si>
    <t>15 August 2026  5:17 AM</t>
  </si>
  <si>
    <t>15 August 2026  5:29 AM</t>
  </si>
  <si>
    <t>15 August 2026  8:23 AM</t>
  </si>
  <si>
    <t>15 August 2026  8:36 AM</t>
  </si>
  <si>
    <t>15 August 2026  8:30 AM</t>
  </si>
  <si>
    <t>15 August 2026  8:35 AM</t>
  </si>
  <si>
    <t>15 August 2026  8:57 AM</t>
  </si>
  <si>
    <t>15 August 2026  9:07 AM</t>
  </si>
  <si>
    <t>1 min 46 secs</t>
  </si>
  <si>
    <t>15 August 2026  9:57 AM</t>
  </si>
  <si>
    <t>11 mins 15 secs</t>
  </si>
  <si>
    <t>15 August 2026  9:53 AM</t>
  </si>
  <si>
    <t>15 August 2026  10:23 AM</t>
  </si>
  <si>
    <t>15 August 2026  10:40 AM</t>
  </si>
  <si>
    <t>15 August 2026  10:46 AM</t>
  </si>
  <si>
    <t>15 August 2026  11:12 AM</t>
  </si>
  <si>
    <t>15 August 2026  11:24 AM</t>
  </si>
  <si>
    <t>15 August 2026  11:20 AM</t>
  </si>
  <si>
    <t>18 mins 45 secs</t>
  </si>
  <si>
    <t>15 August 2026  11:55 AM</t>
  </si>
  <si>
    <t>23 mins 2 secs</t>
  </si>
  <si>
    <t>15 August 2026  12:02 PM</t>
  </si>
  <si>
    <t>15 August 2026  11:52 AM</t>
  </si>
  <si>
    <t>15 August 2026  12:17 PM</t>
  </si>
  <si>
    <t>15 August 2026  11:56 AM</t>
  </si>
  <si>
    <t>1 min 55 secs</t>
  </si>
  <si>
    <t>15 August 2026  12:03 PM</t>
  </si>
  <si>
    <t>3 mins 22 secs</t>
  </si>
  <si>
    <t>15 August 2026  12:01 PM</t>
  </si>
  <si>
    <t>19 mins 12 secs</t>
  </si>
  <si>
    <t>15.50</t>
  </si>
  <si>
    <t>15 August 2026  12:14 PM</t>
  </si>
  <si>
    <t>15 August 2026  12:40 PM</t>
  </si>
  <si>
    <t>15 August 2026  1:11 PM</t>
  </si>
  <si>
    <t>15 mins 50 secs</t>
  </si>
  <si>
    <t>15 August 2026  12:57 PM</t>
  </si>
  <si>
    <t>15 August 2026  1:27 PM</t>
  </si>
  <si>
    <t>29 mins 30 secs</t>
  </si>
  <si>
    <t>15 August 2026  1:03 PM</t>
  </si>
  <si>
    <t>3 mins 17 secs</t>
  </si>
  <si>
    <t>15 August 2026  1:01 PM</t>
  </si>
  <si>
    <t>15 August 2026  1:15 PM</t>
  </si>
  <si>
    <t>15 August 2026  1:04 PM</t>
  </si>
  <si>
    <t>15 August 2026  1:25 PM</t>
  </si>
  <si>
    <t>15 August 2026  1:20 PM</t>
  </si>
  <si>
    <t>15 August 2026  1:34 PM</t>
  </si>
  <si>
    <t>15 August 2026  1:56 PM</t>
  </si>
  <si>
    <t>15 August 2026  2:09 PM</t>
  </si>
  <si>
    <t>13 mins 14 secs</t>
  </si>
  <si>
    <t>15 August 2026  2:24 PM</t>
  </si>
  <si>
    <t>15 August 2026  2:52 PM</t>
  </si>
  <si>
    <t>28 mins 19 secs</t>
  </si>
  <si>
    <t>15 August 2026  3:24 PM</t>
  </si>
  <si>
    <t>15 August 2026  3:51 PM</t>
  </si>
  <si>
    <t>15 August 2026  3:25 PM</t>
  </si>
  <si>
    <t>15 August 2026  3:46 PM</t>
  </si>
  <si>
    <t>15 August 2026  4:12 PM</t>
  </si>
  <si>
    <t>25 mins 35 secs</t>
  </si>
  <si>
    <t>15 August 2026  4:16 PM</t>
  </si>
  <si>
    <t>15 August 2026  4:27 PM</t>
  </si>
  <si>
    <t>11 mins 14 secs</t>
  </si>
  <si>
    <t>15 August 2026  4:41 PM</t>
  </si>
  <si>
    <t>15 August 2026  5:06 PM</t>
  </si>
  <si>
    <t>15 August 2026  4:54 PM</t>
  </si>
  <si>
    <t>15 August 2026  5:13 PM</t>
  </si>
  <si>
    <t>19 mins 14 secs</t>
  </si>
  <si>
    <t>15 August 2026  6:13 PM</t>
  </si>
  <si>
    <t>15 August 2026  6:24 PM</t>
  </si>
  <si>
    <t>10 mins 34 secs</t>
  </si>
  <si>
    <t>15 August 2026  6:41 PM</t>
  </si>
  <si>
    <t>15 August 2026  7:41 PM</t>
  </si>
  <si>
    <t>15 August 2026  7:42 PM</t>
  </si>
  <si>
    <t>1 min 10 secs</t>
  </si>
  <si>
    <t>15 August 2026  7:55 PM</t>
  </si>
  <si>
    <t>15 August 2026  7:57 PM</t>
  </si>
  <si>
    <t>1 min 34 secs</t>
  </si>
  <si>
    <t>15 August 2026  8:01 PM</t>
  </si>
  <si>
    <t>4 mins 20 secs</t>
  </si>
  <si>
    <t>15 August 2026  8:16 PM</t>
  </si>
  <si>
    <t>15 August 2026  8:07 PM</t>
  </si>
  <si>
    <t>15 August 2026  8:30 PM</t>
  </si>
  <si>
    <t>15 August 2026  8:08 PM</t>
  </si>
  <si>
    <t>15 August 2026  8:29 PM</t>
  </si>
  <si>
    <t>20 mins 34 secs</t>
  </si>
  <si>
    <t>15 August 2026  8:14 PM</t>
  </si>
  <si>
    <t>15 August 2026  8:50 PM</t>
  </si>
  <si>
    <t>15 August 2026  9:37 PM</t>
  </si>
  <si>
    <t>15 August 2026  9:18 PM</t>
  </si>
  <si>
    <t>8 mins 39 secs</t>
  </si>
  <si>
    <t>15 August 2026  9:23 PM</t>
  </si>
  <si>
    <t>15 August 2026  9:24 PM</t>
  </si>
  <si>
    <t>15 August 2026  9:51 PM</t>
  </si>
  <si>
    <t>15 August 2026  10:02 PM</t>
  </si>
  <si>
    <t>11 mins 5 secs</t>
  </si>
  <si>
    <t>15 August 2026  10:04 PM</t>
  </si>
  <si>
    <t>15 August 2026  10:08 PM</t>
  </si>
  <si>
    <t>15 August 2026  10:43 PM</t>
  </si>
  <si>
    <t>15 August 2026  10:45 PM</t>
  </si>
  <si>
    <t>16 August 2026  8:29 AM</t>
  </si>
  <si>
    <t>7 mins 32 secs</t>
  </si>
  <si>
    <t>16 August 2026  8:24 AM</t>
  </si>
  <si>
    <t>16 August 2026  8:28 AM</t>
  </si>
  <si>
    <t>16 August 2026  8:34 AM</t>
  </si>
  <si>
    <t>16 August 2026  8:40 AM</t>
  </si>
  <si>
    <t>6 mins 17 secs</t>
  </si>
  <si>
    <t>16 August 2026  8:43 AM</t>
  </si>
  <si>
    <t>16 August 2026  9:06 AM</t>
  </si>
  <si>
    <t>2 mins 21 secs</t>
  </si>
  <si>
    <t>16 August 2026  9:15 AM</t>
  </si>
  <si>
    <t>16 August 2026  9:44 AM</t>
  </si>
  <si>
    <t>3 mins 1 sec</t>
  </si>
  <si>
    <t>16 August 2026  10:02 AM</t>
  </si>
  <si>
    <t>16 August 2026  10:25 AM</t>
  </si>
  <si>
    <t>16 August 2026  9:57 AM</t>
  </si>
  <si>
    <t>16 August 2026  10:05 AM</t>
  </si>
  <si>
    <t>16 August 2026  10:22 AM</t>
  </si>
  <si>
    <t>16 August 2026  10:24 AM</t>
  </si>
  <si>
    <t>1 min 49 secs</t>
  </si>
  <si>
    <t>16 August 2026  10:29 AM</t>
  </si>
  <si>
    <t>16 August 2026  10:43 AM</t>
  </si>
  <si>
    <t>16 August 2026  10:33 AM</t>
  </si>
  <si>
    <t>16 August 2026  10:37 AM</t>
  </si>
  <si>
    <t>14 mins 44 secs</t>
  </si>
  <si>
    <t>16 August 2026  10:45 AM</t>
  </si>
  <si>
    <t>7 mins 50 secs</t>
  </si>
  <si>
    <t>16 August 2026  10:50 AM</t>
  </si>
  <si>
    <t>16 August 2026  10:53 AM</t>
  </si>
  <si>
    <t>16 August 2026  10:56 AM</t>
  </si>
  <si>
    <t>16 August 2026  11:25 AM</t>
  </si>
  <si>
    <t>29 mins 51 secs</t>
  </si>
  <si>
    <t>16 August 2026  11:03 AM</t>
  </si>
  <si>
    <t>16 August 2026  11:21 AM</t>
  </si>
  <si>
    <t>16 August 2026  11:05 AM</t>
  </si>
  <si>
    <t>5 mins 28 secs</t>
  </si>
  <si>
    <t>16 August 2026  11:19 AM</t>
  </si>
  <si>
    <t>16 August 2026  11:20 AM</t>
  </si>
  <si>
    <t>4 mins 57 secs</t>
  </si>
  <si>
    <t>16 August 2026  11:30 AM</t>
  </si>
  <si>
    <t>5 mins 56 secs</t>
  </si>
  <si>
    <t>16 August 2026  11:34 AM</t>
  </si>
  <si>
    <t>16 August 2026  11:54 AM</t>
  </si>
  <si>
    <t>20 mins 33 secs</t>
  </si>
  <si>
    <t>16 August 2026  11:47 AM</t>
  </si>
  <si>
    <t>16 August 2026  11:59 AM</t>
  </si>
  <si>
    <t>12 mins 39 secs</t>
  </si>
  <si>
    <t>16 August 2026  12:30 PM</t>
  </si>
  <si>
    <t>16 August 2026  12:02 PM</t>
  </si>
  <si>
    <t>16 August 2026  12:12 PM</t>
  </si>
  <si>
    <t>9 mins 58 secs</t>
  </si>
  <si>
    <t>16 August 2026  12:32 PM</t>
  </si>
  <si>
    <t>16 August 2026  12:43 PM</t>
  </si>
  <si>
    <t>16 August 2026  12:37 PM</t>
  </si>
  <si>
    <t>16 August 2026  12:51 PM</t>
  </si>
  <si>
    <t>14 mins 9 secs</t>
  </si>
  <si>
    <t>13 mins 53 secs</t>
  </si>
  <si>
    <t>16 August 2026  1:02 PM</t>
  </si>
  <si>
    <t>7 mins 3 secs</t>
  </si>
  <si>
    <t>16 August 2026  12:57 PM</t>
  </si>
  <si>
    <t>16 August 2026  1:14 PM</t>
  </si>
  <si>
    <t>17 mins 17 secs</t>
  </si>
  <si>
    <t>10 mins 17 secs</t>
  </si>
  <si>
    <t>16 August 2026  1:30 PM</t>
  </si>
  <si>
    <t>16 August 2026  1:49 PM</t>
  </si>
  <si>
    <t>16 August 2026  2:05 PM</t>
  </si>
  <si>
    <t>16 August 2026  2:20 PM</t>
  </si>
  <si>
    <t>16 August 2026  2:25 PM</t>
  </si>
  <si>
    <t>16 August 2026  2:36 PM</t>
  </si>
  <si>
    <t>16 August 2026  2:30 PM</t>
  </si>
  <si>
    <t>16 August 2026  3:22 PM</t>
  </si>
  <si>
    <t>16 August 2026  3:48 PM</t>
  </si>
  <si>
    <t>26 mins 12 secs</t>
  </si>
  <si>
    <t>16 August 2026  3:24 PM</t>
  </si>
  <si>
    <t>16 August 2026  3:49 PM</t>
  </si>
  <si>
    <t>24 mins 16 secs</t>
  </si>
  <si>
    <t>16 August 2026  3:40 PM</t>
  </si>
  <si>
    <t>16 August 2026  3:54 PM</t>
  </si>
  <si>
    <t>16 August 2026  3:47 PM</t>
  </si>
  <si>
    <t>16 August 2026  3:59 PM</t>
  </si>
  <si>
    <t>16 August 2026  3:56 PM</t>
  </si>
  <si>
    <t>3 mins 11 secs</t>
  </si>
  <si>
    <t>16 August 2026  4:30 PM</t>
  </si>
  <si>
    <t>16 August 2026  4:10 PM</t>
  </si>
  <si>
    <t>16 August 2026  4:36 PM</t>
  </si>
  <si>
    <t>16 August 2026  4:47 PM</t>
  </si>
  <si>
    <t>10 mins 41 secs</t>
  </si>
  <si>
    <t>16 August 2026  5:09 PM</t>
  </si>
  <si>
    <t>16 August 2026  5:02 PM</t>
  </si>
  <si>
    <t>8 mins 42 secs</t>
  </si>
  <si>
    <t>16 August 2026  5:04 PM</t>
  </si>
  <si>
    <t>16 August 2026  5:26 PM</t>
  </si>
  <si>
    <t>21 mins 27 secs</t>
  </si>
  <si>
    <t>16 August 2026  5:16 PM</t>
  </si>
  <si>
    <t>5 mins 41 secs</t>
  </si>
  <si>
    <t>16 August 2026  5:13 PM</t>
  </si>
  <si>
    <t>16 August 2026  5:17 PM</t>
  </si>
  <si>
    <t>34 secs</t>
  </si>
  <si>
    <t>16 August 2026  6:25 PM</t>
  </si>
  <si>
    <t>16 August 2026  6:39 PM</t>
  </si>
  <si>
    <t>16 August 2026  6:38 PM</t>
  </si>
  <si>
    <t>16 August 2026  6:31 PM</t>
  </si>
  <si>
    <t>16 August 2026  7:01 PM</t>
  </si>
  <si>
    <t>16 August 2026  6:44 PM</t>
  </si>
  <si>
    <t>14 mins 4 secs</t>
  </si>
  <si>
    <t>16 August 2026  6:50 PM</t>
  </si>
  <si>
    <t>16 August 2026  7:07 PM</t>
  </si>
  <si>
    <t>17 mins 11 secs</t>
  </si>
  <si>
    <t>16 August 2026  6:54 PM</t>
  </si>
  <si>
    <t>16 August 2026  7:03 PM</t>
  </si>
  <si>
    <t>16 August 2026  6:59 PM</t>
  </si>
  <si>
    <t>16 August 2026  7:09 PM</t>
  </si>
  <si>
    <t>9 mins 37 secs</t>
  </si>
  <si>
    <t>16 August 2026  7:26 PM</t>
  </si>
  <si>
    <t>20 mins 51 secs</t>
  </si>
  <si>
    <t>16 August 2026  7:19 PM</t>
  </si>
  <si>
    <t>16 August 2026  7:28 PM</t>
  </si>
  <si>
    <t>1 min 16 secs</t>
  </si>
  <si>
    <t>16 August 2026  7:43 PM</t>
  </si>
  <si>
    <t>16 August 2026  7:51 PM</t>
  </si>
  <si>
    <t>10 mins</t>
  </si>
  <si>
    <t>16 August 2026  8:08 PM</t>
  </si>
  <si>
    <t>16 August 2026  8:20 PM</t>
  </si>
  <si>
    <t>16 August 2026  8:36 PM</t>
  </si>
  <si>
    <t>16 August 2026  8:18 PM</t>
  </si>
  <si>
    <t>16 August 2026  8:25 PM</t>
  </si>
  <si>
    <t>6 mins 46 secs</t>
  </si>
  <si>
    <t>19 mins 39 secs</t>
  </si>
  <si>
    <t>16 August 2026  8:33 PM</t>
  </si>
  <si>
    <t>16 August 2026  8:42 PM</t>
  </si>
  <si>
    <t>16 August 2026  8:38 PM</t>
  </si>
  <si>
    <t>16 August 2026  8:39 PM</t>
  </si>
  <si>
    <t>1 min 40 secs</t>
  </si>
  <si>
    <t>27 mins 53 secs</t>
  </si>
  <si>
    <t>16 August 2026  8:52 PM</t>
  </si>
  <si>
    <t>3 mins 46 secs</t>
  </si>
  <si>
    <t>16 August 2026  8:58 PM</t>
  </si>
  <si>
    <t>16 August 2026  9:08 PM</t>
  </si>
  <si>
    <t>16 August 2026  9:27 PM</t>
  </si>
  <si>
    <t>19 mins 46 secs</t>
  </si>
  <si>
    <t>16 August 2026  9:10 PM</t>
  </si>
  <si>
    <t>13 mins 38 secs</t>
  </si>
  <si>
    <t>16 August 2026  9:20 PM</t>
  </si>
  <si>
    <t>16 August 2026  9:41 PM</t>
  </si>
  <si>
    <t>20 mins 41 secs</t>
  </si>
  <si>
    <t>16 August 2026  9:34 PM</t>
  </si>
  <si>
    <t>16 August 2026  9:42 PM</t>
  </si>
  <si>
    <t>37 secs</t>
  </si>
  <si>
    <t>16 August 2026  9:48 PM</t>
  </si>
  <si>
    <t>16 August 2026  10:18 PM</t>
  </si>
  <si>
    <t>16 August 2026  9:58 PM</t>
  </si>
  <si>
    <t>16 August 2026  10:01 PM</t>
  </si>
  <si>
    <t>2 mins 57 secs</t>
  </si>
  <si>
    <t>16 August 2026  10:13 PM</t>
  </si>
  <si>
    <t>16 August 2026  10:25 PM</t>
  </si>
  <si>
    <t>16 August 2026  10:41 PM</t>
  </si>
  <si>
    <t>15 mins 54 secs</t>
  </si>
  <si>
    <t>17 August 2026  7:49 AM</t>
  </si>
  <si>
    <t>17 August 2026  7:51 AM</t>
  </si>
  <si>
    <t>17 August 2026  8:25 AM</t>
  </si>
  <si>
    <t>17 August 2026  8:27 AM</t>
  </si>
  <si>
    <t>1 min 37 secs</t>
  </si>
  <si>
    <t>17 August 2026  9:49 AM</t>
  </si>
  <si>
    <t>17 August 2026  10:01 AM</t>
  </si>
  <si>
    <t>17 August 2026  9:56 AM</t>
  </si>
  <si>
    <t>4 mins 25 secs</t>
  </si>
  <si>
    <t>17 August 2026  10:06 AM</t>
  </si>
  <si>
    <t>17 August 2026  10:11 AM</t>
  </si>
  <si>
    <t>4 mins 52 secs</t>
  </si>
  <si>
    <t>17 August 2026  10:12 AM</t>
  </si>
  <si>
    <t>17 August 2026  10:17 AM</t>
  </si>
  <si>
    <t>17 August 2026  10:21 AM</t>
  </si>
  <si>
    <t>4 mins 23 secs</t>
  </si>
  <si>
    <t>17 August 2026  10:19 AM</t>
  </si>
  <si>
    <t>17 August 2026  11:13 AM</t>
  </si>
  <si>
    <t>17 August 2026  11:17 AM</t>
  </si>
  <si>
    <t>17 August 2026  11:24 AM</t>
  </si>
  <si>
    <t>17 August 2026  11:28 AM</t>
  </si>
  <si>
    <t>17 August 2026  11:43 AM</t>
  </si>
  <si>
    <t>17 August 2026  11:44 AM</t>
  </si>
  <si>
    <t>1 min 5 secs</t>
  </si>
  <si>
    <t>17 August 2026  12:20 PM</t>
  </si>
  <si>
    <t>17 August 2026  12:35 PM</t>
  </si>
  <si>
    <t>17 August 2026  2:05 PM</t>
  </si>
  <si>
    <t>17 August 2026  2:20 PM</t>
  </si>
  <si>
    <t>17 August 2026  2:22 PM</t>
  </si>
  <si>
    <t>2 mins 1 sec</t>
  </si>
  <si>
    <t>17 August 2026  2:42 PM</t>
  </si>
  <si>
    <t>17 August 2026  2:43 PM</t>
  </si>
  <si>
    <t>17 August 2026  3:17 PM</t>
  </si>
  <si>
    <t>17 August 2026  3:20 PM</t>
  </si>
  <si>
    <t>3 mins 15 secs</t>
  </si>
  <si>
    <t>17 August 2026  3:21 PM</t>
  </si>
  <si>
    <t>47 secs</t>
  </si>
  <si>
    <t>17 August 2026  3:26 PM</t>
  </si>
  <si>
    <t>17 August 2026  3:50 PM</t>
  </si>
  <si>
    <t>17 August 2026  3:30 PM</t>
  </si>
  <si>
    <t>17 August 2026  3:41 PM</t>
  </si>
  <si>
    <t>58 secs</t>
  </si>
  <si>
    <t>17 August 2026  4:06 PM</t>
  </si>
  <si>
    <t>17 August 2026  6:11 PM</t>
  </si>
  <si>
    <t>17 August 2026  6:28 PM</t>
  </si>
  <si>
    <t>17 August 2026  6:25 PM</t>
  </si>
  <si>
    <t>17 August 2026  6:47 PM</t>
  </si>
  <si>
    <t>22 mins 13 secs</t>
  </si>
  <si>
    <t>17 August 2026  7:12 PM</t>
  </si>
  <si>
    <t>17 August 2026  7:21 PM</t>
  </si>
  <si>
    <t>17 August 2026  7:05 PM</t>
  </si>
  <si>
    <t>17 August 2026  7:22 PM</t>
  </si>
  <si>
    <t>4 mins 53 secs</t>
  </si>
  <si>
    <t>17 August 2026  7:42 PM</t>
  </si>
  <si>
    <t>17 August 2026  7:32 PM</t>
  </si>
  <si>
    <t>17 August 2026  7:47 PM</t>
  </si>
  <si>
    <t>15 mins 23 secs</t>
  </si>
  <si>
    <t>17 August 2026  7:38 PM</t>
  </si>
  <si>
    <t>17 August 2026  7:50 PM</t>
  </si>
  <si>
    <t>12 mins 36 secs</t>
  </si>
  <si>
    <t>17 August 2026  8:05 PM</t>
  </si>
  <si>
    <t>17 August 2026  8:12 PM</t>
  </si>
  <si>
    <t>17 August 2026  8:32 PM</t>
  </si>
  <si>
    <t>17 August 2026  8:36 PM</t>
  </si>
  <si>
    <t>17 August 2026  8:43 PM</t>
  </si>
  <si>
    <t>6 mins 56 secs</t>
  </si>
  <si>
    <t>17 August 2026  8:41 PM</t>
  </si>
  <si>
    <t>17 August 2026  8:57 PM</t>
  </si>
  <si>
    <t>29 mins 4 secs</t>
  </si>
  <si>
    <t>17 August 2026  9:39 PM</t>
  </si>
  <si>
    <t>27 mins 20 secs</t>
  </si>
  <si>
    <t>17 August 2026  9:32 PM</t>
  </si>
  <si>
    <t>11 mins 57 secs</t>
  </si>
  <si>
    <t>17 August 2026  9:22 PM</t>
  </si>
  <si>
    <t>17 August 2026  9:23 PM</t>
  </si>
  <si>
    <t>17 August 2026  10:13 PM</t>
  </si>
  <si>
    <t>17 August 2026  10:21 PM</t>
  </si>
  <si>
    <t>17 August 2026  10:55 PM</t>
  </si>
  <si>
    <t>17 August 2026  11:06 PM</t>
  </si>
  <si>
    <t>17 August 2026  11:41 PM</t>
  </si>
  <si>
    <t>12 mins 8 secs</t>
  </si>
  <si>
    <t>18 August 2026  5:27 AM</t>
  </si>
  <si>
    <t>18 August 2026  5:35 AM</t>
  </si>
  <si>
    <t>18 August 2026  5:53 AM</t>
  </si>
  <si>
    <t>18 August 2026  6:03 AM</t>
  </si>
  <si>
    <t>18 August 2026  8:22 AM</t>
  </si>
  <si>
    <t>18 August 2026  8:27 AM</t>
  </si>
  <si>
    <t>18 August 2026  9:07 AM</t>
  </si>
  <si>
    <t>18 August 2026  9:22 AM</t>
  </si>
  <si>
    <t>18 August 2026  9:15 AM</t>
  </si>
  <si>
    <t>18 August 2026  9:30 AM</t>
  </si>
  <si>
    <t>2 mins 38 secs</t>
  </si>
  <si>
    <t>18 August 2026  9:59 AM</t>
  </si>
  <si>
    <t>18 August 2026  10:04 AM</t>
  </si>
  <si>
    <t>18 August 2026  10:01 AM</t>
  </si>
  <si>
    <t>18 August 2026  11:19 AM</t>
  </si>
  <si>
    <t>18 August 2026  11:23 AM</t>
  </si>
  <si>
    <t>3 mins 45 secs</t>
  </si>
  <si>
    <t>18 August 2026  11:38 AM</t>
  </si>
  <si>
    <t>18 August 2026  11:39 AM</t>
  </si>
  <si>
    <t>1 min 54 secs</t>
  </si>
  <si>
    <t>18 August 2026  11:56 AM</t>
  </si>
  <si>
    <t>8 mins 13 secs</t>
  </si>
  <si>
    <t>18 August 2026  12:07 PM</t>
  </si>
  <si>
    <t>18 August 2026  12:08 PM</t>
  </si>
  <si>
    <t>18 August 2026  5:18 PM</t>
  </si>
  <si>
    <t>18 August 2026  5:22 PM</t>
  </si>
  <si>
    <t>3 mins 36 secs</t>
  </si>
  <si>
    <t>18 August 2026  5:51 PM</t>
  </si>
  <si>
    <t>18 August 2026  6:00 PM</t>
  </si>
  <si>
    <t>18 August 2026  5:57 PM</t>
  </si>
  <si>
    <t>18 August 2026  6:32 PM</t>
  </si>
  <si>
    <t>18 August 2026  6:33 PM</t>
  </si>
  <si>
    <t>1 min 29 secs</t>
  </si>
  <si>
    <t>18 August 2026  6:50 PM</t>
  </si>
  <si>
    <t>8 mins 52 secs</t>
  </si>
  <si>
    <t>18 August 2026  6:53 PM</t>
  </si>
  <si>
    <t>18 August 2026  7:06 PM</t>
  </si>
  <si>
    <t>13 mins 5 secs</t>
  </si>
  <si>
    <t>18 August 2026  7:12 PM</t>
  </si>
  <si>
    <t>4 mins 15 secs</t>
  </si>
  <si>
    <t>25 mins 16 secs</t>
  </si>
  <si>
    <t>18 August 2026  7:27 PM</t>
  </si>
  <si>
    <t>18 August 2026  7:47 PM</t>
  </si>
  <si>
    <t>20 mins 20 secs</t>
  </si>
  <si>
    <t>18 August 2026  7:50 PM</t>
  </si>
  <si>
    <t>20 mins 49 secs</t>
  </si>
  <si>
    <t>6 mins 1 sec</t>
  </si>
  <si>
    <t>1 min 38 secs</t>
  </si>
  <si>
    <t>7 mins 22 secs</t>
  </si>
  <si>
    <t>18 August 2026  7:43 PM</t>
  </si>
  <si>
    <t>18 August 2026  7:57 PM</t>
  </si>
  <si>
    <t>14 mins 1 sec</t>
  </si>
  <si>
    <t>18 August 2026  7:46 PM</t>
  </si>
  <si>
    <t>18 August 2026  7:53 PM</t>
  </si>
  <si>
    <t>18 August 2026  8:01 PM</t>
  </si>
  <si>
    <t>13 mins 58 secs</t>
  </si>
  <si>
    <t>18 August 2026  8:08 PM</t>
  </si>
  <si>
    <t>18 August 2026  8:32 PM</t>
  </si>
  <si>
    <t>23 mins 36 secs</t>
  </si>
  <si>
    <t>12.50</t>
  </si>
  <si>
    <t>2 mins 42 secs</t>
  </si>
  <si>
    <t>18 August 2026  8:16 PM</t>
  </si>
  <si>
    <t>12 mins 51 secs</t>
  </si>
  <si>
    <t>18 August 2026  8:19 PM</t>
  </si>
  <si>
    <t>12 mins 40 secs</t>
  </si>
  <si>
    <t>18 August 2026  8:39 PM</t>
  </si>
  <si>
    <t>6 mins 30 secs</t>
  </si>
  <si>
    <t>18 August 2026  8:47 PM</t>
  </si>
  <si>
    <t>25 mins 28 secs</t>
  </si>
  <si>
    <t>21 mins 54 secs</t>
  </si>
  <si>
    <t>18 August 2026  9:01 PM</t>
  </si>
  <si>
    <t>18 August 2026  8:52 PM</t>
  </si>
  <si>
    <t>4 mins 13 secs</t>
  </si>
  <si>
    <t>18 August 2026  9:03 PM</t>
  </si>
  <si>
    <t>11.50</t>
  </si>
  <si>
    <t>18 August 2026  9:16 PM</t>
  </si>
  <si>
    <t>18 August 2026  9:28 PM</t>
  </si>
  <si>
    <t>18 August 2026  9:20 PM</t>
  </si>
  <si>
    <t>5 mins 3 secs</t>
  </si>
  <si>
    <t>18 August 2026  9:18 PM</t>
  </si>
  <si>
    <t>18 August 2026  9:56 PM</t>
  </si>
  <si>
    <t>18 August 2026  10:02 PM</t>
  </si>
  <si>
    <t>18 August 2026  10:17 PM</t>
  </si>
  <si>
    <t>12 mins 48 secs</t>
  </si>
  <si>
    <t>18 August 2026  10:09 PM</t>
  </si>
  <si>
    <t>3 mins 5 secs</t>
  </si>
  <si>
    <t>18 August 2026  10:45 PM</t>
  </si>
  <si>
    <t>18 mins</t>
  </si>
  <si>
    <t>18 August 2026  10:34 PM</t>
  </si>
  <si>
    <t>18 August 2026  10:56 PM</t>
  </si>
  <si>
    <t>18 August 2026  11:14 PM</t>
  </si>
  <si>
    <t>18 August 2026  11:28 PM</t>
  </si>
  <si>
    <t>19 August 2026  6:29 AM</t>
  </si>
  <si>
    <t>19 August 2026  6:44 AM</t>
  </si>
  <si>
    <t>19 August 2026  9:21 AM</t>
  </si>
  <si>
    <t>19 August 2026  9:22 AM</t>
  </si>
  <si>
    <t>59 secs</t>
  </si>
  <si>
    <t>19 August 2026  9:33 AM</t>
  </si>
  <si>
    <t>19 August 2026  9:45 AM</t>
  </si>
  <si>
    <t>27 mins 51 secs</t>
  </si>
  <si>
    <t>19 August 2026  9:38 AM</t>
  </si>
  <si>
    <t>19 August 2026  9:57 AM</t>
  </si>
  <si>
    <t>18 mins 32 secs</t>
  </si>
  <si>
    <t>19 August 2026  9:39 AM</t>
  </si>
  <si>
    <t>19 August 2026  10:07 AM</t>
  </si>
  <si>
    <t>28 mins 42 secs</t>
  </si>
  <si>
    <t>19 August 2026  9:40 AM</t>
  </si>
  <si>
    <t>19 August 2026  9:59 AM</t>
  </si>
  <si>
    <t>19 mins 34 secs</t>
  </si>
  <si>
    <t>19 August 2026  9:50 AM</t>
  </si>
  <si>
    <t>19 August 2026  9:55 AM</t>
  </si>
  <si>
    <t>5 mins 25 secs</t>
  </si>
  <si>
    <t>19 August 2026  10:02 AM</t>
  </si>
  <si>
    <t>6 mins 47 secs</t>
  </si>
  <si>
    <t>19 August 2026  10:23 AM</t>
  </si>
  <si>
    <t>24 mins 12 secs</t>
  </si>
  <si>
    <t>11 mins 44 secs</t>
  </si>
  <si>
    <t>19 August 2026  10:06 AM</t>
  </si>
  <si>
    <t>19 August 2026  10:27 AM</t>
  </si>
  <si>
    <t>19 August 2026  10:26 AM</t>
  </si>
  <si>
    <t>19 August 2026  10:24 AM</t>
  </si>
  <si>
    <t>19 August 2026  10:30 AM</t>
  </si>
  <si>
    <t>5 mins 50 secs</t>
  </si>
  <si>
    <t>19 August 2026  10:34 AM</t>
  </si>
  <si>
    <t>19 August 2026  10:49 AM</t>
  </si>
  <si>
    <t>19 August 2026  10:41 AM</t>
  </si>
  <si>
    <t>19 August 2026  10:38 AM</t>
  </si>
  <si>
    <t>19 August 2026  10:54 AM</t>
  </si>
  <si>
    <t>19 August 2026  10:40 AM</t>
  </si>
  <si>
    <t>19 August 2026  11:03 AM</t>
  </si>
  <si>
    <t>19 August 2026  11:04 AM</t>
  </si>
  <si>
    <t>19 August 2026  11:19 AM</t>
  </si>
  <si>
    <t>19 August 2026  11:28 AM</t>
  </si>
  <si>
    <t>7 mins 25 secs</t>
  </si>
  <si>
    <t>19 August 2026  11:58 AM</t>
  </si>
  <si>
    <t>19 August 2026  12:00 PM</t>
  </si>
  <si>
    <t>19 August 2026  12:05 PM</t>
  </si>
  <si>
    <t>19 August 2026  12:06 PM</t>
  </si>
  <si>
    <t>19 August 2026  12:09 PM</t>
  </si>
  <si>
    <t>21.85</t>
  </si>
  <si>
    <t>12.92</t>
  </si>
  <si>
    <t>8.93</t>
  </si>
  <si>
    <t>Good &gt;=75%</t>
  </si>
  <si>
    <t>Satisfactory 50-74.99%</t>
  </si>
  <si>
    <t>Need Attention 25-49.99%</t>
  </si>
  <si>
    <t>Intervention &lt;25%</t>
  </si>
  <si>
    <t>Grand Total</t>
  </si>
  <si>
    <t>Civil</t>
  </si>
  <si>
    <t>CSBS</t>
  </si>
  <si>
    <t>CSE</t>
  </si>
  <si>
    <t>ECE</t>
  </si>
  <si>
    <t>EEE</t>
  </si>
  <si>
    <t>IT</t>
  </si>
  <si>
    <t>Percentage</t>
  </si>
  <si>
    <t>MCQ</t>
  </si>
  <si>
    <t>Debugging</t>
  </si>
  <si>
    <t xml:space="preserve">Coding </t>
  </si>
  <si>
    <t>Total</t>
  </si>
  <si>
    <t>Not Completed</t>
  </si>
  <si>
    <t>Not Started</t>
  </si>
  <si>
    <t>KNOWLEDGE INSTITUTE OF TECHNOLOGY, SALEM</t>
  </si>
  <si>
    <t>Centre for Career Development and Training (CDT)</t>
  </si>
  <si>
    <t>KS</t>
  </si>
  <si>
    <t>Abishek</t>
  </si>
  <si>
    <t>2k24it121@kiot.ac.in</t>
  </si>
  <si>
    <t>20 August 2026  10:20 AM</t>
  </si>
  <si>
    <t>20 August 2026  10:45 AM</t>
  </si>
  <si>
    <t>Avanthika</t>
  </si>
  <si>
    <t>Barathkumar</t>
  </si>
  <si>
    <t>2k24cse019@kiot.ac.in</t>
  </si>
  <si>
    <t>20 August 2026  3:27 PM</t>
  </si>
  <si>
    <t>20 August 2026  4:12 PM</t>
  </si>
  <si>
    <t>21 August 2026  2:51 PM</t>
  </si>
  <si>
    <t>21 August 2026  3:07 PM</t>
  </si>
  <si>
    <t>Chandra Krishnan</t>
  </si>
  <si>
    <t>2k24it011@kiot.ac.in</t>
  </si>
  <si>
    <t>20 August 2026  10:19 AM</t>
  </si>
  <si>
    <t>20 August 2026  10:29 AM</t>
  </si>
  <si>
    <t>10 mins 23 secs</t>
  </si>
  <si>
    <t>2k24it013@kiot.ac.in</t>
  </si>
  <si>
    <t>20 August 2026  9:14 AM</t>
  </si>
  <si>
    <t>20 August 2026  9:23 AM</t>
  </si>
  <si>
    <t>DEEPAN RAJ</t>
  </si>
  <si>
    <t>2k24ece027@kiot.ac.in</t>
  </si>
  <si>
    <t>20 August 2026  5:22 PM</t>
  </si>
  <si>
    <t>20 August 2026  5:37 PM</t>
  </si>
  <si>
    <t>Deepanraj</t>
  </si>
  <si>
    <t>2k24it014@kiot.ac.in</t>
  </si>
  <si>
    <t>20 August 2026  10:07 AM</t>
  </si>
  <si>
    <t>20 August 2026  10:11 AM</t>
  </si>
  <si>
    <t>Deepasri</t>
  </si>
  <si>
    <t>2k24cse026@kiot.ac.in</t>
  </si>
  <si>
    <t>22 August 2026  3:43 PM</t>
  </si>
  <si>
    <t>22 August 2026  3:57 PM</t>
  </si>
  <si>
    <t>P K</t>
  </si>
  <si>
    <t>Devishirini</t>
  </si>
  <si>
    <t>2k24it017@kiot.ac.in</t>
  </si>
  <si>
    <t>19 August 2026  8:46 PM</t>
  </si>
  <si>
    <t>19 August 2026  8:54 PM</t>
  </si>
  <si>
    <t>DEVKRISHNA</t>
  </si>
  <si>
    <t>2k24eee09@kiot.ac.in</t>
  </si>
  <si>
    <t>19 August 2026  1:50 PM</t>
  </si>
  <si>
    <t>19 August 2026  2:08 PM</t>
  </si>
  <si>
    <t>Dhanush Kumar</t>
  </si>
  <si>
    <t>2k24it018@kiot.ac.in</t>
  </si>
  <si>
    <t>20 August 2026  10:18 AM</t>
  </si>
  <si>
    <t>20 August 2026  10:46 AM</t>
  </si>
  <si>
    <t>Dharanesh</t>
  </si>
  <si>
    <t>2k24it019@kiot.ac.in</t>
  </si>
  <si>
    <t>20 August 2026  10:21 AM</t>
  </si>
  <si>
    <t>20 August 2026  10:34 AM</t>
  </si>
  <si>
    <t>Dharani</t>
  </si>
  <si>
    <t>2k24cse033@kiot.ac.in</t>
  </si>
  <si>
    <t>22 August 2026  10:11 AM</t>
  </si>
  <si>
    <t>22 August 2026  10:29 AM</t>
  </si>
  <si>
    <t>Dharani I</t>
  </si>
  <si>
    <t>2k24cse032@kiot.ac.in</t>
  </si>
  <si>
    <t>25 August 2026  9:23 AM</t>
  </si>
  <si>
    <t>25 August 2026  9:48 AM</t>
  </si>
  <si>
    <t>24 mins 46 secs</t>
  </si>
  <si>
    <t>Dharanish</t>
  </si>
  <si>
    <t>2k24cse035@kiot.ac.in</t>
  </si>
  <si>
    <t>20 August 2026  10:03 PM</t>
  </si>
  <si>
    <t>20 August 2026  10:23 PM</t>
  </si>
  <si>
    <t>2k24it025@kiot.ac.in</t>
  </si>
  <si>
    <t>21 August 2026  7:25 AM</t>
  </si>
  <si>
    <t>21 August 2026  7:55 AM</t>
  </si>
  <si>
    <t>29 mins 19 secs</t>
  </si>
  <si>
    <t>Dheepan</t>
  </si>
  <si>
    <t>2k24cse040@kiot.ac.in</t>
  </si>
  <si>
    <t>22 August 2026  12:36 PM</t>
  </si>
  <si>
    <t>22 August 2026  12:55 PM</t>
  </si>
  <si>
    <t>Dhesikaa</t>
  </si>
  <si>
    <t>2k24it026@kiot.ac.in</t>
  </si>
  <si>
    <t>19 August 2026  9:03 PM</t>
  </si>
  <si>
    <t>19 August 2026  9:06 PM</t>
  </si>
  <si>
    <t>2k24cse249@kiot.ac.in</t>
  </si>
  <si>
    <t>24 August 2026  7:53 PM</t>
  </si>
  <si>
    <t>24 August 2026  8:03 PM</t>
  </si>
  <si>
    <t>9 mins 51 secs</t>
  </si>
  <si>
    <t>Dineshkumar</t>
  </si>
  <si>
    <t>2k24cse044@kiot.ac.in</t>
  </si>
  <si>
    <t>25 August 2026  10:46 AM</t>
  </si>
  <si>
    <t>25 August 2026  10:59 AM</t>
  </si>
  <si>
    <t>13 mins 6 secs</t>
  </si>
  <si>
    <t>2K24eee61@kiot.ac.in</t>
  </si>
  <si>
    <t>25 August 2026  1:31 PM</t>
  </si>
  <si>
    <t>Duraiaakash</t>
  </si>
  <si>
    <t>2k24it028@kiot.ac.in</t>
  </si>
  <si>
    <t>20 August 2026  10:25 AM</t>
  </si>
  <si>
    <t>Duraimurugan</t>
  </si>
  <si>
    <t>2k24it029@kiot.ac.in</t>
  </si>
  <si>
    <t>20 August 2026  10:15 AM</t>
  </si>
  <si>
    <t>20 August 2026  10:27 AM</t>
  </si>
  <si>
    <t>Furhath Manas</t>
  </si>
  <si>
    <t>2k24it122@kiot.ac.in</t>
  </si>
  <si>
    <t>20 August 2026  10:30 AM</t>
  </si>
  <si>
    <t>10 mins 52 secs</t>
  </si>
  <si>
    <t>Gandhiselvan</t>
  </si>
  <si>
    <t>2k24it031@kiot.ac.in</t>
  </si>
  <si>
    <t>20 August 2026  10:23 AM</t>
  </si>
  <si>
    <t>11 mins 27 secs</t>
  </si>
  <si>
    <t>R K</t>
  </si>
  <si>
    <t>Geethi Priyanka</t>
  </si>
  <si>
    <t>2k24it033@kiot.ac.in</t>
  </si>
  <si>
    <t>19 August 2026  3:57 PM</t>
  </si>
  <si>
    <t>19 August 2026  4:10 PM</t>
  </si>
  <si>
    <t>Gopeshcharan</t>
  </si>
  <si>
    <t>2k24cse053@kiot.ac.in</t>
  </si>
  <si>
    <t>24 August 2026  8:50 PM</t>
  </si>
  <si>
    <t>24 August 2026  8:52 PM</t>
  </si>
  <si>
    <t>1 min 25 secs</t>
  </si>
  <si>
    <t>Gowtham</t>
  </si>
  <si>
    <t>2k24it036@kiot.ac.in</t>
  </si>
  <si>
    <t>15 mins 29 secs</t>
  </si>
  <si>
    <t>KR</t>
  </si>
  <si>
    <t>GURUVISHNU</t>
  </si>
  <si>
    <t>2k24ce04@kiot.ac.in</t>
  </si>
  <si>
    <t>25 August 2026  10:07 AM</t>
  </si>
  <si>
    <t>25 August 2026  10:16 AM</t>
  </si>
  <si>
    <t>9 mins 32 secs</t>
  </si>
  <si>
    <t>HARI PRASANTH</t>
  </si>
  <si>
    <t>2k24cse251@kiot.ac.in</t>
  </si>
  <si>
    <t>24 August 2026  7:51 PM</t>
  </si>
  <si>
    <t>R C</t>
  </si>
  <si>
    <t>Hariharan</t>
  </si>
  <si>
    <t>2k24cse057@kiot.ac.in</t>
  </si>
  <si>
    <t>19 August 2026  9:54 PM</t>
  </si>
  <si>
    <t>19 August 2026  10:09 PM</t>
  </si>
  <si>
    <t>14 mins 48 secs</t>
  </si>
  <si>
    <t>2k24cse058@kiot.ac.in</t>
  </si>
  <si>
    <t>20 August 2026  9:31 PM</t>
  </si>
  <si>
    <t>20 August 2026  9:48 PM</t>
  </si>
  <si>
    <t>Harina Shri</t>
  </si>
  <si>
    <t>2k24it038@kiot.ac.in</t>
  </si>
  <si>
    <t>23 August 2026  11:52 AM</t>
  </si>
  <si>
    <t>23 August 2026  12:00 PM</t>
  </si>
  <si>
    <t>8 mins 5 secs</t>
  </si>
  <si>
    <t>HARISHRAAJ</t>
  </si>
  <si>
    <t>2k24cse065@kiot.ac.in</t>
  </si>
  <si>
    <t>20 August 2026  6:43 PM</t>
  </si>
  <si>
    <t>20 August 2026  6:53 PM</t>
  </si>
  <si>
    <t>HEMAVATHI</t>
  </si>
  <si>
    <t>2k24ece061@kiot.ac.in</t>
  </si>
  <si>
    <t>22 August 2026  11:11 PM</t>
  </si>
  <si>
    <t>22 August 2026  11:27 PM</t>
  </si>
  <si>
    <t>INBHATAMIZHAN</t>
  </si>
  <si>
    <t>2k24cse067@kiot.ac.in</t>
  </si>
  <si>
    <t>24 August 2026  5:58 PM</t>
  </si>
  <si>
    <t>24 August 2026  6:11 PM</t>
  </si>
  <si>
    <t>INIYA</t>
  </si>
  <si>
    <t>2k24cse068@kiot.ac.in</t>
  </si>
  <si>
    <t>25 August 2026  9:13 AM</t>
  </si>
  <si>
    <t>35 mins 26 secs</t>
  </si>
  <si>
    <t>Jagadeesan</t>
  </si>
  <si>
    <t>2k24it042@kiot.ac.in</t>
  </si>
  <si>
    <t>20 August 2026  10:16 AM</t>
  </si>
  <si>
    <t>24 August 2026  10:05 PM</t>
  </si>
  <si>
    <t>24 August 2026  10:18 PM</t>
  </si>
  <si>
    <t>25 August 2026  11:48 AM</t>
  </si>
  <si>
    <t>R P</t>
  </si>
  <si>
    <t>JAVAGAR SRINEVAS</t>
  </si>
  <si>
    <t>2k24cse071@kiot.ac.in</t>
  </si>
  <si>
    <t>25 August 2026  9:21 AM</t>
  </si>
  <si>
    <t>25 August 2026  9:27 AM</t>
  </si>
  <si>
    <t>5 mins 24 secs</t>
  </si>
  <si>
    <t>Jeethendrababu</t>
  </si>
  <si>
    <t>2k24it043@kiot.ac.in</t>
  </si>
  <si>
    <t>20 August 2026  10:05 AM</t>
  </si>
  <si>
    <t>41 mins 17 secs</t>
  </si>
  <si>
    <t>JEEVA</t>
  </si>
  <si>
    <t>2k24cse074@kiot.ac.in</t>
  </si>
  <si>
    <t>19 August 2026  6:36 PM</t>
  </si>
  <si>
    <t>19 August 2026  6:46 PM</t>
  </si>
  <si>
    <t>JISHNU</t>
  </si>
  <si>
    <t>2k24cse078@kiot.ac.in</t>
  </si>
  <si>
    <t>25 August 2026  9:25 AM</t>
  </si>
  <si>
    <t>25 August 2026  9:36 AM</t>
  </si>
  <si>
    <t>10 mins 49 secs</t>
  </si>
  <si>
    <t>S C</t>
  </si>
  <si>
    <t>Jodhieswaran</t>
  </si>
  <si>
    <t>2k24ce05@kiot.ac.in</t>
  </si>
  <si>
    <t>25 August 2026  10:33 AM</t>
  </si>
  <si>
    <t>25 August 2026  10:41 AM</t>
  </si>
  <si>
    <t>John Brightson</t>
  </si>
  <si>
    <t>2k24it045@kiot.ac.in</t>
  </si>
  <si>
    <t>20 August 2026  10:37 AM</t>
  </si>
  <si>
    <t>JOTHI PRAKASH</t>
  </si>
  <si>
    <t>2k24ece189@kiot.ac.in</t>
  </si>
  <si>
    <t>25 August 2026  5:41 AM</t>
  </si>
  <si>
    <t>25 August 2026  5:59 AM</t>
  </si>
  <si>
    <t>18 mins 8 secs</t>
  </si>
  <si>
    <t>KARTHICK RAJA</t>
  </si>
  <si>
    <t>2k24cse083@kiot.ac.in</t>
  </si>
  <si>
    <t>20 August 2026  5:43 AM</t>
  </si>
  <si>
    <t>20 August 2026  6:00 AM</t>
  </si>
  <si>
    <t>17 mins 3 secs</t>
  </si>
  <si>
    <t>KARTHIGA</t>
  </si>
  <si>
    <t>2k24ece078@kiot.ac.in</t>
  </si>
  <si>
    <t>25 August 2026  10:09 AM</t>
  </si>
  <si>
    <t>7 mins 8 secs</t>
  </si>
  <si>
    <t>Karthik</t>
  </si>
  <si>
    <t>2k24it049@kiot.ac.in</t>
  </si>
  <si>
    <t>20 August 2026  7:50 PM</t>
  </si>
  <si>
    <t>20 August 2026  8:00 PM</t>
  </si>
  <si>
    <t>2k24cse085@kiot.ac.in</t>
  </si>
  <si>
    <t>24 August 2026  9:48 PM</t>
  </si>
  <si>
    <t>24 August 2026  10:04 PM</t>
  </si>
  <si>
    <t>15 mins 41 secs</t>
  </si>
  <si>
    <t>KAUSHIK</t>
  </si>
  <si>
    <t>2k24cse087@kiot.ac.in</t>
  </si>
  <si>
    <t>24 August 2026  8:51 PM</t>
  </si>
  <si>
    <t>24 August 2026  8:54 PM</t>
  </si>
  <si>
    <t>3 mins 42 secs</t>
  </si>
  <si>
    <t>2k24it050@kiot.ac.in</t>
  </si>
  <si>
    <t>23 August 2026  11:42 AM</t>
  </si>
  <si>
    <t>23 August 2026  11:48 AM</t>
  </si>
  <si>
    <t>KAYALVIZHI</t>
  </si>
  <si>
    <t>2k24cse091@kiot.ac.in</t>
  </si>
  <si>
    <t>25 August 2026  9:42 AM</t>
  </si>
  <si>
    <t>25 August 2026  9:49 AM</t>
  </si>
  <si>
    <t>Keerthivarma</t>
  </si>
  <si>
    <t>2k24it124@kiot.ac.in</t>
  </si>
  <si>
    <t>20 August 2026  10:26 AM</t>
  </si>
  <si>
    <t>20 August 2026  9:43 AM</t>
  </si>
  <si>
    <t>20 August 2026  9:53 AM</t>
  </si>
  <si>
    <t>9 mins 20 secs</t>
  </si>
  <si>
    <t>KIRUTHIGA</t>
  </si>
  <si>
    <t>2k24cse094@kiot.ac.in</t>
  </si>
  <si>
    <t>21 August 2026  2:03 PM</t>
  </si>
  <si>
    <t>21 August 2026  2:30 PM</t>
  </si>
  <si>
    <t>K K</t>
  </si>
  <si>
    <t>KISHOR</t>
  </si>
  <si>
    <t>2k24ce06@kiot.ac.in</t>
  </si>
  <si>
    <t>25 August 2026  11:04 AM</t>
  </si>
  <si>
    <t>25 August 2026  11:19 AM</t>
  </si>
  <si>
    <t>M K S</t>
  </si>
  <si>
    <t>Lakshanika</t>
  </si>
  <si>
    <t>2k24it056@kiot.ac.in</t>
  </si>
  <si>
    <t>20 August 2026  8:21 PM</t>
  </si>
  <si>
    <t>20 August 2026  8:48 PM</t>
  </si>
  <si>
    <t>26 mins 33 secs</t>
  </si>
  <si>
    <t>Lalith Kumar</t>
  </si>
  <si>
    <t>2k24it057@kiot.ac.in</t>
  </si>
  <si>
    <t>20 August 2026  10:49 AM</t>
  </si>
  <si>
    <t>24 mins 26 secs</t>
  </si>
  <si>
    <t>2k24cse100@kiot.ac.in</t>
  </si>
  <si>
    <t>24 August 2026  9:10 PM</t>
  </si>
  <si>
    <t>M J</t>
  </si>
  <si>
    <t>LEONARD BRANDT</t>
  </si>
  <si>
    <t>2k24ce11@kiot.ac.in</t>
  </si>
  <si>
    <t>25 August 2026  11:34 AM</t>
  </si>
  <si>
    <t>Logith Prasath</t>
  </si>
  <si>
    <t>2k24it058@kiot.ac.in</t>
  </si>
  <si>
    <t>20 August 2026  9:17 PM</t>
  </si>
  <si>
    <t>20 August 2026  9:39 PM</t>
  </si>
  <si>
    <t>LOHITHA</t>
  </si>
  <si>
    <t>2k24cse101@kiot.ac.in</t>
  </si>
  <si>
    <t>25 August 2026  9:19 AM</t>
  </si>
  <si>
    <t>25 August 2026  9:31 AM</t>
  </si>
  <si>
    <t>MADHESWARAN</t>
  </si>
  <si>
    <t>2k24cse102@kiot.ac.in</t>
  </si>
  <si>
    <t>24 August 2026  6:59 PM</t>
  </si>
  <si>
    <t>24 August 2026  7:13 PM</t>
  </si>
  <si>
    <t>MAITHREYA</t>
  </si>
  <si>
    <t>2k24cse103@kiot.ac.in</t>
  </si>
  <si>
    <t>24 August 2026  10:03 PM</t>
  </si>
  <si>
    <t>24 August 2026  10:13 PM</t>
  </si>
  <si>
    <t>10 mins 38 secs</t>
  </si>
  <si>
    <t>Malaravan</t>
  </si>
  <si>
    <t>2k24it060@kiot.ac.in</t>
  </si>
  <si>
    <t>MATHISHREE</t>
  </si>
  <si>
    <t>2k24cse105@kiot.ac.in</t>
  </si>
  <si>
    <t>24 August 2026  7:24 PM</t>
  </si>
  <si>
    <t>24 August 2026  7:50 PM</t>
  </si>
  <si>
    <t>26 mins 5 secs</t>
  </si>
  <si>
    <t>MEENATCHI</t>
  </si>
  <si>
    <t>2k24cse106@kiot.ac.in</t>
  </si>
  <si>
    <t>24 August 2026  8:26 PM</t>
  </si>
  <si>
    <t>24 August 2026  8:39 PM</t>
  </si>
  <si>
    <t>12 mins 34 secs</t>
  </si>
  <si>
    <t>MITRA</t>
  </si>
  <si>
    <t>2k24cse107@kiot.ac.in</t>
  </si>
  <si>
    <t>25 August 2026  9:12 AM</t>
  </si>
  <si>
    <t>MOHAMED ARSATH</t>
  </si>
  <si>
    <t>2k24ce14@kiot.ac.in</t>
  </si>
  <si>
    <t>25 August 2026  11:06 AM</t>
  </si>
  <si>
    <t>25 August 2026  11:18 AM</t>
  </si>
  <si>
    <t>MOHAMED HASITH</t>
  </si>
  <si>
    <t>2k24cse108@kiot.ac.in</t>
  </si>
  <si>
    <t>24 August 2026  1:39 PM</t>
  </si>
  <si>
    <t>24 August 2026  1:42 PM</t>
  </si>
  <si>
    <t>2 mins 35 secs</t>
  </si>
  <si>
    <t>C K A</t>
  </si>
  <si>
    <t>Mohamed Saalim</t>
  </si>
  <si>
    <t>2k24it123@kiot.ac.in</t>
  </si>
  <si>
    <t>11 mins 53 secs</t>
  </si>
  <si>
    <t>MOHAMMAD SHARUKH</t>
  </si>
  <si>
    <t>2k24cse109@kiot.ac.in</t>
  </si>
  <si>
    <t>25 August 2026  9:05 AM</t>
  </si>
  <si>
    <t>25 August 2026  9:11 AM</t>
  </si>
  <si>
    <t>MOHAMMED MATHRAB</t>
  </si>
  <si>
    <t>2k24ce15@kiot.ac.in</t>
  </si>
  <si>
    <t>25 August 2026  10:35 AM</t>
  </si>
  <si>
    <t>2 mins 27 secs</t>
  </si>
  <si>
    <t>MONISH KUMAR</t>
  </si>
  <si>
    <t>2k24me062@kiot.ac.in</t>
  </si>
  <si>
    <t>25 August 2026  12:25 PM</t>
  </si>
  <si>
    <t>25 August 2026  12:30 PM</t>
  </si>
  <si>
    <t>5 mins 49 secs</t>
  </si>
  <si>
    <t>Saravanan</t>
  </si>
  <si>
    <t>25 August 2026  11:17 AM</t>
  </si>
  <si>
    <t>Nandhini</t>
  </si>
  <si>
    <t>2k24cse124@kiot.ac.in</t>
  </si>
  <si>
    <t>24 August 2026  10:19 PM</t>
  </si>
  <si>
    <t>24 August 2026  10:36 PM</t>
  </si>
  <si>
    <t>Nandish</t>
  </si>
  <si>
    <t>2k24cse125@kiot.ac.in</t>
  </si>
  <si>
    <t>20 August 2026  6:49 PM</t>
  </si>
  <si>
    <t>20 August 2026  6:55 PM</t>
  </si>
  <si>
    <t>2k24eee37@kiot.ac.in</t>
  </si>
  <si>
    <t>25 August 2026  12:04 PM</t>
  </si>
  <si>
    <t>25 August 2026  12:36 PM</t>
  </si>
  <si>
    <t>31 mins 49 secs</t>
  </si>
  <si>
    <t>2k24it070@kiot.ac.in</t>
  </si>
  <si>
    <t>19 August 2026  9:07 PM</t>
  </si>
  <si>
    <t>19 August 2026  9:48 PM</t>
  </si>
  <si>
    <t>40 mins 42 secs</t>
  </si>
  <si>
    <t>Naveen Adhithya</t>
  </si>
  <si>
    <t>2k24cse126@kiot.ac.in</t>
  </si>
  <si>
    <t>24 August 2026  8:32 PM</t>
  </si>
  <si>
    <t>38 mins 56 secs</t>
  </si>
  <si>
    <t>NAVYASHANMATHI</t>
  </si>
  <si>
    <t>2k24ece107@kiot.ac.in</t>
  </si>
  <si>
    <t>25 August 2026  10:39 AM</t>
  </si>
  <si>
    <t>25 August 2026  10:44 AM</t>
  </si>
  <si>
    <t>5 mins 7 secs</t>
  </si>
  <si>
    <t>Nithish Kanna</t>
  </si>
  <si>
    <t>2k24cse136@kiot.ac.in</t>
  </si>
  <si>
    <t>24 August 2026  9:53 PM</t>
  </si>
  <si>
    <t>24 August 2026  10:06 PM</t>
  </si>
  <si>
    <t>Nithishkarna</t>
  </si>
  <si>
    <t>2k24it073@kiot.ac.in</t>
  </si>
  <si>
    <t>20 August 2026  10:41 AM</t>
  </si>
  <si>
    <t>PAVAN KUMAAR</t>
  </si>
  <si>
    <t>Poovarasan</t>
  </si>
  <si>
    <t>2k24it074@kiot.ac.in</t>
  </si>
  <si>
    <t>20 August 2026  10:24 AM</t>
  </si>
  <si>
    <t>2k24ce20@kiot.ac.in</t>
  </si>
  <si>
    <t>25 August 2026  11:09 AM</t>
  </si>
  <si>
    <t>25 August 2026  11:16 AM</t>
  </si>
  <si>
    <t>VM</t>
  </si>
  <si>
    <t>Pradesa</t>
  </si>
  <si>
    <t>2k24it076@kiot.ac.in</t>
  </si>
  <si>
    <t>19 August 2026  9:50 PM</t>
  </si>
  <si>
    <t>19 August 2026  10:17 PM</t>
  </si>
  <si>
    <t>26 mins 55 secs</t>
  </si>
  <si>
    <t>2k24it079@kiot.ac.in</t>
  </si>
  <si>
    <t>20 August 2026  10:31 AM</t>
  </si>
  <si>
    <t>Preetha</t>
  </si>
  <si>
    <t>2k24cse145@kiot.ac.in</t>
  </si>
  <si>
    <t>25 August 2026  1:44 PM</t>
  </si>
  <si>
    <t>Ravikumar</t>
  </si>
  <si>
    <t>Prem</t>
  </si>
  <si>
    <t>2k24it080@kiot.ac.in</t>
  </si>
  <si>
    <t>20 August 2026  7:12 AM</t>
  </si>
  <si>
    <t>20 August 2026  7:21 AM</t>
  </si>
  <si>
    <t>Priyadharshini</t>
  </si>
  <si>
    <t>2k24cse148@kiot.ac.in</t>
  </si>
  <si>
    <t>24 August 2026  9:04 PM</t>
  </si>
  <si>
    <t>24 August 2026  9:23 PM</t>
  </si>
  <si>
    <t>Rabinaya</t>
  </si>
  <si>
    <t>2k24cse149@kiot.ac.in</t>
  </si>
  <si>
    <t>24 August 2026  7:23 PM</t>
  </si>
  <si>
    <t>24 August 2026  7:49 PM</t>
  </si>
  <si>
    <t>24 August 2026  8:38 PM</t>
  </si>
  <si>
    <t>U S</t>
  </si>
  <si>
    <t>RAGUL</t>
  </si>
  <si>
    <t>2k24ece125@kiot.ac.in</t>
  </si>
  <si>
    <t>24 August 2026  8:18 PM</t>
  </si>
  <si>
    <t>14 mins 47 secs</t>
  </si>
  <si>
    <t>Rakshita S K</t>
  </si>
  <si>
    <t>2k24it082@kiot.ac.in</t>
  </si>
  <si>
    <t>20 August 2026  10:06 AM</t>
  </si>
  <si>
    <t>8 mins 27 secs</t>
  </si>
  <si>
    <t>Ram Prasanth</t>
  </si>
  <si>
    <t>2k24it125@kiot.ac.in</t>
  </si>
  <si>
    <t>20 August 2026  10:13 AM</t>
  </si>
  <si>
    <t>Ramya S</t>
  </si>
  <si>
    <t>2k24it085@kiot.ac.in</t>
  </si>
  <si>
    <t>19 August 2026  3:48 PM</t>
  </si>
  <si>
    <t>19 August 2026  3:56 PM</t>
  </si>
  <si>
    <t>7 mins 57 secs</t>
  </si>
  <si>
    <t>25 August 2026  11:51 AM</t>
  </si>
  <si>
    <t>Renugadevi</t>
  </si>
  <si>
    <t>2k24cse157@kiot.ac.in</t>
  </si>
  <si>
    <t>24 August 2026  7:39 PM</t>
  </si>
  <si>
    <t>24 August 2026  7:55 PM</t>
  </si>
  <si>
    <t>15 mins 24 secs</t>
  </si>
  <si>
    <t>2k24it087@kiot.ac.in</t>
  </si>
  <si>
    <t>20 August 2026  11:32 AM</t>
  </si>
  <si>
    <t>20 August 2026  11:44 AM</t>
  </si>
  <si>
    <t>vasu</t>
  </si>
  <si>
    <t>Rohit Vasu</t>
  </si>
  <si>
    <t>2k24ece130@kiot.ac.in</t>
  </si>
  <si>
    <t>24 August 2026  8:04 PM</t>
  </si>
  <si>
    <t>24 August 2026  8:14 PM</t>
  </si>
  <si>
    <t>RUBAN</t>
  </si>
  <si>
    <t>2k24eee45@kiot.ac.in</t>
  </si>
  <si>
    <t>23 August 2026  10:51 AM</t>
  </si>
  <si>
    <t>23 August 2026  11:05 AM</t>
  </si>
  <si>
    <t>Sabareesh</t>
  </si>
  <si>
    <t>2k24it088@kiot.ac.in</t>
  </si>
  <si>
    <t>20 August 2026  11:54 AM</t>
  </si>
  <si>
    <t>20 August 2026  12:10 PM</t>
  </si>
  <si>
    <t>SABARINATHAN</t>
  </si>
  <si>
    <t>2k24cse264@kiot.ac.in</t>
  </si>
  <si>
    <t>20 August 2026  11:14 AM</t>
  </si>
  <si>
    <t>28 mins 10 secs</t>
  </si>
  <si>
    <t>2k24cse166@kiot.ac.in</t>
  </si>
  <si>
    <t>21 August 2026  2:39 PM</t>
  </si>
  <si>
    <t>21 August 2026  2:46 PM</t>
  </si>
  <si>
    <t>Sanjai</t>
  </si>
  <si>
    <t>2k24it126@kiot.ac.in</t>
  </si>
  <si>
    <t>20 August 2026  6:42 PM</t>
  </si>
  <si>
    <t>20 August 2026  7:14 PM</t>
  </si>
  <si>
    <t>32 mins 2 secs</t>
  </si>
  <si>
    <t>2k24ce25@kiot.ac.in</t>
  </si>
  <si>
    <t>25 August 2026  11:30 AM</t>
  </si>
  <si>
    <t>17 mins 21 secs</t>
  </si>
  <si>
    <t>2k24cse177@kiot.ac.in</t>
  </si>
  <si>
    <t>25 August 2026  9:35 AM</t>
  </si>
  <si>
    <t>16 mins 1 sec</t>
  </si>
  <si>
    <t>S A</t>
  </si>
  <si>
    <t>2k24cse253@kiot.ac.in</t>
  </si>
  <si>
    <t>Saran L</t>
  </si>
  <si>
    <t>2k24it127@kiot.ac.in</t>
  </si>
  <si>
    <t>19 August 2026  5:32 PM</t>
  </si>
  <si>
    <t>19 August 2026  5:41 PM</t>
  </si>
  <si>
    <t>9 mins 5 secs</t>
  </si>
  <si>
    <t>19 August 2026  5:42 PM</t>
  </si>
  <si>
    <t>19 August 2026  5:59 PM</t>
  </si>
  <si>
    <t>2k24it096@kiot.ac.in</t>
  </si>
  <si>
    <t>20 August 2026  7:32 AM</t>
  </si>
  <si>
    <t>20 August 2026  7:40 AM</t>
  </si>
  <si>
    <t>2k24cse184@kiot.ac.in</t>
  </si>
  <si>
    <t>24 August 2026  7:47 PM</t>
  </si>
  <si>
    <t>24 August 2026  8:07 PM</t>
  </si>
  <si>
    <t>Shrisanth</t>
  </si>
  <si>
    <t>2k24cse189@kiot.ac.in</t>
  </si>
  <si>
    <t>Soflin</t>
  </si>
  <si>
    <t>2k24cse191@kiot.ac.in</t>
  </si>
  <si>
    <t>19 August 2026  10:18 PM</t>
  </si>
  <si>
    <t>Sonupriya</t>
  </si>
  <si>
    <t>2k24cse193@kiot.ac.in</t>
  </si>
  <si>
    <t>21 August 2026  11:52 AM</t>
  </si>
  <si>
    <t>21 August 2026  12:23 PM</t>
  </si>
  <si>
    <t>30 mins 49 secs</t>
  </si>
  <si>
    <t>Sri Sakthi</t>
  </si>
  <si>
    <t>2k24it101@kiot.ac.in</t>
  </si>
  <si>
    <t>20 August 2026  5:50 AM</t>
  </si>
  <si>
    <t>20 August 2026  5:56 AM</t>
  </si>
  <si>
    <t>6 mins 5 secs</t>
  </si>
  <si>
    <t>Sri Sanjay</t>
  </si>
  <si>
    <t>2k24it102@kiot.ac.in</t>
  </si>
  <si>
    <t>7 mins 14 secs</t>
  </si>
  <si>
    <t>GM</t>
  </si>
  <si>
    <t>SRI VIGNESH</t>
  </si>
  <si>
    <t>Srina</t>
  </si>
  <si>
    <t>2k24it104@kiot.ac.in</t>
  </si>
  <si>
    <t>19 August 2026  4:02 PM</t>
  </si>
  <si>
    <t>SUJEETH</t>
  </si>
  <si>
    <t>2k24ece152@kiot.ac.in</t>
  </si>
  <si>
    <t>24 August 2026  1:11 PM</t>
  </si>
  <si>
    <t>24 August 2026  1:22 PM</t>
  </si>
  <si>
    <t>10 mins 51 secs</t>
  </si>
  <si>
    <t>Sujeeth</t>
  </si>
  <si>
    <t>2k24it107@kiot.ac.in</t>
  </si>
  <si>
    <t>20 August 2026  10:14 AM</t>
  </si>
  <si>
    <t>Sunthosh</t>
  </si>
  <si>
    <t>2k24cse206@kiot.ac.in</t>
  </si>
  <si>
    <t>20 August 2026  10:35 AM</t>
  </si>
  <si>
    <t>2k24aids107@kiot.ac.in</t>
  </si>
  <si>
    <t>19 August 2026  1:16 PM</t>
  </si>
  <si>
    <t>19 August 2026  1:29 PM</t>
  </si>
  <si>
    <t>12 mins 33 secs</t>
  </si>
  <si>
    <t>Tholkappiyan</t>
  </si>
  <si>
    <t>2k24it128@kiot.ac.in</t>
  </si>
  <si>
    <t>19 August 2026  9:47 PM</t>
  </si>
  <si>
    <t>19 August 2026  9:56 PM</t>
  </si>
  <si>
    <t>9 mins 7 secs</t>
  </si>
  <si>
    <t>Udayakumari</t>
  </si>
  <si>
    <t>2k24it111@kiot.ac.in</t>
  </si>
  <si>
    <t>20 August 2026  9:30 AM</t>
  </si>
  <si>
    <t>20 August 2026  9:40 AM</t>
  </si>
  <si>
    <t>10 mins 7 secs</t>
  </si>
  <si>
    <t>Vaishnavi Sri</t>
  </si>
  <si>
    <t>Vasantharaj</t>
  </si>
  <si>
    <t>2k24cse221@kiot.ac.in</t>
  </si>
  <si>
    <t>25 August 2026  8:13 AM</t>
  </si>
  <si>
    <t>25 August 2026  8:22 AM</t>
  </si>
  <si>
    <t>Vedhasri</t>
  </si>
  <si>
    <t>2k24it113@kiot.ac.in</t>
  </si>
  <si>
    <t>19 August 2026  8:32 PM</t>
  </si>
  <si>
    <t>19 August 2026  9:17 PM</t>
  </si>
  <si>
    <t>Vedhavarshini</t>
  </si>
  <si>
    <t>2k24it114@kiot.ac.in</t>
  </si>
  <si>
    <t>20 August 2026  11:35 AM</t>
  </si>
  <si>
    <t>9 mins 47 secs</t>
  </si>
  <si>
    <t>25 August 2026  11:59 AM</t>
  </si>
  <si>
    <t>25 August 2026  12:21 PM</t>
  </si>
  <si>
    <t>Vigas</t>
  </si>
  <si>
    <t>NA</t>
  </si>
  <si>
    <t>Vimalanand</t>
  </si>
  <si>
    <t>2k24cse230@kiot.ac.in</t>
  </si>
  <si>
    <t>25 August 2026  11:12 AM</t>
  </si>
  <si>
    <t>25 August 2026  11:32 AM</t>
  </si>
  <si>
    <t>Vinoth M</t>
  </si>
  <si>
    <t>2k24it117@kiot.ac.in</t>
  </si>
  <si>
    <t>24 August 2026  7:33 PM</t>
  </si>
  <si>
    <t>24 August 2026  7:42 PM</t>
  </si>
  <si>
    <t>18 August 2026  10:32 PM</t>
  </si>
  <si>
    <t>22 August 2026  2:02 PM</t>
  </si>
  <si>
    <t>22 August 2026  2:18 PM</t>
  </si>
  <si>
    <t>VISHWA BHARATHI</t>
  </si>
  <si>
    <t>2k24ece176@kiot.ac.in</t>
  </si>
  <si>
    <t>19 August 2026  8:02 PM</t>
  </si>
  <si>
    <t>19 August 2026  8:12 PM</t>
  </si>
  <si>
    <t>S S</t>
  </si>
  <si>
    <t>VISNU SRI</t>
  </si>
  <si>
    <t>2k24cse255@kiot.ac.in</t>
  </si>
  <si>
    <t>23 August 2026  1:30 PM</t>
  </si>
  <si>
    <t>23 August 2026  1:37 PM</t>
  </si>
  <si>
    <t>7 mins 7 secs</t>
  </si>
  <si>
    <t>Yadieeshvar</t>
  </si>
  <si>
    <t>2k24it118@kiot.ac.in</t>
  </si>
  <si>
    <t>19 August 2026  10:11 PM</t>
  </si>
  <si>
    <t>Yogesh P</t>
  </si>
  <si>
    <t>2k24cse239@kiot.ac.in</t>
  </si>
  <si>
    <t>25 August 2026  11:57 AM</t>
  </si>
  <si>
    <t>23 mins 10 secs</t>
  </si>
  <si>
    <t>YOKESH</t>
  </si>
  <si>
    <t>2k24ece178@kiot.ac.in</t>
  </si>
  <si>
    <t>24 August 2026  8:37 PM</t>
  </si>
  <si>
    <t>24 August 2026  8:44 PM</t>
  </si>
  <si>
    <t>6 mins 35 secs</t>
  </si>
  <si>
    <t>10 August 2026  12:45 AM</t>
  </si>
  <si>
    <t>24 August 2026  9:20 PM</t>
  </si>
  <si>
    <t>24 August 2026  9:26 PM</t>
  </si>
  <si>
    <t>Yuvaraj</t>
  </si>
  <si>
    <t>2k24it119@kiot.ac.in</t>
  </si>
  <si>
    <t>20 August 2026  12:09 PM</t>
  </si>
  <si>
    <t>20 August 2026  12:29 PM</t>
  </si>
  <si>
    <t>20 mins 4 secs</t>
  </si>
  <si>
    <t>YUVARAJ KRISHNAN</t>
  </si>
  <si>
    <t>2k24eee60@kiot.ac.in</t>
  </si>
  <si>
    <t>19 August 2026  4:03 PM</t>
  </si>
  <si>
    <t>19 August 2026  4:16 PM</t>
  </si>
  <si>
    <t>21.79</t>
  </si>
  <si>
    <t>0.87</t>
  </si>
  <si>
    <t>0.78</t>
  </si>
  <si>
    <t>0.89</t>
  </si>
  <si>
    <t>20 August 2026  6:18 AM</t>
  </si>
  <si>
    <t>20 August 2026  6:53 AM</t>
  </si>
  <si>
    <t>19 August 2026  1:56 PM</t>
  </si>
  <si>
    <t>19 August 2026  2:24 PM</t>
  </si>
  <si>
    <t>24 August 2026  6:05 PM</t>
  </si>
  <si>
    <t>24 August 2026  6:25 PM</t>
  </si>
  <si>
    <t>25 August 2026  9:20 AM</t>
  </si>
  <si>
    <t>25 August 2026  9:46 AM</t>
  </si>
  <si>
    <t>26 mins 43 secs</t>
  </si>
  <si>
    <t>21 August 2026  3:29 PM</t>
  </si>
  <si>
    <t>21 August 2026  4:06 PM</t>
  </si>
  <si>
    <t>37 mins 29 secs</t>
  </si>
  <si>
    <t>23 August 2026  12:06 PM</t>
  </si>
  <si>
    <t>23 August 2026  12:26 PM</t>
  </si>
  <si>
    <t>25 August 2026  9:56 AM</t>
  </si>
  <si>
    <t>25 August 2026  10:17 AM</t>
  </si>
  <si>
    <t>22 August 2026  10:38 AM</t>
  </si>
  <si>
    <t>22 August 2026  11:12 AM</t>
  </si>
  <si>
    <t>34 mins 32 secs</t>
  </si>
  <si>
    <t>21 August 2026  1:13 PM</t>
  </si>
  <si>
    <t>21 August 2026  1:48 PM</t>
  </si>
  <si>
    <t>34 mins 40 secs</t>
  </si>
  <si>
    <t>22 August 2026  12:59 PM</t>
  </si>
  <si>
    <t>22 August 2026  1:32 PM</t>
  </si>
  <si>
    <t>32 mins 53 secs</t>
  </si>
  <si>
    <t>22 August 2026  1:56 PM</t>
  </si>
  <si>
    <t>22 August 2026  2:17 PM</t>
  </si>
  <si>
    <t>21 mins 8 secs</t>
  </si>
  <si>
    <t>25 August 2026  9:18 AM</t>
  </si>
  <si>
    <t>25 August 2026  9:41 AM</t>
  </si>
  <si>
    <t>17 August 2026  8:23 PM</t>
  </si>
  <si>
    <t>23 August 2026  7:19 PM</t>
  </si>
  <si>
    <t>23 August 2026  7:59 PM</t>
  </si>
  <si>
    <t>39 mins 59 secs</t>
  </si>
  <si>
    <t>21 August 2026  9:34 AM</t>
  </si>
  <si>
    <t>21 August 2026  10:03 AM</t>
  </si>
  <si>
    <t>25 August 2026  9:58 AM</t>
  </si>
  <si>
    <t>20 August 2026  8:18 PM</t>
  </si>
  <si>
    <t>20 August 2026  8:30 PM</t>
  </si>
  <si>
    <t>25 August 2026  11:28 AM</t>
  </si>
  <si>
    <t>25 August 2026  11:54 AM</t>
  </si>
  <si>
    <t>18 August 2026  10:38 PM</t>
  </si>
  <si>
    <t>24 August 2026  8:45 PM</t>
  </si>
  <si>
    <t>24 August 2026  9:07 PM</t>
  </si>
  <si>
    <t>22 mins 47 secs</t>
  </si>
  <si>
    <t>24 August 2026  9:38 PM</t>
  </si>
  <si>
    <t>24 August 2026  9:47 PM</t>
  </si>
  <si>
    <t>24 August 2026  10:01 PM</t>
  </si>
  <si>
    <t>19 mins 51 secs</t>
  </si>
  <si>
    <t>25 August 2026  9:45 AM</t>
  </si>
  <si>
    <t>25 August 2026  10:45 AM</t>
  </si>
  <si>
    <t>25 August 2026  10:47 AM</t>
  </si>
  <si>
    <t>25 August 2026  11:05 AM</t>
  </si>
  <si>
    <t>17 mins 59 secs</t>
  </si>
  <si>
    <t>25 August 2026  9:28 AM</t>
  </si>
  <si>
    <t>18 mins 35 secs</t>
  </si>
  <si>
    <t>20 August 2026  9:53 PM</t>
  </si>
  <si>
    <t>13 mins 43 secs</t>
  </si>
  <si>
    <t>21 August 2026  1:24 PM</t>
  </si>
  <si>
    <t>21 August 2026  1:50 PM</t>
  </si>
  <si>
    <t>25 August 2026  10:00 AM</t>
  </si>
  <si>
    <t>25 August 2026  10:56 AM</t>
  </si>
  <si>
    <t>25 August 2026  10:12 AM</t>
  </si>
  <si>
    <t>25 August 2026  11:23 AM</t>
  </si>
  <si>
    <t>25 August 2026  11:36 AM</t>
  </si>
  <si>
    <t>25 August 2026  10:37 AM</t>
  </si>
  <si>
    <t>25 August 2026  10:58 AM</t>
  </si>
  <si>
    <t>20 mins 53 secs</t>
  </si>
  <si>
    <t>20 August 2026  6:26 AM</t>
  </si>
  <si>
    <t>20 August 2026  6:59 AM</t>
  </si>
  <si>
    <t>33 mins 4 secs</t>
  </si>
  <si>
    <t>24 August 2026  10:15 PM</t>
  </si>
  <si>
    <t>24 August 2026  10:31 PM</t>
  </si>
  <si>
    <t>24 August 2026  8:58 PM</t>
  </si>
  <si>
    <t>24 August 2026  9:15 PM</t>
  </si>
  <si>
    <t>25 August 2026  9:08 AM</t>
  </si>
  <si>
    <t>25 August 2026  9:37 AM</t>
  </si>
  <si>
    <t>20 August 2026  8:45 PM</t>
  </si>
  <si>
    <t>20 August 2026  9:08 PM</t>
  </si>
  <si>
    <t>24 August 2026  9:30 PM</t>
  </si>
  <si>
    <t>24 August 2026  9:49 PM</t>
  </si>
  <si>
    <t>19 mins 19 secs</t>
  </si>
  <si>
    <t>25 August 2026  9:40 AM</t>
  </si>
  <si>
    <t>25 August 2026  9:55 AM</t>
  </si>
  <si>
    <t>14 mins 55 secs</t>
  </si>
  <si>
    <t>24 August 2026  8:34 PM</t>
  </si>
  <si>
    <t>24 August 2026  10:37 PM</t>
  </si>
  <si>
    <t>24 August 2026  9:51 PM</t>
  </si>
  <si>
    <t>27 mins 59 secs</t>
  </si>
  <si>
    <t>24 August 2026  6:51 PM</t>
  </si>
  <si>
    <t>25 August 2026  9:26 AM</t>
  </si>
  <si>
    <t>25 August 2026  10:03 AM</t>
  </si>
  <si>
    <t>36 mins 52 secs</t>
  </si>
  <si>
    <t>24 August 2026  1:44 PM</t>
  </si>
  <si>
    <t>24 August 2026  1:52 PM</t>
  </si>
  <si>
    <t>25 August 2026  9:17 AM</t>
  </si>
  <si>
    <t>25 August 2026  9:15 AM</t>
  </si>
  <si>
    <t>25 August 2026  9:38 AM</t>
  </si>
  <si>
    <t>22 mins 51 secs</t>
  </si>
  <si>
    <t>21 August 2026  8:33 PM</t>
  </si>
  <si>
    <t>21 August 2026  9:00 PM</t>
  </si>
  <si>
    <t>27 mins 7 secs</t>
  </si>
  <si>
    <t>23 August 2026  7:29 PM</t>
  </si>
  <si>
    <t>23 August 2026  7:57 PM</t>
  </si>
  <si>
    <t>19 August 2026  8:52 PM</t>
  </si>
  <si>
    <t>19 August 2026  9:45 PM</t>
  </si>
  <si>
    <t>52 mins 29 secs</t>
  </si>
  <si>
    <t>22 mins 22 secs</t>
  </si>
  <si>
    <t>24 August 2026  8:15 PM</t>
  </si>
  <si>
    <t>24 August 2026  9:02 PM</t>
  </si>
  <si>
    <t>47 mins 3 secs</t>
  </si>
  <si>
    <t>24 August 2026  10:14 PM</t>
  </si>
  <si>
    <t>24 August 2026  10:46 PM</t>
  </si>
  <si>
    <t>31 mins 15 secs</t>
  </si>
  <si>
    <t>23 August 2026  12:03 PM</t>
  </si>
  <si>
    <t>23 August 2026  12:20 PM</t>
  </si>
  <si>
    <t>24 August 2026  8:13 PM</t>
  </si>
  <si>
    <t>24 August 2026  8:35 PM</t>
  </si>
  <si>
    <t>22 mins 6 secs</t>
  </si>
  <si>
    <t>24 August 2026  9:50 PM</t>
  </si>
  <si>
    <t>24 August 2026  10:16 PM</t>
  </si>
  <si>
    <t>20 August 2026  11:13 AM</t>
  </si>
  <si>
    <t>20 August 2026  11:34 AM</t>
  </si>
  <si>
    <t>21 mins 47 secs</t>
  </si>
  <si>
    <t>24 August 2026  9:32 PM</t>
  </si>
  <si>
    <t>20 August 2026  2:33 PM</t>
  </si>
  <si>
    <t>20 August 2026  3:06 PM</t>
  </si>
  <si>
    <t>24 August 2026  8:31 PM</t>
  </si>
  <si>
    <t>24 August 2026  8:08 PM</t>
  </si>
  <si>
    <t>24 August 2026  8:36 PM</t>
  </si>
  <si>
    <t>27 mins 41 secs</t>
  </si>
  <si>
    <t>23 August 2026  1:41 PM</t>
  </si>
  <si>
    <t>23 August 2026  2:12 PM</t>
  </si>
  <si>
    <t>19 August 2026  10:30 PM</t>
  </si>
  <si>
    <t>25 August 2026  11:15 AM</t>
  </si>
  <si>
    <t>25 August 2026  11:10 AM</t>
  </si>
  <si>
    <t>48 mins 55 secs</t>
  </si>
  <si>
    <t>23 August 2026  8:55 PM</t>
  </si>
  <si>
    <t>23 August 2026  8:59 PM</t>
  </si>
  <si>
    <t>3 mins 27 secs</t>
  </si>
  <si>
    <t>24 August 2026  4:01 PM</t>
  </si>
  <si>
    <t>25 August 2026  10:30 AM</t>
  </si>
  <si>
    <t>25 August 2026  10:55 AM</t>
  </si>
  <si>
    <t>19 August 2026  2:07 PM</t>
  </si>
  <si>
    <t>19 August 2026  2:49 PM</t>
  </si>
  <si>
    <t>41 mins 27 secs</t>
  </si>
  <si>
    <t>20 August 2026  8:08 AM</t>
  </si>
  <si>
    <t>20 August 2026  9:08 AM</t>
  </si>
  <si>
    <t>22 August 2026  9:06 PM</t>
  </si>
  <si>
    <t>22 August 2026  9:34 PM</t>
  </si>
  <si>
    <t>23 August 2026  7:44 PM</t>
  </si>
  <si>
    <t>23 August 2026  8:18 PM</t>
  </si>
  <si>
    <t>33 mins 57 secs</t>
  </si>
  <si>
    <t>24 August 2026  9:03 PM</t>
  </si>
  <si>
    <t>24 August 2026  9:41 PM</t>
  </si>
  <si>
    <t>38 mins 38 secs</t>
  </si>
  <si>
    <t>25 August 2026  11:22 AM</t>
  </si>
  <si>
    <t>25 August 2026  12:02 PM</t>
  </si>
  <si>
    <t>40 mins 24 secs</t>
  </si>
  <si>
    <t>48 mins 12 secs</t>
  </si>
  <si>
    <t>24 August 2026  9:35 PM</t>
  </si>
  <si>
    <t>58 mins 5 secs</t>
  </si>
  <si>
    <t>19 August 2026  8:04 PM</t>
  </si>
  <si>
    <t>19 August 2026  8:19 PM</t>
  </si>
  <si>
    <t>19 August 2026  11:28 PM</t>
  </si>
  <si>
    <t>20 August 2026  12:22 AM</t>
  </si>
  <si>
    <t>53 mins 40 secs</t>
  </si>
  <si>
    <t>24 August 2026  1:36 PM</t>
  </si>
  <si>
    <t>24 August 2026  2:04 PM</t>
  </si>
  <si>
    <t>25 August 2026  12:18 PM</t>
  </si>
  <si>
    <t>25 August 2026  12:51 PM</t>
  </si>
  <si>
    <t>19 August 2026  7:38 PM</t>
  </si>
  <si>
    <t>19 August 2026  7:55 PM</t>
  </si>
  <si>
    <t>16 mins 33 secs</t>
  </si>
  <si>
    <t>19 August 2026  8:16 PM</t>
  </si>
  <si>
    <t>24 August 2026  10:49 AM</t>
  </si>
  <si>
    <t>19 August 2026  8:15 PM</t>
  </si>
  <si>
    <t>20 August 2026  9:12 AM</t>
  </si>
  <si>
    <t>20 August 2026  9:34 AM</t>
  </si>
  <si>
    <t>21 August 2026  7:13 PM</t>
  </si>
  <si>
    <t>21 August 2026  7:39 PM</t>
  </si>
  <si>
    <t>25 August 2026  10:01 AM</t>
  </si>
  <si>
    <t>16 mins 13 secs</t>
  </si>
  <si>
    <t>17 August 2026  11:39 AM</t>
  </si>
  <si>
    <t>23 August 2026  4:28 PM</t>
  </si>
  <si>
    <t>23 August 2026  5:28 PM</t>
  </si>
  <si>
    <t>34 mins 38 secs</t>
  </si>
  <si>
    <t>21 August 2026  10:19 AM</t>
  </si>
  <si>
    <t>21 August 2026  10:47 AM</t>
  </si>
  <si>
    <t>23 August 2026  9:45 PM</t>
  </si>
  <si>
    <t>23 August 2026  10:25 PM</t>
  </si>
  <si>
    <t>40 mins 6 secs</t>
  </si>
  <si>
    <t>20 August 2026  9:45 PM</t>
  </si>
  <si>
    <t>20 August 2026  10:45 PM</t>
  </si>
  <si>
    <t>18 August 2026  10:44 PM</t>
  </si>
  <si>
    <t>19 August 2026  6:55 PM</t>
  </si>
  <si>
    <t>19 August 2026  7:51 PM</t>
  </si>
  <si>
    <t>56 mins 31 secs</t>
  </si>
  <si>
    <t>19 August 2026  1:55 PM</t>
  </si>
  <si>
    <t>19 August 2026  2:55 PM</t>
  </si>
  <si>
    <t>22 August 2026  3:31 PM</t>
  </si>
  <si>
    <t>22 August 2026  4:09 PM</t>
  </si>
  <si>
    <t>38 mins 26 secs</t>
  </si>
  <si>
    <t>22 August 2026  9:27 PM</t>
  </si>
  <si>
    <t>22 August 2026  9:58 PM</t>
  </si>
  <si>
    <t>30 mins 15 secs</t>
  </si>
  <si>
    <t>23 August 2026  8:30 AM</t>
  </si>
  <si>
    <t>23 August 2026  8:54 AM</t>
  </si>
  <si>
    <t>19 August 2026  9:27 PM</t>
  </si>
  <si>
    <t>19 August 2026  9:53 PM</t>
  </si>
  <si>
    <t>26 mins 21 secs</t>
  </si>
  <si>
    <t>20 August 2026  9:13 AM</t>
  </si>
  <si>
    <t>20 August 2026  9:41 AM</t>
  </si>
  <si>
    <t>20 August 2026  10:50 AM</t>
  </si>
  <si>
    <t>20 August 2026  11:22 AM</t>
  </si>
  <si>
    <t>32 mins 26 secs</t>
  </si>
  <si>
    <t>20 August 2026  10:03 AM</t>
  </si>
  <si>
    <t>20 August 2026  10:39 AM</t>
  </si>
  <si>
    <t>35 mins 49 secs</t>
  </si>
  <si>
    <t>21 mins 59 secs</t>
  </si>
  <si>
    <t>19 August 2026  9:26 PM</t>
  </si>
  <si>
    <t>26 mins 16 secs</t>
  </si>
  <si>
    <t>20 August 2026  10:59 AM</t>
  </si>
  <si>
    <t>20 August 2026  11:41 AM</t>
  </si>
  <si>
    <t>41 mins 32 secs</t>
  </si>
  <si>
    <t>20 August 2026  10:43 AM</t>
  </si>
  <si>
    <t>20 August 2026  11:02 AM</t>
  </si>
  <si>
    <t>19 mins 45 secs</t>
  </si>
  <si>
    <t>19 August 2026  10:07 PM</t>
  </si>
  <si>
    <t>19 August 2026  10:40 PM</t>
  </si>
  <si>
    <t>32 mins 31 secs</t>
  </si>
  <si>
    <t>21 August 2026  7:58 AM</t>
  </si>
  <si>
    <t>21 August 2026  8:58 AM</t>
  </si>
  <si>
    <t>59 mins 42 secs</t>
  </si>
  <si>
    <t>19 August 2026  10:15 PM</t>
  </si>
  <si>
    <t>19 August 2026  10:31 PM</t>
  </si>
  <si>
    <t>20 August 2026  11:30 AM</t>
  </si>
  <si>
    <t>20 August 2026  11:42 AM</t>
  </si>
  <si>
    <t>59 mins 16 secs</t>
  </si>
  <si>
    <t>20 August 2026  11:37 AM</t>
  </si>
  <si>
    <t>56 mins 11 secs</t>
  </si>
  <si>
    <t>20 August 2026  8:40 PM</t>
  </si>
  <si>
    <t>20 August 2026  8:51 PM</t>
  </si>
  <si>
    <t>10 mins 56 secs</t>
  </si>
  <si>
    <t>19 August 2026  4:12 PM</t>
  </si>
  <si>
    <t>19 August 2026  4:24 PM</t>
  </si>
  <si>
    <t>20 August 2026  8:36 PM</t>
  </si>
  <si>
    <t>20 August 2026  11:08 AM</t>
  </si>
  <si>
    <t>20 August 2026  11:57 AM</t>
  </si>
  <si>
    <t>48 mins 58 secs</t>
  </si>
  <si>
    <t>20 August 2026  10:58 AM</t>
  </si>
  <si>
    <t>20 August 2026  11:24 AM</t>
  </si>
  <si>
    <t>23 August 2026  12:02 PM</t>
  </si>
  <si>
    <t>23 August 2026  12:21 PM</t>
  </si>
  <si>
    <t>18 mins 28 secs</t>
  </si>
  <si>
    <t>20 August 2026  10:33 AM</t>
  </si>
  <si>
    <t>29 mins 2 secs</t>
  </si>
  <si>
    <t>20 August 2026  10:38 AM</t>
  </si>
  <si>
    <t>20 August 2026  11:27 AM</t>
  </si>
  <si>
    <t>48 mins 28 secs</t>
  </si>
  <si>
    <t>20 August 2026  11:05 AM</t>
  </si>
  <si>
    <t>20 August 2026  11:18 AM</t>
  </si>
  <si>
    <t>20 August 2026  10:09 AM</t>
  </si>
  <si>
    <t>22 mins 7 secs</t>
  </si>
  <si>
    <t>20 August 2026  11:17 AM</t>
  </si>
  <si>
    <t>20 August 2026  10:44 AM</t>
  </si>
  <si>
    <t>20 August 2026  8:08 PM</t>
  </si>
  <si>
    <t>20 August 2026  8:37 PM</t>
  </si>
  <si>
    <t>28 mins 51 secs</t>
  </si>
  <si>
    <t>23 August 2026  6:56 PM</t>
  </si>
  <si>
    <t>23 August 2026  7:17 PM</t>
  </si>
  <si>
    <t>20 August 2026  9:55 AM</t>
  </si>
  <si>
    <t>23 August 2026  9:25 AM</t>
  </si>
  <si>
    <t>23 August 2026  9:52 AM</t>
  </si>
  <si>
    <t>27 mins 19 secs</t>
  </si>
  <si>
    <t>20 August 2026  10:54 AM</t>
  </si>
  <si>
    <t>20 August 2026  11:50 AM</t>
  </si>
  <si>
    <t>21 August 2026  10:30 AM</t>
  </si>
  <si>
    <t>21 August 2026  10:44 AM</t>
  </si>
  <si>
    <t>20 August 2026  11:47 AM</t>
  </si>
  <si>
    <t>24 mins 25 secs</t>
  </si>
  <si>
    <t>19 August 2026  8:39 PM</t>
  </si>
  <si>
    <t>19 August 2026  9:11 PM</t>
  </si>
  <si>
    <t>32 mins 14 secs</t>
  </si>
  <si>
    <t>19 August 2026  9:18 PM</t>
  </si>
  <si>
    <t>19 August 2026  9:29 PM</t>
  </si>
  <si>
    <t>36 mins 51 secs</t>
  </si>
  <si>
    <t>20 August 2026  11:12 AM</t>
  </si>
  <si>
    <t>45 mins 26 secs</t>
  </si>
  <si>
    <t>19 August 2026  10:20 PM</t>
  </si>
  <si>
    <t>19 August 2026  10:48 PM</t>
  </si>
  <si>
    <t>20 August 2026  10:52 AM</t>
  </si>
  <si>
    <t>20 August 2026  7:26 AM</t>
  </si>
  <si>
    <t>20 August 2026  7:49 AM</t>
  </si>
  <si>
    <t>20 August 2026  10:56 AM</t>
  </si>
  <si>
    <t>26 mins 9 secs</t>
  </si>
  <si>
    <t>19 August 2026  4:01 PM</t>
  </si>
  <si>
    <t>19 August 2026  4:25 PM</t>
  </si>
  <si>
    <t>20 August 2026  12:15 PM</t>
  </si>
  <si>
    <t>24 mins 41 secs</t>
  </si>
  <si>
    <t>20 August 2026  12:18 PM</t>
  </si>
  <si>
    <t>20 August 2026  1:13 PM</t>
  </si>
  <si>
    <t>54 mins 34 secs</t>
  </si>
  <si>
    <t>20 August 2026  10:00 AM</t>
  </si>
  <si>
    <t>20 August 2026  7:44 AM</t>
  </si>
  <si>
    <t>20 August 2026  8:21 AM</t>
  </si>
  <si>
    <t>36 mins 30 secs</t>
  </si>
  <si>
    <t>20 August 2026  12:06 PM</t>
  </si>
  <si>
    <t>29 mins 20 secs</t>
  </si>
  <si>
    <t>20 August 2026  6:21 AM</t>
  </si>
  <si>
    <t>20 August 2026  6:50 AM</t>
  </si>
  <si>
    <t>28 mins 36 secs</t>
  </si>
  <si>
    <t>47 mins 26 secs</t>
  </si>
  <si>
    <t>19 August 2026  4:08 PM</t>
  </si>
  <si>
    <t>19 August 2026  4:21 PM</t>
  </si>
  <si>
    <t>19 August 2026  8:31 PM</t>
  </si>
  <si>
    <t>19 August 2026  9:31 PM</t>
  </si>
  <si>
    <t>20 August 2026  9:47 PM</t>
  </si>
  <si>
    <t>20 August 2026  10:09 PM</t>
  </si>
  <si>
    <t>20 August 2026  10:04 AM</t>
  </si>
  <si>
    <t>20 August 2026  7:19 AM</t>
  </si>
  <si>
    <t>20 August 2026  8:00 AM</t>
  </si>
  <si>
    <t>40 mins 52 secs</t>
  </si>
  <si>
    <t>24 August 2026  7:44 PM</t>
  </si>
  <si>
    <t>23 mins 22 secs</t>
  </si>
  <si>
    <t>20 August 2026  11:06 AM</t>
  </si>
  <si>
    <t>20 August 2026  11:00 AM</t>
  </si>
  <si>
    <t>20 August 2026  11:49 AM</t>
  </si>
  <si>
    <t>49 mins 7 secs</t>
  </si>
  <si>
    <t>44 mins 18 secs</t>
  </si>
  <si>
    <t>48 mins 39 secs</t>
  </si>
  <si>
    <t>20 August 2026  11:36 AM</t>
  </si>
  <si>
    <t>46 mins 8 secs</t>
  </si>
  <si>
    <t>20 August 2026  7:26 PM</t>
  </si>
  <si>
    <t>20 August 2026  8:17 PM</t>
  </si>
  <si>
    <t>50 mins 54 secs</t>
  </si>
  <si>
    <t>27 mins 13 secs</t>
  </si>
  <si>
    <t>20 August 2026  1:38 PM</t>
  </si>
  <si>
    <t>20 August 2026  1:52 PM</t>
  </si>
  <si>
    <t>13 mins 40 secs</t>
  </si>
  <si>
    <t>19 August 2026  1:36 PM</t>
  </si>
  <si>
    <t>19 August 2026  2:11 PM</t>
  </si>
  <si>
    <t>35 mins 51 secs</t>
  </si>
  <si>
    <t>19 August 2026  12:34 PM</t>
  </si>
  <si>
    <t>37.37</t>
  </si>
  <si>
    <t>6.96</t>
  </si>
  <si>
    <t>7.55</t>
  </si>
  <si>
    <t>7.62</t>
  </si>
  <si>
    <t>7.71</t>
  </si>
  <si>
    <t>7.54</t>
  </si>
  <si>
    <t>2k24cse047@kiot.ac.in</t>
  </si>
  <si>
    <t>2k24cse243@kiot.ac.in</t>
  </si>
  <si>
    <t>2k24cse247@kiot.ac.in</t>
  </si>
  <si>
    <t>2k24cse248@kiot.ac.in</t>
  </si>
  <si>
    <t>2k24cse086@kiot.ac.in</t>
  </si>
  <si>
    <t>2k24cse088@kiot.ac.in</t>
  </si>
  <si>
    <t>2k24cse092@kiot.ac.in</t>
  </si>
  <si>
    <t>2k24cse095@kiot.ac.in</t>
  </si>
  <si>
    <t>2k24cse104@kiot.ac.in</t>
  </si>
  <si>
    <t>2k24cse120@kiot.ac.in</t>
  </si>
  <si>
    <t>2k24cse123@kiot.ac.in</t>
  </si>
  <si>
    <t>2k24cse128@kiot.ac.in</t>
  </si>
  <si>
    <t>2k24cse130@kiot.ac.in</t>
  </si>
  <si>
    <t>2k24cse131@kiot.ac.in</t>
  </si>
  <si>
    <t>2k24cse133@kiot.ac.in</t>
  </si>
  <si>
    <t>2k24cse134@kiot.ac.in</t>
  </si>
  <si>
    <t>2k24cse135@kiot.ac.in</t>
  </si>
  <si>
    <t>2k24cse140@kiot.ac.in</t>
  </si>
  <si>
    <t>2k24cse141@kiot.ac.in</t>
  </si>
  <si>
    <t>2k24cse143@kiot.ac.in</t>
  </si>
  <si>
    <t>2k24cse146@kiot.ac.in</t>
  </si>
  <si>
    <t>2k24cse147@kiot.ac.in</t>
  </si>
  <si>
    <t>2k24cse151@kiot.ac.in</t>
  </si>
  <si>
    <t>2k24cse152@kiot.ac.in</t>
  </si>
  <si>
    <t>2k24cse158@kiot.ac.in</t>
  </si>
  <si>
    <t>2k24cse159@kiot.ac.in</t>
  </si>
  <si>
    <t>2k24cse161@kiot.ac.in</t>
  </si>
  <si>
    <t>2k24cse163@kiot.ac.in</t>
  </si>
  <si>
    <t>2k24cse167@kiot.ac.in</t>
  </si>
  <si>
    <t>2k24cse174@kiot.ac.in</t>
  </si>
  <si>
    <t>2k24cse178@kiot.ac.in</t>
  </si>
  <si>
    <t>2k24cse256@kiot.ac.in</t>
  </si>
  <si>
    <t>2k24cse258@kiot.ac.in</t>
  </si>
  <si>
    <t>2k24cse259@kiot.ac.in</t>
  </si>
  <si>
    <t>2k24cse261@kiot.ac.in</t>
  </si>
  <si>
    <t>2k24cse262@kiot.ac.in</t>
  </si>
  <si>
    <t>2k24cse179@kiot.ac.in</t>
  </si>
  <si>
    <t>2k24cse180@kiot.ac.in</t>
  </si>
  <si>
    <t>2k24cse182@kiot.ac.in</t>
  </si>
  <si>
    <t>2k24cse183@kiot.ac.in</t>
  </si>
  <si>
    <t>2k24cse187@kiot.ac.in</t>
  </si>
  <si>
    <t>2k24cse188@kiot.ac.in</t>
  </si>
  <si>
    <t>2k24cse194@kiot.ac.in</t>
  </si>
  <si>
    <t>2k24cse198@kiot.ac.in</t>
  </si>
  <si>
    <t>2k24cse201@kiot.ac.in</t>
  </si>
  <si>
    <t>2k24cse205@kiot.ac.in</t>
  </si>
  <si>
    <t>2k24cse210@kiot.ac.in</t>
  </si>
  <si>
    <t>2k24cse211@kiot.ac.in</t>
  </si>
  <si>
    <t>2k24cse212@kiot.ac.in</t>
  </si>
  <si>
    <t>2k24cse217@kiot.ac.in</t>
  </si>
  <si>
    <t>2k24cse218@kiot.ac.in</t>
  </si>
  <si>
    <t>2k24ece005@kiot.ac.in</t>
  </si>
  <si>
    <t>2k24ece009@kiot.ac.in</t>
  </si>
  <si>
    <t>2k24ece022@kiot.ac.in</t>
  </si>
  <si>
    <t>2k24ece124@kiot.ac.in</t>
  </si>
  <si>
    <t>2k24ece135@kiot.ac.in</t>
  </si>
  <si>
    <t>2k24ece138@kiot.ac.in</t>
  </si>
  <si>
    <t>2k24ece151@kiot.ac.in</t>
  </si>
  <si>
    <t>2k24ece153@kiot.ac.in</t>
  </si>
  <si>
    <t>2k24it020@kiot.ac.in</t>
  </si>
  <si>
    <t>2k24it054@kiot.ac.in</t>
  </si>
  <si>
    <t>2k24it059@kiot.ac.in</t>
  </si>
  <si>
    <t>2K24it080@kiot.ac.in</t>
  </si>
  <si>
    <t>2k24csbs43@kiot.ac.in</t>
  </si>
  <si>
    <t>2k24eee01@kiot.ac.in</t>
  </si>
  <si>
    <t>2k24eee03@kiot.ac.in</t>
  </si>
  <si>
    <t>2k24eee06@kiot.ac.in</t>
  </si>
  <si>
    <t>2k24eee13@kiot.ac.in</t>
  </si>
  <si>
    <t>2k24eee23@kiot.ac.in</t>
  </si>
  <si>
    <t>2k24eee26@kiot.ac.in</t>
  </si>
  <si>
    <t>2k24eee27@kiot.ac.in</t>
  </si>
  <si>
    <t>2k24eee28@kiot.ac.in</t>
  </si>
  <si>
    <t>2k24eee30@kiot.ac.in</t>
  </si>
  <si>
    <t>2k24eee32@kiot.ac.in</t>
  </si>
  <si>
    <t>2k24eee34@kiot.ac.in</t>
  </si>
  <si>
    <t>2k24eee39@kiot.ac.in</t>
  </si>
  <si>
    <t>2k24eee40@kiot.ac.in</t>
  </si>
  <si>
    <t>2k24eee43@kiot.ac.in</t>
  </si>
  <si>
    <t>2k24eee44@kiot.ac.in</t>
  </si>
  <si>
    <t>2k24eee50@kiot.ac.in</t>
  </si>
  <si>
    <t>2k24eee51@kiot.ac.in</t>
  </si>
  <si>
    <t>2k24eee53@kiot.ac.in</t>
  </si>
  <si>
    <t>2k24eee55@kiot.ac.in</t>
  </si>
  <si>
    <t>2k24eee56@kiot.ac.in</t>
  </si>
  <si>
    <t>2k24ce01@kiot.ac.in</t>
  </si>
  <si>
    <t>2k24ce02@kiot.ac.in</t>
  </si>
  <si>
    <t>2k24ce03@kiot.ac.in</t>
  </si>
  <si>
    <t>2k24ce07@kiot.ac.in</t>
  </si>
  <si>
    <t>2k24ce09@kiot.ac.in</t>
  </si>
  <si>
    <t>2k24ce10@kiot.ac.in</t>
  </si>
  <si>
    <t>2k24ce12@kiot.ac.in</t>
  </si>
  <si>
    <t>2k24ce13@kiot.ac.in</t>
  </si>
  <si>
    <t>2k24ce17@kiot.ac.in</t>
  </si>
  <si>
    <t>2k24ce18@kiot.ac.in</t>
  </si>
  <si>
    <t>2k24ce21@kiot.ac.in</t>
  </si>
  <si>
    <t>2k24ce22@kiot.ac.in</t>
  </si>
  <si>
    <t>2k24ce24@kiot.ac.in</t>
  </si>
  <si>
    <t>2k24ce26@kiot.ac.in</t>
  </si>
  <si>
    <t>2k24ce27@kiot.ac.in</t>
  </si>
  <si>
    <t>2k24ce29@kiot.ac.in</t>
  </si>
  <si>
    <t>2k24ce30@kiot.ac.in</t>
  </si>
  <si>
    <t>2k24ce31@kiot.ac.in</t>
  </si>
  <si>
    <t>2k24me002@kiot.ac.in</t>
  </si>
  <si>
    <t>2k24me004@kiot.ac.in</t>
  </si>
  <si>
    <t>2k24me005@kiot.ac.in</t>
  </si>
  <si>
    <t>2k24me006@kiot.ac.in</t>
  </si>
  <si>
    <t>2k24me007@kiot.ac.in</t>
  </si>
  <si>
    <t>2k24me009@kiot.ac.in</t>
  </si>
  <si>
    <t>2k24me010@kiot.ac.in</t>
  </si>
  <si>
    <t>2k24me011@kiot.ac.in</t>
  </si>
  <si>
    <t>2k24me013@kiot.ac.in</t>
  </si>
  <si>
    <t>2k24me025@kiot.ac.in</t>
  </si>
  <si>
    <t>2k24me026@kiot.ac.in</t>
  </si>
  <si>
    <t>2k24me034@kiot.ac.in</t>
  </si>
  <si>
    <t>2k24me040@kiot.ac.in</t>
  </si>
  <si>
    <t>2k24me041@kiot.ac.in</t>
  </si>
  <si>
    <t>2k24me043@kiot.ac.in</t>
  </si>
  <si>
    <t>2k24me046@kiot.ac.in</t>
  </si>
  <si>
    <t>2k24me051@kiot.ac.in</t>
  </si>
  <si>
    <t>2k24me110@kiot.ac.in</t>
  </si>
  <si>
    <t>2k24me113@kiot.ac.in</t>
  </si>
  <si>
    <t>2k24me114@kiot.ac.in</t>
  </si>
  <si>
    <t>2k24me117@kiot.ac.in</t>
  </si>
  <si>
    <t>2k24me119@kiot.ac.in</t>
  </si>
  <si>
    <t>2k24me120@kiot.ac.in</t>
  </si>
  <si>
    <t>2k22me028@kiot.ac.in</t>
  </si>
  <si>
    <t>2k24me056@kiot.ac.in</t>
  </si>
  <si>
    <t>2k24me057@kiot.ac.in</t>
  </si>
  <si>
    <t>2k24me058@kiot.ac.in</t>
  </si>
  <si>
    <t>2k24me059@kiot.ac.in</t>
  </si>
  <si>
    <t>2k24me061@kiot.ac.in</t>
  </si>
  <si>
    <t>2k24me064@kiot.ac.in</t>
  </si>
  <si>
    <t>2k24me065@kiot.ac.in</t>
  </si>
  <si>
    <t>2k24me066@kiot.ac.in</t>
  </si>
  <si>
    <t>2k24me067@kiot.ac.in</t>
  </si>
  <si>
    <t>2k24me068@kiot.ac.in</t>
  </si>
  <si>
    <t>2k24me069@kiot.ac.in</t>
  </si>
  <si>
    <t>2k24me070@kiot.ac.in</t>
  </si>
  <si>
    <t>2k24me071@kiot.ac.in</t>
  </si>
  <si>
    <t>2k24me073@kiot.ac.in</t>
  </si>
  <si>
    <t>2k24me074@kiot.ac.in</t>
  </si>
  <si>
    <t>2k24me075@kiot.ac.in</t>
  </si>
  <si>
    <t>2k24me076@kiot.ac.in</t>
  </si>
  <si>
    <t>2k24me077@kiot.ac.in</t>
  </si>
  <si>
    <t>2k24me078@kiot.ac.in</t>
  </si>
  <si>
    <t>2k24me079@kiot.ac.in</t>
  </si>
  <si>
    <t>2k24me080@kiot.ac.in</t>
  </si>
  <si>
    <t>2k24me082@kiot.ac.in</t>
  </si>
  <si>
    <t>2k24me083@kiot.ac.in</t>
  </si>
  <si>
    <t>2k24me084@kiot.ac.in</t>
  </si>
  <si>
    <t>2k24me086@kiot.ac.in</t>
  </si>
  <si>
    <t>2k24me087@kiot.ac.in</t>
  </si>
  <si>
    <t>2k24me088@kiot.ac.in</t>
  </si>
  <si>
    <t>2k24me089@kiot.ac.in</t>
  </si>
  <si>
    <t>2k24me090@kiot.ac.in</t>
  </si>
  <si>
    <t>2k24me091@kiot.ac.in</t>
  </si>
  <si>
    <t>2k24me092@kiot.ac.in</t>
  </si>
  <si>
    <t>2k24me093@kiot.ac.in</t>
  </si>
  <si>
    <t>2k24me094@kiot.ac.in</t>
  </si>
  <si>
    <t>2k24me095@kiot.ac.in</t>
  </si>
  <si>
    <t>2k24me096@kiot.ac.in</t>
  </si>
  <si>
    <t>2k24me097@kiot.ac.in</t>
  </si>
  <si>
    <t>2k24eee61@kiot.ac.in</t>
  </si>
  <si>
    <t>2k24eee65@kiot.ac.in</t>
  </si>
  <si>
    <t>2k24ce32@kiot.ac.in</t>
  </si>
  <si>
    <t>2k24ce33@kiot.ac.in</t>
  </si>
  <si>
    <t>2k24ce34@kiot.ac.in</t>
  </si>
  <si>
    <t>2k24cse219@kiot.ac.in</t>
  </si>
  <si>
    <t>2k24cse222@kiot.ac.in</t>
  </si>
  <si>
    <t>2k24cse223@kiot.ac.in</t>
  </si>
  <si>
    <t>2k24cse226@kiot.ac.in</t>
  </si>
  <si>
    <t>2k24cse232@kiot.ac.in</t>
  </si>
  <si>
    <t>2k24cse234@kiot.ac.in</t>
  </si>
  <si>
    <t>2k24cse265@kiot.ac.in</t>
  </si>
  <si>
    <t>2k24ece192@kiot.ac.in</t>
  </si>
  <si>
    <t>2k24ece193@kiot.ac.in</t>
  </si>
  <si>
    <t>2k24ece196@kiot.ac.in</t>
  </si>
  <si>
    <t>2k24me098@kiot.ac.in</t>
  </si>
  <si>
    <t>2k24me099@kiot.ac.in</t>
  </si>
  <si>
    <t>2k24me100@kiot.ac.in</t>
  </si>
  <si>
    <t>2k24me101@kiot.ac.in</t>
  </si>
  <si>
    <t>2k24me102@kiot.ac.in</t>
  </si>
  <si>
    <t>2k24me103@kiot.ac.in</t>
  </si>
  <si>
    <t>2k24me105@kiot.ac.in</t>
  </si>
  <si>
    <t>2k24me106@kiot.ac.in</t>
  </si>
  <si>
    <t>2k24me107@kiot.ac.in</t>
  </si>
  <si>
    <t>2k24me108@kiot.ac.in</t>
  </si>
  <si>
    <t>2k24me109@kiot.ac.in</t>
  </si>
  <si>
    <t>2k24me116@kiot.ac.in</t>
  </si>
  <si>
    <t>2k24me118@kiot.ac.in</t>
  </si>
  <si>
    <t>2k24me121@kiot.ac.in</t>
  </si>
  <si>
    <t>2k24me122@kiot.ac.in</t>
  </si>
  <si>
    <t>2k24me123@kiot.ac.in</t>
  </si>
  <si>
    <t>2k24me124@kiot.ac.in</t>
  </si>
  <si>
    <t>2k24me125@kiot.ac.in</t>
  </si>
  <si>
    <t>2k24me126@kiot.ac.in</t>
  </si>
  <si>
    <t>2k24me128@kiot.ac.in</t>
  </si>
  <si>
    <t>2k24me129@kiot.ac.in</t>
  </si>
  <si>
    <t>2k24me130@kiot.ac.in</t>
  </si>
  <si>
    <t>2k24me132@kiot.ac.in</t>
  </si>
  <si>
    <t>Aakash S</t>
  </si>
  <si>
    <t>Abarna A J</t>
  </si>
  <si>
    <t>Abinaiyaa N</t>
  </si>
  <si>
    <t>Adhishya M</t>
  </si>
  <si>
    <t>Akshaya P</t>
  </si>
  <si>
    <t>Akshaya S S</t>
  </si>
  <si>
    <t>Annapoorani L</t>
  </si>
  <si>
    <t>Anusha L</t>
  </si>
  <si>
    <t>Anuvarsha M</t>
  </si>
  <si>
    <t>Ariharamanikandan P</t>
  </si>
  <si>
    <t>Arun Balaji S S</t>
  </si>
  <si>
    <t>Ashfaq Ahamed J</t>
  </si>
  <si>
    <t>Avanthika D S</t>
  </si>
  <si>
    <t>Avishsharan S A</t>
  </si>
  <si>
    <t>Babu C P</t>
  </si>
  <si>
    <t>Balasubramaniyam S</t>
  </si>
  <si>
    <t>Barathkumar S</t>
  </si>
  <si>
    <t>Bharath B</t>
  </si>
  <si>
    <t>Bharath Kannan A R</t>
  </si>
  <si>
    <t>Bhavana J</t>
  </si>
  <si>
    <t>Boobalan L</t>
  </si>
  <si>
    <t>Chandru K</t>
  </si>
  <si>
    <t>Deepak C H</t>
  </si>
  <si>
    <t>Deepasri P</t>
  </si>
  <si>
    <t>Desika S</t>
  </si>
  <si>
    <t>Dhaksana R</t>
  </si>
  <si>
    <t>Dhakshata S</t>
  </si>
  <si>
    <t>Dhanushree R</t>
  </si>
  <si>
    <t>Dharaneeshwaran K</t>
  </si>
  <si>
    <t>Dharani I S</t>
  </si>
  <si>
    <t>Dharani M</t>
  </si>
  <si>
    <t>Dharanidharan B</t>
  </si>
  <si>
    <t>Dharanish K</t>
  </si>
  <si>
    <t>Dharanya M</t>
  </si>
  <si>
    <t>Dharshini G S</t>
  </si>
  <si>
    <t>Dharshini T K</t>
  </si>
  <si>
    <t>Dharun M</t>
  </si>
  <si>
    <t>Dheepan M</t>
  </si>
  <si>
    <t>Dheepikarani T</t>
  </si>
  <si>
    <t>Dhesmashri S</t>
  </si>
  <si>
    <t>Dhinesh O</t>
  </si>
  <si>
    <t>Dineshkumar R</t>
  </si>
  <si>
    <t>Divagaran G</t>
  </si>
  <si>
    <t>Divika M</t>
  </si>
  <si>
    <t>Divyaprasath K R</t>
  </si>
  <si>
    <t>Emimaal K V</t>
  </si>
  <si>
    <t>Eniya V G</t>
  </si>
  <si>
    <t>Gnanambigai C</t>
  </si>
  <si>
    <t>Gokula Krishnan S</t>
  </si>
  <si>
    <t>Gokulnathan S</t>
  </si>
  <si>
    <t>Gopeshcharan K</t>
  </si>
  <si>
    <t>Gunavathi K L</t>
  </si>
  <si>
    <t>Haasini R</t>
  </si>
  <si>
    <t>Hari Hara Suthan S</t>
  </si>
  <si>
    <t>Hariharan R C</t>
  </si>
  <si>
    <t>Hariharan S</t>
  </si>
  <si>
    <t>Harikrishnan S</t>
  </si>
  <si>
    <t>Harini E</t>
  </si>
  <si>
    <t>Dilip Kumar S</t>
  </si>
  <si>
    <t>Hemanth S</t>
  </si>
  <si>
    <t>Karthick R</t>
  </si>
  <si>
    <t>Kaushik S</t>
  </si>
  <si>
    <t>Kaviya T</t>
  </si>
  <si>
    <t>Pathmasri S V</t>
  </si>
  <si>
    <t>Rohan P</t>
  </si>
  <si>
    <t>Sri Ragvendra S</t>
  </si>
  <si>
    <t>Harini M</t>
  </si>
  <si>
    <t>Harini M K</t>
  </si>
  <si>
    <t>Harini N S</t>
  </si>
  <si>
    <t>Harish R</t>
  </si>
  <si>
    <t>Harishraaj B</t>
  </si>
  <si>
    <t>Ijaz Ahamed A</t>
  </si>
  <si>
    <t>Inbhatamizhan V</t>
  </si>
  <si>
    <t>Iniya T</t>
  </si>
  <si>
    <t>Jaganathan V</t>
  </si>
  <si>
    <t>Janani P</t>
  </si>
  <si>
    <t>Javagar Srinevas R P</t>
  </si>
  <si>
    <t>Jayakanth S</t>
  </si>
  <si>
    <t>Jayavighnesh B K</t>
  </si>
  <si>
    <t>Jeeva P</t>
  </si>
  <si>
    <t>Jeevadharshini V</t>
  </si>
  <si>
    <t>Jeevitha K</t>
  </si>
  <si>
    <t>Jhanani S R</t>
  </si>
  <si>
    <t>Jishnu R</t>
  </si>
  <si>
    <t>Kamalesh Siva P</t>
  </si>
  <si>
    <t>Kammaleshraj V S</t>
  </si>
  <si>
    <t>Kanimozhi L</t>
  </si>
  <si>
    <t>Kanishk N</t>
  </si>
  <si>
    <t>Karthick Raja S</t>
  </si>
  <si>
    <t>Karthick V</t>
  </si>
  <si>
    <t>Karthikeyan A</t>
  </si>
  <si>
    <t>Kathir S</t>
  </si>
  <si>
    <t>Kaushik M</t>
  </si>
  <si>
    <t>Kavinmani C S</t>
  </si>
  <si>
    <t>Kavyanjali S</t>
  </si>
  <si>
    <t>Kawsika S</t>
  </si>
  <si>
    <t>Kayalvizhi M</t>
  </si>
  <si>
    <t>Kiran Kumar N P S</t>
  </si>
  <si>
    <t>Kirthik Raj S J</t>
  </si>
  <si>
    <t>Kiruthiga M</t>
  </si>
  <si>
    <t>Kishore S</t>
  </si>
  <si>
    <t>Kowshick R</t>
  </si>
  <si>
    <t>Lakshana G</t>
  </si>
  <si>
    <t>Lavanya B</t>
  </si>
  <si>
    <t>Lavanya K</t>
  </si>
  <si>
    <t>Lavanya P</t>
  </si>
  <si>
    <t>Lohitha A</t>
  </si>
  <si>
    <t>Madheswaran S</t>
  </si>
  <si>
    <t>Maithreya N</t>
  </si>
  <si>
    <t>Manojkumar V R</t>
  </si>
  <si>
    <t>Mathishree I</t>
  </si>
  <si>
    <t>Meenatchi K</t>
  </si>
  <si>
    <t>Mitra M S</t>
  </si>
  <si>
    <t>Mohamed Hasith K</t>
  </si>
  <si>
    <t>Mohammad Sharukh M</t>
  </si>
  <si>
    <t>Mohan R</t>
  </si>
  <si>
    <t>Mohnish Selvam</t>
  </si>
  <si>
    <t>Monika B</t>
  </si>
  <si>
    <t>Monika M</t>
  </si>
  <si>
    <t>Monisha D</t>
  </si>
  <si>
    <t>Monisha S</t>
  </si>
  <si>
    <t>Mosika N</t>
  </si>
  <si>
    <t>Moumeetha S K</t>
  </si>
  <si>
    <t>Mouneesh S</t>
  </si>
  <si>
    <t>Mounish U P</t>
  </si>
  <si>
    <t>Dinesh M</t>
  </si>
  <si>
    <t>Divyasree E</t>
  </si>
  <si>
    <t>Hari Prasanth V</t>
  </si>
  <si>
    <t>Mani Rathnam L K</t>
  </si>
  <si>
    <t>Saran S A</t>
  </si>
  <si>
    <t>Sarveshwaran A</t>
  </si>
  <si>
    <t>Visnu Sri S S</t>
  </si>
  <si>
    <t>Mourisikaa G K</t>
  </si>
  <si>
    <t>Muhammed Shuaib N</t>
  </si>
  <si>
    <t>Nadish M</t>
  </si>
  <si>
    <t>Nandhakumar G</t>
  </si>
  <si>
    <t>Nandhini M</t>
  </si>
  <si>
    <t>Nandish M</t>
  </si>
  <si>
    <t>Naveen Adhithya S</t>
  </si>
  <si>
    <t>Naveen Karthick C P</t>
  </si>
  <si>
    <t>Naveen Krishna V</t>
  </si>
  <si>
    <t>Naveen M</t>
  </si>
  <si>
    <t>Naveen S</t>
  </si>
  <si>
    <t>Naveena K</t>
  </si>
  <si>
    <t>Niglesh Sundhar K S</t>
  </si>
  <si>
    <t>Nircitha V</t>
  </si>
  <si>
    <t>Nirmal K</t>
  </si>
  <si>
    <t>Nishanth A</t>
  </si>
  <si>
    <t>Nithish Kanna R</t>
  </si>
  <si>
    <t>Nithishkumar M</t>
  </si>
  <si>
    <t>Nivashini S</t>
  </si>
  <si>
    <t>Prabhuram B</t>
  </si>
  <si>
    <t>Prasanna Hari R T</t>
  </si>
  <si>
    <t>Prasanna Krishna T A</t>
  </si>
  <si>
    <t>Praveen S</t>
  </si>
  <si>
    <t>Praveen Kumar M</t>
  </si>
  <si>
    <t>Pravin K</t>
  </si>
  <si>
    <t>Preetha S</t>
  </si>
  <si>
    <t>Prithika Shri V</t>
  </si>
  <si>
    <t>Priyadharshan S</t>
  </si>
  <si>
    <t>Priyadharshini J</t>
  </si>
  <si>
    <t>Rabinaya V</t>
  </si>
  <si>
    <t>Ragul C</t>
  </si>
  <si>
    <t>Raguram A</t>
  </si>
  <si>
    <t>Ramachandran G</t>
  </si>
  <si>
    <t>Ramyasri M</t>
  </si>
  <si>
    <t>Rathikasri S K</t>
  </si>
  <si>
    <t>Reena M J</t>
  </si>
  <si>
    <t>Renugadevi M</t>
  </si>
  <si>
    <t>Riffat Fathima S</t>
  </si>
  <si>
    <t>Rithik Aswin A J</t>
  </si>
  <si>
    <t>Rithish Barath N</t>
  </si>
  <si>
    <t>Rocith B</t>
  </si>
  <si>
    <t>Rohini Kanagaraj</t>
  </si>
  <si>
    <t>Roshan Shri Hari S</t>
  </si>
  <si>
    <t>Roshni V</t>
  </si>
  <si>
    <t>Sabarinathan K</t>
  </si>
  <si>
    <t>Sachin P K</t>
  </si>
  <si>
    <t>Sachin Raja R</t>
  </si>
  <si>
    <t>Sachiv R</t>
  </si>
  <si>
    <t>Sajitha S</t>
  </si>
  <si>
    <t>Sakthi T C</t>
  </si>
  <si>
    <t>Sandhiya M</t>
  </si>
  <si>
    <t>Sanjaishankar R</t>
  </si>
  <si>
    <t>Sanjeevsurya R</t>
  </si>
  <si>
    <t>Santhosh P</t>
  </si>
  <si>
    <t>Santhosh S</t>
  </si>
  <si>
    <t>Santhoshkumar M</t>
  </si>
  <si>
    <t>Saran Sri Prasath S</t>
  </si>
  <si>
    <t>Balaji C</t>
  </si>
  <si>
    <t>Balakishore S B</t>
  </si>
  <si>
    <t>Dineshkumar K</t>
  </si>
  <si>
    <t>Mathavan M</t>
  </si>
  <si>
    <t>Mavetha V T</t>
  </si>
  <si>
    <t>Mohammed Sadiq Basha S</t>
  </si>
  <si>
    <t>Surendera Kumar S</t>
  </si>
  <si>
    <t>Saravanakumar J</t>
  </si>
  <si>
    <t>Sathish G</t>
  </si>
  <si>
    <t>Sathya M</t>
  </si>
  <si>
    <t>Seshathri S</t>
  </si>
  <si>
    <t>Shanmugapriya G A</t>
  </si>
  <si>
    <t>Shanmugapriya S</t>
  </si>
  <si>
    <t>Sharmila K</t>
  </si>
  <si>
    <t>Sharvatha S K</t>
  </si>
  <si>
    <t>Sharvesh R T</t>
  </si>
  <si>
    <t>Sheik Ahamed A H</t>
  </si>
  <si>
    <t>Shrisanth R</t>
  </si>
  <si>
    <t>Sivashree K V S</t>
  </si>
  <si>
    <t>Soflin S</t>
  </si>
  <si>
    <t>Sonal M B</t>
  </si>
  <si>
    <t>Sonupriya B</t>
  </si>
  <si>
    <t>Soundaryalakshmi S</t>
  </si>
  <si>
    <t>Sowmiya J</t>
  </si>
  <si>
    <t>Sowmya S</t>
  </si>
  <si>
    <t>Sriamirthaa D G</t>
  </si>
  <si>
    <t>Sridhar B</t>
  </si>
  <si>
    <t>Srijay M</t>
  </si>
  <si>
    <t>Subasri R</t>
  </si>
  <si>
    <t>Sudharsan S</t>
  </si>
  <si>
    <t>Suhana T</t>
  </si>
  <si>
    <t>Suji S</t>
  </si>
  <si>
    <t>Sujith M</t>
  </si>
  <si>
    <t>Sujith Ashwin T V</t>
  </si>
  <si>
    <t>Sunthosh S</t>
  </si>
  <si>
    <t>Suriyakala B</t>
  </si>
  <si>
    <t>Suruthi K S</t>
  </si>
  <si>
    <t>Suvetha S</t>
  </si>
  <si>
    <t>Swathi G</t>
  </si>
  <si>
    <t>Swathi K</t>
  </si>
  <si>
    <t>Swathi M</t>
  </si>
  <si>
    <t>Swathy Sree K</t>
  </si>
  <si>
    <t>Swetha A</t>
  </si>
  <si>
    <t>Tamilarasan S</t>
  </si>
  <si>
    <t>Thanikshasri V</t>
  </si>
  <si>
    <t>Thilak P</t>
  </si>
  <si>
    <t>Udhayanithi A</t>
  </si>
  <si>
    <t>Aadhiishvar K</t>
  </si>
  <si>
    <t>Abdul Rahman A</t>
  </si>
  <si>
    <t>Abhejeith M</t>
  </si>
  <si>
    <t>Abhisheek S</t>
  </si>
  <si>
    <t>Abishek S A</t>
  </si>
  <si>
    <t>Abiya G</t>
  </si>
  <si>
    <t>Aburanandhan S</t>
  </si>
  <si>
    <t>Afsheen Rashik</t>
  </si>
  <si>
    <t>Afzal Ahamed B</t>
  </si>
  <si>
    <t>Ahamed Rila N</t>
  </si>
  <si>
    <t>Aishmithaa J R</t>
  </si>
  <si>
    <t>Aishwarya R</t>
  </si>
  <si>
    <t>Akash B</t>
  </si>
  <si>
    <t>Akash C</t>
  </si>
  <si>
    <t>Anish N</t>
  </si>
  <si>
    <t>Aravind P</t>
  </si>
  <si>
    <t>Aravindhan P</t>
  </si>
  <si>
    <t>Archana R</t>
  </si>
  <si>
    <t>Ashok N</t>
  </si>
  <si>
    <t>Asmathulla R</t>
  </si>
  <si>
    <t>Aswin J</t>
  </si>
  <si>
    <t>Avinash A</t>
  </si>
  <si>
    <t>Baskar M</t>
  </si>
  <si>
    <t>Boopathi G</t>
  </si>
  <si>
    <t>Brindha Sri R</t>
  </si>
  <si>
    <t>Deepak K</t>
  </si>
  <si>
    <t>Deepan Raj D</t>
  </si>
  <si>
    <t>Deepikaa P K</t>
  </si>
  <si>
    <t>Desikan S</t>
  </si>
  <si>
    <t>Devapriyan N</t>
  </si>
  <si>
    <t>Devikasri S</t>
  </si>
  <si>
    <t>Dhanuja S</t>
  </si>
  <si>
    <t>Dhanush R</t>
  </si>
  <si>
    <t>Dhanush S</t>
  </si>
  <si>
    <t>Dharaneshwar M</t>
  </si>
  <si>
    <t>Dharani R S</t>
  </si>
  <si>
    <t>Dharanish V</t>
  </si>
  <si>
    <t>Dharshana S</t>
  </si>
  <si>
    <t>Dharun D</t>
  </si>
  <si>
    <t>Dharun M V</t>
  </si>
  <si>
    <t>Dhayanithi K S</t>
  </si>
  <si>
    <t>Dinesh Babu J</t>
  </si>
  <si>
    <t>Dinesh R</t>
  </si>
  <si>
    <t>Dineshkumaran V</t>
  </si>
  <si>
    <t>Elakkiya S</t>
  </si>
  <si>
    <t>Farhan Mohamadu A</t>
  </si>
  <si>
    <t>Gayathri N</t>
  </si>
  <si>
    <t>Gokul Raj C</t>
  </si>
  <si>
    <t>Gopika A</t>
  </si>
  <si>
    <t>Gopika R</t>
  </si>
  <si>
    <t>Gowreesh B G</t>
  </si>
  <si>
    <t>Gowtham K</t>
  </si>
  <si>
    <t>Hari Prasath J S</t>
  </si>
  <si>
    <t>Harini S</t>
  </si>
  <si>
    <t>Harini S N</t>
  </si>
  <si>
    <t>Harish Subramaniyam K</t>
  </si>
  <si>
    <t>Hariveesan G</t>
  </si>
  <si>
    <t>Harshini Shri S M</t>
  </si>
  <si>
    <t>Anbumurugan S</t>
  </si>
  <si>
    <t>Arul P</t>
  </si>
  <si>
    <t>Deepak S</t>
  </si>
  <si>
    <t>Dharananeesh P</t>
  </si>
  <si>
    <t>Dineshkumar G</t>
  </si>
  <si>
    <t>Giriprasanth D</t>
  </si>
  <si>
    <t>Hemavathi S</t>
  </si>
  <si>
    <t>Indhuja P</t>
  </si>
  <si>
    <t>Jaishreenewas B</t>
  </si>
  <si>
    <t>Janani M</t>
  </si>
  <si>
    <t>Janarthanan B</t>
  </si>
  <si>
    <t>Jeevitha M</t>
  </si>
  <si>
    <t>Kailash R</t>
  </si>
  <si>
    <t>Kailash T S</t>
  </si>
  <si>
    <t>Kalaiselvi V</t>
  </si>
  <si>
    <t>Kalajayanthi M</t>
  </si>
  <si>
    <t>Kamalesh M</t>
  </si>
  <si>
    <t>Kamalesh S</t>
  </si>
  <si>
    <t>Kanika V</t>
  </si>
  <si>
    <t>Kanimozhi C</t>
  </si>
  <si>
    <t>Karthiga P</t>
  </si>
  <si>
    <t>Karthika S K</t>
  </si>
  <si>
    <t>Karthikhayini R</t>
  </si>
  <si>
    <t>Kathirperumal S</t>
  </si>
  <si>
    <t>Kaviya K</t>
  </si>
  <si>
    <t>Kirubakar S</t>
  </si>
  <si>
    <t>Kowsalya C</t>
  </si>
  <si>
    <t>Krishnakanth S</t>
  </si>
  <si>
    <t>Krishnakumar S</t>
  </si>
  <si>
    <t>Laxman R S</t>
  </si>
  <si>
    <t>Linguvasan J</t>
  </si>
  <si>
    <t>Logeshwaran C</t>
  </si>
  <si>
    <t>Lohima S</t>
  </si>
  <si>
    <t>Mahalakshmi G</t>
  </si>
  <si>
    <t>Manoj M</t>
  </si>
  <si>
    <t>Meiyarasu S</t>
  </si>
  <si>
    <t>Methra P M</t>
  </si>
  <si>
    <t>Midhun B</t>
  </si>
  <si>
    <t>Midhuna S</t>
  </si>
  <si>
    <t>Momithaa K S</t>
  </si>
  <si>
    <t>Monishwar S R</t>
  </si>
  <si>
    <t>Monitha N</t>
  </si>
  <si>
    <t>Nakshathra G</t>
  </si>
  <si>
    <t>Nandakumar M</t>
  </si>
  <si>
    <t>Navarasi S</t>
  </si>
  <si>
    <t>Naveenraj B</t>
  </si>
  <si>
    <t>Navya Shanmathi B</t>
  </si>
  <si>
    <t>Neshma C</t>
  </si>
  <si>
    <t>Nirmal Raj M</t>
  </si>
  <si>
    <t>Nishanthi D</t>
  </si>
  <si>
    <t>Nivinvarshan V S</t>
  </si>
  <si>
    <t>Parameshvar M D</t>
  </si>
  <si>
    <t>Pavithra M</t>
  </si>
  <si>
    <t>Poojakumari S S</t>
  </si>
  <si>
    <t>Prabhakaran P</t>
  </si>
  <si>
    <t>Pradeep J</t>
  </si>
  <si>
    <t>Pradeep J C</t>
  </si>
  <si>
    <t>Pradeep R V</t>
  </si>
  <si>
    <t>Pradeesh A S</t>
  </si>
  <si>
    <t>Gokulrethick S T</t>
  </si>
  <si>
    <t>Hariharan A N S</t>
  </si>
  <si>
    <t>Harini G</t>
  </si>
  <si>
    <t>Jayasuriya M</t>
  </si>
  <si>
    <t>Jothi Prakash B</t>
  </si>
  <si>
    <t>Kamlesh J</t>
  </si>
  <si>
    <t>Kumaran C D</t>
  </si>
  <si>
    <t>Praneesh V</t>
  </si>
  <si>
    <t>Priyadharsini R</t>
  </si>
  <si>
    <t>Priyadharshini U</t>
  </si>
  <si>
    <t>Raaghavharihara Y</t>
  </si>
  <si>
    <t>Ragav Kiruba S</t>
  </si>
  <si>
    <t>Ragul U S</t>
  </si>
  <si>
    <t>Rajeshwari S</t>
  </si>
  <si>
    <t>Ranganath C</t>
  </si>
  <si>
    <t>Ranjithkumar R S</t>
  </si>
  <si>
    <t>Renita Emerald R</t>
  </si>
  <si>
    <t>Rohith S</t>
  </si>
  <si>
    <t>Rohith V</t>
  </si>
  <si>
    <t>Roshmi K</t>
  </si>
  <si>
    <t>Rubini K</t>
  </si>
  <si>
    <t>Sakthi S</t>
  </si>
  <si>
    <t>Sanjaikumar S</t>
  </si>
  <si>
    <t>Sanjay S J</t>
  </si>
  <si>
    <t>Sanjayaram M</t>
  </si>
  <si>
    <t>Santhoshkumar B</t>
  </si>
  <si>
    <t>Saran K</t>
  </si>
  <si>
    <t>Saran Manju P S</t>
  </si>
  <si>
    <t>Sarvesh S B</t>
  </si>
  <si>
    <t>Shagana Shree S</t>
  </si>
  <si>
    <t>Shalini S</t>
  </si>
  <si>
    <t>Shanmuga Priya J</t>
  </si>
  <si>
    <t>Sidhupavithra S</t>
  </si>
  <si>
    <t>Siva Siddha Moorthy S</t>
  </si>
  <si>
    <t>Sowmiya M</t>
  </si>
  <si>
    <t>Srigokulakrishnan M B</t>
  </si>
  <si>
    <t>Subicsa P</t>
  </si>
  <si>
    <t>Sujan S</t>
  </si>
  <si>
    <t>Sujeeth S</t>
  </si>
  <si>
    <t>Sujith P M</t>
  </si>
  <si>
    <t>Sunmathi M</t>
  </si>
  <si>
    <t>Suriyaa V M</t>
  </si>
  <si>
    <t>Surya V</t>
  </si>
  <si>
    <t>Tamilarasan K R</t>
  </si>
  <si>
    <t>Tamizharasi K</t>
  </si>
  <si>
    <t>Thabassum A</t>
  </si>
  <si>
    <t>Tharun G</t>
  </si>
  <si>
    <t>Thegini N</t>
  </si>
  <si>
    <t>Thulasi Manikandan S</t>
  </si>
  <si>
    <t>Vaishnavi M</t>
  </si>
  <si>
    <t>Vassumitha K</t>
  </si>
  <si>
    <t>Vedhavyas S</t>
  </si>
  <si>
    <t>Aarthi A</t>
  </si>
  <si>
    <t>Akshaya R S</t>
  </si>
  <si>
    <t>Amirtha S</t>
  </si>
  <si>
    <t>Aneesha P</t>
  </si>
  <si>
    <t>Ardhanari L</t>
  </si>
  <si>
    <t>Balabharathi S</t>
  </si>
  <si>
    <t>Balaji S R</t>
  </si>
  <si>
    <t>Baranidharan S</t>
  </si>
  <si>
    <t>Bhoomika D</t>
  </si>
  <si>
    <t>Boopathi Raja P</t>
  </si>
  <si>
    <t>Chandra Krishnan D</t>
  </si>
  <si>
    <t>Chandru E</t>
  </si>
  <si>
    <t>Deepak M</t>
  </si>
  <si>
    <t>Deepanraj B</t>
  </si>
  <si>
    <t>Devaprakash S</t>
  </si>
  <si>
    <t>Devipriya D</t>
  </si>
  <si>
    <t>Devishirini S</t>
  </si>
  <si>
    <t>Dhanush Kumar S</t>
  </si>
  <si>
    <t>Dharanesh P</t>
  </si>
  <si>
    <t>Dharanidharan M</t>
  </si>
  <si>
    <t>Dharsan R</t>
  </si>
  <si>
    <t>Dharshana.R</t>
  </si>
  <si>
    <t>Dharshini M</t>
  </si>
  <si>
    <t>Dharshini T</t>
  </si>
  <si>
    <t>Dhesikaa V</t>
  </si>
  <si>
    <t>Divakaran S</t>
  </si>
  <si>
    <t>Duraiaakash S</t>
  </si>
  <si>
    <t>Duraimurugan R</t>
  </si>
  <si>
    <t>Francisca Mary A</t>
  </si>
  <si>
    <t>Gandhiselvan P</t>
  </si>
  <si>
    <t>Geetha Arun Priya S B</t>
  </si>
  <si>
    <t>Geethi Priyanka R K</t>
  </si>
  <si>
    <t>Gomathi Sankar M</t>
  </si>
  <si>
    <t>Gopika V</t>
  </si>
  <si>
    <t>Gowtham A</t>
  </si>
  <si>
    <t>Hareesh T</t>
  </si>
  <si>
    <t>Harina Shri S</t>
  </si>
  <si>
    <t>Harshanth V</t>
  </si>
  <si>
    <t>Imrankhan M</t>
  </si>
  <si>
    <t>Inbaragavan P</t>
  </si>
  <si>
    <t>Jagadeesan K</t>
  </si>
  <si>
    <t>Jeethendrababu P</t>
  </si>
  <si>
    <t>Jeevan S</t>
  </si>
  <si>
    <t>John Brightson N</t>
  </si>
  <si>
    <t>Kalkki R</t>
  </si>
  <si>
    <t>Kanishka P</t>
  </si>
  <si>
    <t>Karthiga Sree Suresh</t>
  </si>
  <si>
    <t>Karthik A</t>
  </si>
  <si>
    <t>Kaviya A</t>
  </si>
  <si>
    <t>Kaviyasri R</t>
  </si>
  <si>
    <t>Keerthik T</t>
  </si>
  <si>
    <t>Keerthivarshini C</t>
  </si>
  <si>
    <t>Kishor K</t>
  </si>
  <si>
    <t>Lakshana S</t>
  </si>
  <si>
    <t>Lakshanika M K S</t>
  </si>
  <si>
    <t>Lalith Kumar V</t>
  </si>
  <si>
    <t>Logith Prasath R S</t>
  </si>
  <si>
    <t>Madhan M</t>
  </si>
  <si>
    <t>Malaravan S</t>
  </si>
  <si>
    <t>Abishek K S</t>
  </si>
  <si>
    <t>Furhath Manas U</t>
  </si>
  <si>
    <t>Mohamed Saalim C K A</t>
  </si>
  <si>
    <t>Keerthivarma S</t>
  </si>
  <si>
    <t>Manoranjini Y</t>
  </si>
  <si>
    <t>Midhun R</t>
  </si>
  <si>
    <t>Miruthula V</t>
  </si>
  <si>
    <t>Mohamed Imran U</t>
  </si>
  <si>
    <t>Mohammed Thaleeb M R</t>
  </si>
  <si>
    <t>Monisa S</t>
  </si>
  <si>
    <t>Mukeshkumar M</t>
  </si>
  <si>
    <t>Muthukumaran M</t>
  </si>
  <si>
    <t>Naveen K</t>
  </si>
  <si>
    <t>Naveenasri M</t>
  </si>
  <si>
    <t>Nisvanth S</t>
  </si>
  <si>
    <t>Nithishkarna V</t>
  </si>
  <si>
    <t>Poovarasan S</t>
  </si>
  <si>
    <t>Pradeep N</t>
  </si>
  <si>
    <t>Pradesa V M</t>
  </si>
  <si>
    <t>Prakash R</t>
  </si>
  <si>
    <t>Praveen Kumar R</t>
  </si>
  <si>
    <t>Prem Ravikumar</t>
  </si>
  <si>
    <t>Rajvenkadam S</t>
  </si>
  <si>
    <t>Rakshita S K S</t>
  </si>
  <si>
    <t>Ramanan J S</t>
  </si>
  <si>
    <t>Ramesh B S</t>
  </si>
  <si>
    <t>Ramya S K</t>
  </si>
  <si>
    <t>Rashmi N S</t>
  </si>
  <si>
    <t>Rohini P</t>
  </si>
  <si>
    <t>Sabareesh A</t>
  </si>
  <si>
    <t>Sanjai Kumar M</t>
  </si>
  <si>
    <t>Sanjay Kumar S</t>
  </si>
  <si>
    <t>Santhosh C</t>
  </si>
  <si>
    <t>Saranya S D</t>
  </si>
  <si>
    <t>Saravana T</t>
  </si>
  <si>
    <t>Sathish S</t>
  </si>
  <si>
    <t>Sathish V</t>
  </si>
  <si>
    <t>Selva Bharathi V M</t>
  </si>
  <si>
    <t>Shalini K</t>
  </si>
  <si>
    <t>Sham R</t>
  </si>
  <si>
    <t>Sri Sakthi V</t>
  </si>
  <si>
    <t>Sri Sanjay V</t>
  </si>
  <si>
    <t>Sridharani G</t>
  </si>
  <si>
    <t>Srina S</t>
  </si>
  <si>
    <t>Sudheksha S</t>
  </si>
  <si>
    <t>Sujal Sharma N</t>
  </si>
  <si>
    <t>Surya Karthikeyan V S</t>
  </si>
  <si>
    <t>Swarnalakshmi C</t>
  </si>
  <si>
    <t>Syed Ajmal J</t>
  </si>
  <si>
    <t>Udayakumari R</t>
  </si>
  <si>
    <t>Vasundhara J</t>
  </si>
  <si>
    <t>Vedhasri G</t>
  </si>
  <si>
    <t>Vedhavarshini A</t>
  </si>
  <si>
    <t>Veera Dharshan V</t>
  </si>
  <si>
    <t>Vikranth V</t>
  </si>
  <si>
    <t>Abisheknandha R</t>
  </si>
  <si>
    <t>Akilesh D</t>
  </si>
  <si>
    <t>Aravind R</t>
  </si>
  <si>
    <t>Bavishri M</t>
  </si>
  <si>
    <t>Bowshik Sri Ram B A</t>
  </si>
  <si>
    <t>Dinesh A</t>
  </si>
  <si>
    <t>Divya Dharshini M</t>
  </si>
  <si>
    <t>Diwakar A M</t>
  </si>
  <si>
    <t>Giridharan S</t>
  </si>
  <si>
    <t>Gowreesh R M</t>
  </si>
  <si>
    <t>Gowtham S</t>
  </si>
  <si>
    <t>Gurujeeth K R</t>
  </si>
  <si>
    <t>Haripriya E</t>
  </si>
  <si>
    <t>Hemanth Eswar C</t>
  </si>
  <si>
    <t>Janani S</t>
  </si>
  <si>
    <t>Joel Prince H</t>
  </si>
  <si>
    <t>Karthik T</t>
  </si>
  <si>
    <t>Karthikeyan K</t>
  </si>
  <si>
    <t>Karthikeyan V</t>
  </si>
  <si>
    <t>Kathir S N</t>
  </si>
  <si>
    <t>Kishore M P</t>
  </si>
  <si>
    <t>Krithika B</t>
  </si>
  <si>
    <t>Lavanya Sree K</t>
  </si>
  <si>
    <t>Lavanya Sri R A</t>
  </si>
  <si>
    <t>Madhuvarshini R V</t>
  </si>
  <si>
    <t>Mahera Farheen F</t>
  </si>
  <si>
    <t>Mohanapriya S</t>
  </si>
  <si>
    <t>Mohanavel K S</t>
  </si>
  <si>
    <t>Monika S</t>
  </si>
  <si>
    <t>Naga Prasad M</t>
  </si>
  <si>
    <t>Narendar S</t>
  </si>
  <si>
    <t>Naresh K A</t>
  </si>
  <si>
    <t>Naveendran A</t>
  </si>
  <si>
    <t>Neeraja S</t>
  </si>
  <si>
    <t>Pavamana A</t>
  </si>
  <si>
    <t>Perarasu P T</t>
  </si>
  <si>
    <t>Phoornima R</t>
  </si>
  <si>
    <t>Poovarasan K</t>
  </si>
  <si>
    <t>Pratiksh S</t>
  </si>
  <si>
    <t>Priyanga K</t>
  </si>
  <si>
    <t>Rathish S</t>
  </si>
  <si>
    <t>Ravivarman T</t>
  </si>
  <si>
    <t>Rithika M</t>
  </si>
  <si>
    <t>Rohith D K</t>
  </si>
  <si>
    <t>Rohith Kumar L</t>
  </si>
  <si>
    <t>Sabu Shril B</t>
  </si>
  <si>
    <t>Setti Ravi Kumar</t>
  </si>
  <si>
    <t>Sharath S N</t>
  </si>
  <si>
    <t>Siranjeevi A</t>
  </si>
  <si>
    <t>Sowbarnika S</t>
  </si>
  <si>
    <t>Suhasini K V</t>
  </si>
  <si>
    <t>Teena Devi S</t>
  </si>
  <si>
    <t>Tirisigha R</t>
  </si>
  <si>
    <t>Vaigunthan S L</t>
  </si>
  <si>
    <t>Vasanthkumar A</t>
  </si>
  <si>
    <t>Vijaymani T</t>
  </si>
  <si>
    <t>Vishal G</t>
  </si>
  <si>
    <t>Vishal K</t>
  </si>
  <si>
    <t>Yasha P</t>
  </si>
  <si>
    <t>Abishek S</t>
  </si>
  <si>
    <t>Ajaikumar.R</t>
  </si>
  <si>
    <t>Ananthakrishnan.M.J</t>
  </si>
  <si>
    <t>Angelganisga.D.S</t>
  </si>
  <si>
    <t>Baraneedharan.S</t>
  </si>
  <si>
    <t>Bharath.D</t>
  </si>
  <si>
    <t>Deepasri.P</t>
  </si>
  <si>
    <t>Devisri.J.R</t>
  </si>
  <si>
    <t>Devkrishna V</t>
  </si>
  <si>
    <t>Dhana Sri.V.M</t>
  </si>
  <si>
    <t>Dhanushreya.G</t>
  </si>
  <si>
    <t>Dharshini S</t>
  </si>
  <si>
    <t>Dharshini S (15.11.2006)</t>
  </si>
  <si>
    <t>Haja Mohideen</t>
  </si>
  <si>
    <t>Harish J</t>
  </si>
  <si>
    <t>Harishbabu M</t>
  </si>
  <si>
    <t>Janani G</t>
  </si>
  <si>
    <t>Janani.K</t>
  </si>
  <si>
    <t>Jayashree M</t>
  </si>
  <si>
    <t>Jeevan.A.N.S</t>
  </si>
  <si>
    <t>Kaarthik Krishnan S</t>
  </si>
  <si>
    <t>Kaushik Raam.S</t>
  </si>
  <si>
    <t>Kavin P</t>
  </si>
  <si>
    <t>Kavishankar.V</t>
  </si>
  <si>
    <t>Kaviyarasu.C</t>
  </si>
  <si>
    <t>Kishore Karuna K</t>
  </si>
  <si>
    <t>Kishore.S</t>
  </si>
  <si>
    <t>Kumaran S</t>
  </si>
  <si>
    <t>Laksanaa.K.P</t>
  </si>
  <si>
    <t>Logeshwaran.R.M</t>
  </si>
  <si>
    <t>Mahakarthikeyan R</t>
  </si>
  <si>
    <t>Mathavaa Krishnaa.S</t>
  </si>
  <si>
    <t>Midhun Balaa.C</t>
  </si>
  <si>
    <t>Mohammed Usman.S</t>
  </si>
  <si>
    <t>Naren Karthick.M</t>
  </si>
  <si>
    <t>Narendraprasanth.R</t>
  </si>
  <si>
    <t>Naveen.P</t>
  </si>
  <si>
    <t>Nethra.P</t>
  </si>
  <si>
    <t>Nirmal Kumar.K</t>
  </si>
  <si>
    <t>Nishanth.P</t>
  </si>
  <si>
    <t>Pavithran.P</t>
  </si>
  <si>
    <t>Poovarasu S</t>
  </si>
  <si>
    <t>Pradeep M</t>
  </si>
  <si>
    <t>Raja Ganesh S</t>
  </si>
  <si>
    <t>Ruban.K</t>
  </si>
  <si>
    <t>Sabariraja G</t>
  </si>
  <si>
    <t>Sabhareeswari M</t>
  </si>
  <si>
    <t>Sachin J P</t>
  </si>
  <si>
    <t>Sakthivel.S</t>
  </si>
  <si>
    <t>Sanjay S</t>
  </si>
  <si>
    <t>Santhosh A</t>
  </si>
  <si>
    <t>Thanishka.M.S</t>
  </si>
  <si>
    <t>Tharun.K.S</t>
  </si>
  <si>
    <t>Uma A V</t>
  </si>
  <si>
    <t>Vaitheeswaran K</t>
  </si>
  <si>
    <t>Vigneshwaran J V</t>
  </si>
  <si>
    <t>Vijaivendhan A S</t>
  </si>
  <si>
    <t>Vijayvignesh S</t>
  </si>
  <si>
    <t>Vishwadharani A</t>
  </si>
  <si>
    <t>Yuvaraj Krishnan S</t>
  </si>
  <si>
    <t>Bharath Kumar J R</t>
  </si>
  <si>
    <t>Darshan Raaj G T</t>
  </si>
  <si>
    <t>Gokula Sri S</t>
  </si>
  <si>
    <t>Guruvishnu R</t>
  </si>
  <si>
    <t>Jodhieswaran S C</t>
  </si>
  <si>
    <t>Kishor K K</t>
  </si>
  <si>
    <t>Kishore M</t>
  </si>
  <si>
    <t>Kishore Rayan B</t>
  </si>
  <si>
    <t>Kowshik S T</t>
  </si>
  <si>
    <t>Lakshana D R</t>
  </si>
  <si>
    <t>Leonard Brandt M J</t>
  </si>
  <si>
    <t>Lingesh S</t>
  </si>
  <si>
    <t>Lingeshwar S R</t>
  </si>
  <si>
    <t>Mohamed Arsath M</t>
  </si>
  <si>
    <t>Mohammed Mathrab A</t>
  </si>
  <si>
    <t>Mugilan M</t>
  </si>
  <si>
    <t>Muneeshwar R L</t>
  </si>
  <si>
    <t>Nirmala R</t>
  </si>
  <si>
    <t>Oviya B</t>
  </si>
  <si>
    <t>Pradeep P</t>
  </si>
  <si>
    <t>Priyadharshini K</t>
  </si>
  <si>
    <t>Ranjith S</t>
  </si>
  <si>
    <t>Risikaesh V S</t>
  </si>
  <si>
    <t>Salman Khan S</t>
  </si>
  <si>
    <t>Sanjay M</t>
  </si>
  <si>
    <t>Sathya S</t>
  </si>
  <si>
    <t>Tharani G</t>
  </si>
  <si>
    <t>Vignesh K</t>
  </si>
  <si>
    <t>Viswanath T</t>
  </si>
  <si>
    <t>Yuvasri T</t>
  </si>
  <si>
    <t>Aarthi S</t>
  </si>
  <si>
    <t>Abhishek B</t>
  </si>
  <si>
    <t>Abinesh S</t>
  </si>
  <si>
    <t>Abishek D</t>
  </si>
  <si>
    <t>Ajay Dev A S</t>
  </si>
  <si>
    <t>Akishasri T</t>
  </si>
  <si>
    <t>Archana P</t>
  </si>
  <si>
    <t>Ashika V</t>
  </si>
  <si>
    <t>Bakkiyalakshmi M</t>
  </si>
  <si>
    <t>Balaji V</t>
  </si>
  <si>
    <t>Bharath A</t>
  </si>
  <si>
    <t>Bharathi V</t>
  </si>
  <si>
    <t>Boopathiraja S</t>
  </si>
  <si>
    <t>Deepakkumar R</t>
  </si>
  <si>
    <t>Deepika M</t>
  </si>
  <si>
    <t>Deepikasri V</t>
  </si>
  <si>
    <t>Devadharshini G</t>
  </si>
  <si>
    <t>Deva Dharshini S</t>
  </si>
  <si>
    <t>Devadharshini S</t>
  </si>
  <si>
    <t>Devasena K</t>
  </si>
  <si>
    <t>Dhanush M</t>
  </si>
  <si>
    <t>Dhik Shit Kumar S</t>
  </si>
  <si>
    <t>Dhinakaran S</t>
  </si>
  <si>
    <t>Dhivya Shree U</t>
  </si>
  <si>
    <t>Dhivya Sree A</t>
  </si>
  <si>
    <t>Digeesh N</t>
  </si>
  <si>
    <t>Divyashree V</t>
  </si>
  <si>
    <t>Geetha M</t>
  </si>
  <si>
    <t>Gowtham Sri Rajan M</t>
  </si>
  <si>
    <t>Harini P</t>
  </si>
  <si>
    <t>Hariram K V</t>
  </si>
  <si>
    <t>Harshini K</t>
  </si>
  <si>
    <t>Hemalatha S</t>
  </si>
  <si>
    <t>Ilamukilan S</t>
  </si>
  <si>
    <t>Jayapriya E</t>
  </si>
  <si>
    <t>Jitheeshwaran S</t>
  </si>
  <si>
    <t>Kannadhasan V</t>
  </si>
  <si>
    <t>Karishma A</t>
  </si>
  <si>
    <t>Karthik V</t>
  </si>
  <si>
    <t>Kasthuri S</t>
  </si>
  <si>
    <t>Kavinaya R</t>
  </si>
  <si>
    <t>Keshika P</t>
  </si>
  <si>
    <t>Kirutheen Kumar R</t>
  </si>
  <si>
    <t>Kiruthika S</t>
  </si>
  <si>
    <t>Laksshitha Sri T E</t>
  </si>
  <si>
    <t>Madhumitha M</t>
  </si>
  <si>
    <t>Manoj I</t>
  </si>
  <si>
    <t>Manoranjith J</t>
  </si>
  <si>
    <t>Mohammed Armaan M S</t>
  </si>
  <si>
    <t>Mohammed Riaz A</t>
  </si>
  <si>
    <t>Mokith B</t>
  </si>
  <si>
    <t>Mouleeswaran C</t>
  </si>
  <si>
    <t>Mounija R</t>
  </si>
  <si>
    <t>Mousika S</t>
  </si>
  <si>
    <t>Mukesh G</t>
  </si>
  <si>
    <t>Mukesh R</t>
  </si>
  <si>
    <t>Mukeshkumar K</t>
  </si>
  <si>
    <t>Nagendra Saravana Perumal G</t>
  </si>
  <si>
    <t>Nandhini Sree S</t>
  </si>
  <si>
    <t>Naveen N</t>
  </si>
  <si>
    <t>Nawin D B</t>
  </si>
  <si>
    <t>Nithish M H</t>
  </si>
  <si>
    <t>Oharihara Sudhan R</t>
  </si>
  <si>
    <t>Pavan Kumaar K S</t>
  </si>
  <si>
    <t>Pooja Gayathri V</t>
  </si>
  <si>
    <t>Poomiha M</t>
  </si>
  <si>
    <t>Poorva Deshmukh R</t>
  </si>
  <si>
    <t>Pragadeshwaran V</t>
  </si>
  <si>
    <t>Pranav M</t>
  </si>
  <si>
    <t>Pranava L</t>
  </si>
  <si>
    <t>Praveen B</t>
  </si>
  <si>
    <t>Rajesh N</t>
  </si>
  <si>
    <t>Raksha V S</t>
  </si>
  <si>
    <t>Ramnath P S</t>
  </si>
  <si>
    <t>Ranjith Kumar S</t>
  </si>
  <si>
    <t>Reshmi S</t>
  </si>
  <si>
    <t>Rithikesh S. R</t>
  </si>
  <si>
    <t>Ritthica S</t>
  </si>
  <si>
    <t>Rohithaa S J</t>
  </si>
  <si>
    <t>Rughni Sree S.B</t>
  </si>
  <si>
    <t>Sachin K</t>
  </si>
  <si>
    <t>Saran S</t>
  </si>
  <si>
    <t>Sasvin Rajan A R</t>
  </si>
  <si>
    <t>Sathya K</t>
  </si>
  <si>
    <t>Shanmugapriya K</t>
  </si>
  <si>
    <t>Shobana B</t>
  </si>
  <si>
    <t>Shobika R</t>
  </si>
  <si>
    <t>Sivapriyan T</t>
  </si>
  <si>
    <t>Sneha V</t>
  </si>
  <si>
    <t>Sri Sanchive Kumar R</t>
  </si>
  <si>
    <t>Sri Shanmathi J</t>
  </si>
  <si>
    <t>Sri Vignesh G M</t>
  </si>
  <si>
    <t>Subahshree S V</t>
  </si>
  <si>
    <t>Subramani A</t>
  </si>
  <si>
    <t>Sujithkumar S</t>
  </si>
  <si>
    <t>Sumyukthaa K S</t>
  </si>
  <si>
    <t>Surendar V</t>
  </si>
  <si>
    <t>Suseel P S</t>
  </si>
  <si>
    <t>Suwathi K</t>
  </si>
  <si>
    <t>Tarika N G</t>
  </si>
  <si>
    <t>Tharaneedharan M</t>
  </si>
  <si>
    <t>Tharani M</t>
  </si>
  <si>
    <t>Tharani S K</t>
  </si>
  <si>
    <t>Tharshini A</t>
  </si>
  <si>
    <t>Tharun S</t>
  </si>
  <si>
    <t>Thuyelishwaran T</t>
  </si>
  <si>
    <t>Vaishnavi Sri K S</t>
  </si>
  <si>
    <t>Vasuntharapriya M</t>
  </si>
  <si>
    <t>Vasunthararaji R</t>
  </si>
  <si>
    <t>Vazeema Banu M</t>
  </si>
  <si>
    <t>Vedha P</t>
  </si>
  <si>
    <t>Vishal M</t>
  </si>
  <si>
    <t>Vishal P</t>
  </si>
  <si>
    <t>Vishnu V</t>
  </si>
  <si>
    <t>Yashvanth Suriya M</t>
  </si>
  <si>
    <t>Yukeshkumar T</t>
  </si>
  <si>
    <t>Ajay V</t>
  </si>
  <si>
    <t>Akash G</t>
  </si>
  <si>
    <t>Anbarasi R</t>
  </si>
  <si>
    <t>Andrew Stanis A</t>
  </si>
  <si>
    <t>Arasu G</t>
  </si>
  <si>
    <t>Aravind A</t>
  </si>
  <si>
    <t>Aravindh M</t>
  </si>
  <si>
    <t>Arun K</t>
  </si>
  <si>
    <t>Arun S K</t>
  </si>
  <si>
    <t>Arunprakash N</t>
  </si>
  <si>
    <t>Bhubesh S S</t>
  </si>
  <si>
    <t>Chardesna M</t>
  </si>
  <si>
    <t>Deepak Sanjei S V</t>
  </si>
  <si>
    <t>Deepakram R</t>
  </si>
  <si>
    <t>Devprasath K</t>
  </si>
  <si>
    <t>Dhanushkumar D</t>
  </si>
  <si>
    <t>Dhanushkumar S</t>
  </si>
  <si>
    <t>Dharanidharan A M</t>
  </si>
  <si>
    <t>Dharanidharan T</t>
  </si>
  <si>
    <t>Dharanidharan V</t>
  </si>
  <si>
    <t>Dharunkumar S</t>
  </si>
  <si>
    <t>Dhilipan G</t>
  </si>
  <si>
    <t>Dhivakar B</t>
  </si>
  <si>
    <t>Divya S</t>
  </si>
  <si>
    <t>Divya Prakash P C</t>
  </si>
  <si>
    <t>Elangovan D</t>
  </si>
  <si>
    <t>Ganapathiram M</t>
  </si>
  <si>
    <t>Ganesh S</t>
  </si>
  <si>
    <t>Gauthamganesh V S</t>
  </si>
  <si>
    <t>Giridharan A</t>
  </si>
  <si>
    <t>Gokul S</t>
  </si>
  <si>
    <t>Gokulakrishnan S</t>
  </si>
  <si>
    <t>Goutham R</t>
  </si>
  <si>
    <t>Gowtham D B</t>
  </si>
  <si>
    <t>Gunasekaran S</t>
  </si>
  <si>
    <t>Hareesh R</t>
  </si>
  <si>
    <t>Hari Prasath P</t>
  </si>
  <si>
    <t>Haribasker S</t>
  </si>
  <si>
    <t>Harikeshan S</t>
  </si>
  <si>
    <t>Jana S</t>
  </si>
  <si>
    <t>Jeevanandam P</t>
  </si>
  <si>
    <t>Karthigadevi P</t>
  </si>
  <si>
    <t>Karthikeyan M</t>
  </si>
  <si>
    <t>Kathiravan P</t>
  </si>
  <si>
    <t>Keerthana M</t>
  </si>
  <si>
    <t>Krishnamoorthy M</t>
  </si>
  <si>
    <t>Kusumarekha M</t>
  </si>
  <si>
    <t>Logesh G</t>
  </si>
  <si>
    <t>Soundharya S</t>
  </si>
  <si>
    <t>Asaath M</t>
  </si>
  <si>
    <t>Dheena S</t>
  </si>
  <si>
    <t>Gokuleshwaran A</t>
  </si>
  <si>
    <t>Harisharan P</t>
  </si>
  <si>
    <t>Jagan A</t>
  </si>
  <si>
    <t>Jeeva S</t>
  </si>
  <si>
    <t>Karthick Kumar A S N</t>
  </si>
  <si>
    <t>Karthick Raj S</t>
  </si>
  <si>
    <t>Vignesh J</t>
  </si>
  <si>
    <t>Jayasurya S</t>
  </si>
  <si>
    <t>Lokesh C</t>
  </si>
  <si>
    <t>Madhavan V</t>
  </si>
  <si>
    <t>Mahesraj P</t>
  </si>
  <si>
    <t>Manojpriyan S</t>
  </si>
  <si>
    <t>Mariselvaraj M</t>
  </si>
  <si>
    <t>Mohan Raj V</t>
  </si>
  <si>
    <t>Monish Kumar S</t>
  </si>
  <si>
    <t>Moulishwaran S</t>
  </si>
  <si>
    <t>Nagaprasad S</t>
  </si>
  <si>
    <t>Naresh S</t>
  </si>
  <si>
    <t>Naveen A</t>
  </si>
  <si>
    <t>Naveen Prasanth V</t>
  </si>
  <si>
    <t>Navina B</t>
  </si>
  <si>
    <t>Nikilan S</t>
  </si>
  <si>
    <t>Paarivel S</t>
  </si>
  <si>
    <t>Palaniyappan A</t>
  </si>
  <si>
    <t>Pragadesh A</t>
  </si>
  <si>
    <t>Praveen Roshan Rr</t>
  </si>
  <si>
    <t>Praveen V</t>
  </si>
  <si>
    <t>Raagul S</t>
  </si>
  <si>
    <t>Ragul K</t>
  </si>
  <si>
    <t>Riyaz M</t>
  </si>
  <si>
    <t>Rohith Sk</t>
  </si>
  <si>
    <t>Sakthihari K</t>
  </si>
  <si>
    <t>Santhip Mk</t>
  </si>
  <si>
    <t>Santhosh G</t>
  </si>
  <si>
    <t>Santhosh R</t>
  </si>
  <si>
    <t>Saranya E</t>
  </si>
  <si>
    <t>Selvaganapathi D</t>
  </si>
  <si>
    <t>Shanjai Dk</t>
  </si>
  <si>
    <t>Shril Pk</t>
  </si>
  <si>
    <t>Sivasankaran D</t>
  </si>
  <si>
    <t>Someshkumar S</t>
  </si>
  <si>
    <t>Sudharshan M</t>
  </si>
  <si>
    <t>Sudharshun D</t>
  </si>
  <si>
    <t>Sujeet Vs</t>
  </si>
  <si>
    <t>Sundra Athithiyan B</t>
  </si>
  <si>
    <t>Syed Zubair S</t>
  </si>
  <si>
    <t>Tarun Kumaran K</t>
  </si>
  <si>
    <t>Thanishka R</t>
  </si>
  <si>
    <t>Dinesh Kumar T</t>
  </si>
  <si>
    <t>Kavimidhun R</t>
  </si>
  <si>
    <t>Manoj S</t>
  </si>
  <si>
    <t>Nisanth G</t>
  </si>
  <si>
    <t>Ritvik S</t>
  </si>
  <si>
    <t>Megha M R</t>
  </si>
  <si>
    <t>Sakthivel B</t>
  </si>
  <si>
    <t>Mohammed Arshath A</t>
  </si>
  <si>
    <t>Gnana Soundar Vel P S</t>
  </si>
  <si>
    <t>Barath S</t>
  </si>
  <si>
    <t>Harikrishna L</t>
  </si>
  <si>
    <t>Karthick T</t>
  </si>
  <si>
    <t>Naveen Kumar T</t>
  </si>
  <si>
    <t>Pravinraj K</t>
  </si>
  <si>
    <t>Shrihariharan B E</t>
  </si>
  <si>
    <t>Staphan Stanly Raj B H</t>
  </si>
  <si>
    <t>Udhayakumar D</t>
  </si>
  <si>
    <t>Yash V</t>
  </si>
  <si>
    <t>Vaishhale S</t>
  </si>
  <si>
    <t>Vaishnavi R</t>
  </si>
  <si>
    <t>Vasantharaj G</t>
  </si>
  <si>
    <t>Veerakabilan S</t>
  </si>
  <si>
    <t>Venkatesh P</t>
  </si>
  <si>
    <t>Venu S</t>
  </si>
  <si>
    <t>Vetha Varshini J</t>
  </si>
  <si>
    <t>Vidya A N</t>
  </si>
  <si>
    <t>Vigas N K</t>
  </si>
  <si>
    <t>Vijay Saisree S</t>
  </si>
  <si>
    <t>Vikram G</t>
  </si>
  <si>
    <t>Vimalanand N A</t>
  </si>
  <si>
    <t>Viruthika S</t>
  </si>
  <si>
    <t>Vishal S</t>
  </si>
  <si>
    <t>Vishnu K</t>
  </si>
  <si>
    <t>Vishnu S M</t>
  </si>
  <si>
    <t>Vivetha D</t>
  </si>
  <si>
    <t>Yamini J</t>
  </si>
  <si>
    <t>Yamuna R</t>
  </si>
  <si>
    <t>Yogesh P M</t>
  </si>
  <si>
    <t>Yokesh K S</t>
  </si>
  <si>
    <t>Deeksha R</t>
  </si>
  <si>
    <t>Sabarinathan R</t>
  </si>
  <si>
    <t>Uthaya Kumar K</t>
  </si>
  <si>
    <t>Vishnu prasad K</t>
  </si>
  <si>
    <t>Venkatesh S B</t>
  </si>
  <si>
    <t>Vibheeshan N K</t>
  </si>
  <si>
    <t>Vidhya A</t>
  </si>
  <si>
    <t>Vignesh C</t>
  </si>
  <si>
    <t>Vigneshwaran S</t>
  </si>
  <si>
    <t>Vinoberna S</t>
  </si>
  <si>
    <t>Vinodhini M</t>
  </si>
  <si>
    <t>Vishnu A</t>
  </si>
  <si>
    <t>Vishnu Vikas V</t>
  </si>
  <si>
    <t>Vishwa Bharathi N</t>
  </si>
  <si>
    <t>Yogesh K</t>
  </si>
  <si>
    <t>Yokesh B</t>
  </si>
  <si>
    <t>Mohammed Younus S</t>
  </si>
  <si>
    <t>Mohanraj R</t>
  </si>
  <si>
    <t>Prithivdharshan S A</t>
  </si>
  <si>
    <t>Sanjay K</t>
  </si>
  <si>
    <t>Sathya Narayana G</t>
  </si>
  <si>
    <t>Sothishvar M</t>
  </si>
  <si>
    <t>Vinoth M T</t>
  </si>
  <si>
    <t>Yadieeshvar R</t>
  </si>
  <si>
    <t>Yuvaraj K</t>
  </si>
  <si>
    <t>Yuvasri S</t>
  </si>
  <si>
    <t>Ram Prasanth S</t>
  </si>
  <si>
    <t>Sanjai K</t>
  </si>
  <si>
    <t>Saran L G</t>
  </si>
  <si>
    <t>Tholkappiyan S</t>
  </si>
  <si>
    <t>Thilagan E</t>
  </si>
  <si>
    <t>Thirukumaran S</t>
  </si>
  <si>
    <t>Udhayrathana PL</t>
  </si>
  <si>
    <t>Vaishnavi V</t>
  </si>
  <si>
    <t>Vani Shree M</t>
  </si>
  <si>
    <t>Varshini M</t>
  </si>
  <si>
    <t>Vishal SA</t>
  </si>
  <si>
    <t>Vishnuwardhan K</t>
  </si>
  <si>
    <t>Yashvanth S</t>
  </si>
  <si>
    <t>Yashwanth K</t>
  </si>
  <si>
    <t>Yogananth K</t>
  </si>
  <si>
    <t>Jayaarjun M</t>
  </si>
  <si>
    <t>Kanishkar E</t>
  </si>
  <si>
    <t>Moulieshwaran A</t>
  </si>
  <si>
    <t>Navinsriram S</t>
  </si>
  <si>
    <t>Parasuraman S</t>
  </si>
  <si>
    <t>Pradeep S</t>
  </si>
  <si>
    <t>Prasanna M L</t>
  </si>
  <si>
    <t>Prawinraj A</t>
  </si>
  <si>
    <t>Ragunath Y</t>
  </si>
  <si>
    <t>Ruthreshwaran R</t>
  </si>
  <si>
    <t>Surya K</t>
  </si>
  <si>
    <t>Tamizharasan M</t>
  </si>
  <si>
    <t>Yogesh J</t>
  </si>
  <si>
    <t>CIVIL</t>
  </si>
  <si>
    <t>AI&amp;DS</t>
  </si>
  <si>
    <t>Mech.</t>
  </si>
  <si>
    <t>Continuous Assessment - Performance Analysis as on date (25.08.2026)</t>
  </si>
  <si>
    <t>Coding Skills - I (2028 Batch)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</si>
</sst>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14"/>
      <color rgb="FF000000"/>
      <name val="Book Antiqua"/>
      <family val="1"/>
    </font>
    <font>
      <b/>
      <sz val="11"/>
      <color rgb="FF000000"/>
      <name val="Book Antiqua"/>
      <family val="1"/>
    </font>
    <font>
      <b/>
      <sz val="12"/>
      <color theme="1"/>
      <name val="Calibri"/>
      <family val="2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u/>
      <sz val="11"/>
      <color theme="10"/>
      <name val="Calibri"/>
      <family val="2"/>
      <charset val="1"/>
    </font>
    <font>
      <sz val="12"/>
      <color rgb="FF333333"/>
      <name val="Times New Roman"/>
      <family val="1"/>
    </font>
    <font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4B183"/>
        <bgColor rgb="FFFF99CC"/>
      </patternFill>
    </fill>
    <fill>
      <patternFill patternType="solid">
        <fgColor theme="0"/>
        <bgColor theme="0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rgb="FFFF99CC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 vertical="center" wrapText="1"/>
    </xf>
    <xf numFmtId="0" fontId="0" fillId="4" borderId="0" xfId="0" applyFont="1" applyFill="1"/>
    <xf numFmtId="0" fontId="0" fillId="0" borderId="0" xfId="0" applyFont="1"/>
    <xf numFmtId="0" fontId="5" fillId="5" borderId="2" xfId="0" applyFont="1" applyFill="1" applyBorder="1" applyAlignment="1">
      <alignment vertical="center" wrapText="1"/>
    </xf>
    <xf numFmtId="0" fontId="7" fillId="5" borderId="2" xfId="1" applyFill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wrapText="1"/>
    </xf>
    <xf numFmtId="0" fontId="8" fillId="5" borderId="1" xfId="0" applyFont="1" applyFill="1" applyBorder="1" applyAlignment="1">
      <alignment vertical="center" wrapText="1"/>
    </xf>
    <xf numFmtId="0" fontId="0" fillId="0" borderId="1" xfId="0" applyBorder="1"/>
    <xf numFmtId="0" fontId="7" fillId="5" borderId="1" xfId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1" fontId="0" fillId="7" borderId="1" xfId="0" applyNumberFormat="1" applyFill="1" applyBorder="1" applyAlignment="1">
      <alignment horizontal="center" vertical="center" wrapText="1"/>
    </xf>
    <xf numFmtId="1" fontId="4" fillId="7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center" wrapText="1"/>
    </xf>
    <xf numFmtId="1" fontId="4" fillId="8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2k24me119@kiot.ac.in" TargetMode="External"/><Relationship Id="rId13" Type="http://schemas.openxmlformats.org/officeDocument/2006/relationships/hyperlink" Target="mailto:2K24ME121@KIOT.AC.IN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2k24me112@kiot.ac.in" TargetMode="External"/><Relationship Id="rId7" Type="http://schemas.openxmlformats.org/officeDocument/2006/relationships/hyperlink" Target="mailto:2k24me117@kiot.ac.in" TargetMode="External"/><Relationship Id="rId12" Type="http://schemas.openxmlformats.org/officeDocument/2006/relationships/hyperlink" Target="mailto:2k24cse240@kiot.ac.in" TargetMode="External"/><Relationship Id="rId17" Type="http://schemas.openxmlformats.org/officeDocument/2006/relationships/hyperlink" Target="mailto:2K24ME129@KIOT.AC.IN" TargetMode="External"/><Relationship Id="rId2" Type="http://schemas.openxmlformats.org/officeDocument/2006/relationships/hyperlink" Target="mailto:2k24me111@kiot.ac.in" TargetMode="External"/><Relationship Id="rId16" Type="http://schemas.openxmlformats.org/officeDocument/2006/relationships/hyperlink" Target="mailto:2K24ME126@KIOT.AC.IN" TargetMode="External"/><Relationship Id="rId1" Type="http://schemas.openxmlformats.org/officeDocument/2006/relationships/hyperlink" Target="mailto:2k24me110@kiot.ac.in" TargetMode="External"/><Relationship Id="rId6" Type="http://schemas.openxmlformats.org/officeDocument/2006/relationships/hyperlink" Target="mailto:2k24me115@kiot.ac.in" TargetMode="External"/><Relationship Id="rId11" Type="http://schemas.openxmlformats.org/officeDocument/2006/relationships/hyperlink" Target="mailto:2k24cse239@kiot.ac.in" TargetMode="External"/><Relationship Id="rId5" Type="http://schemas.openxmlformats.org/officeDocument/2006/relationships/hyperlink" Target="mailto:2k24me114@kiot.ac.in" TargetMode="External"/><Relationship Id="rId15" Type="http://schemas.openxmlformats.org/officeDocument/2006/relationships/hyperlink" Target="mailto:2K24ME123@KIOT.AC.IN" TargetMode="External"/><Relationship Id="rId10" Type="http://schemas.openxmlformats.org/officeDocument/2006/relationships/hyperlink" Target="mailto:2k24me131@kiot.ac.in" TargetMode="External"/><Relationship Id="rId4" Type="http://schemas.openxmlformats.org/officeDocument/2006/relationships/hyperlink" Target="mailto:2k24me113@kiot.ac.in" TargetMode="External"/><Relationship Id="rId9" Type="http://schemas.openxmlformats.org/officeDocument/2006/relationships/hyperlink" Target="mailto:2k24me120@kiot.ac.in" TargetMode="External"/><Relationship Id="rId14" Type="http://schemas.openxmlformats.org/officeDocument/2006/relationships/hyperlink" Target="mailto:2K24ME122@KIO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7"/>
  <sheetViews>
    <sheetView tabSelected="1" zoomScaleNormal="100" workbookViewId="0">
      <pane ySplit="1" topLeftCell="A227" activePane="bottomLeft" state="frozen"/>
      <selection pane="bottomLeft" activeCell="C114" sqref="C114"/>
    </sheetView>
  </sheetViews>
  <sheetFormatPr defaultColWidth="8.6640625" defaultRowHeight="15" customHeight="1" x14ac:dyDescent="0.3"/>
  <cols>
    <col min="1" max="1" width="15.33203125" style="5" customWidth="1"/>
    <col min="2" max="2" width="24" customWidth="1"/>
    <col min="3" max="3" width="27" customWidth="1"/>
    <col min="4" max="4" width="12" customWidth="1"/>
    <col min="5" max="5" width="15.6640625" style="5" customWidth="1"/>
    <col min="6" max="6" width="17.6640625" style="5" customWidth="1"/>
    <col min="7" max="7" width="13.88671875" style="5" customWidth="1"/>
    <col min="8" max="8" width="17" style="9" customWidth="1"/>
    <col min="9" max="9" width="22.6640625" style="5" customWidth="1"/>
    <col min="10" max="10" width="21.33203125" style="5" customWidth="1"/>
  </cols>
  <sheetData>
    <row r="1" spans="1:10" ht="14.4" x14ac:dyDescent="0.3">
      <c r="A1" s="3" t="s">
        <v>0</v>
      </c>
      <c r="B1" s="1" t="s">
        <v>1</v>
      </c>
      <c r="C1" s="1" t="s">
        <v>2</v>
      </c>
      <c r="D1" s="1" t="s">
        <v>3</v>
      </c>
      <c r="E1" s="3" t="s">
        <v>5492</v>
      </c>
      <c r="F1" s="3" t="s">
        <v>5493</v>
      </c>
      <c r="G1" s="3" t="s">
        <v>5494</v>
      </c>
      <c r="H1" s="7" t="s">
        <v>5495</v>
      </c>
      <c r="I1" s="3" t="s">
        <v>4</v>
      </c>
      <c r="J1" s="3" t="s">
        <v>5</v>
      </c>
    </row>
    <row r="2" spans="1:10" ht="15.6" x14ac:dyDescent="0.3">
      <c r="A2" s="16" t="s">
        <v>7587</v>
      </c>
      <c r="B2" s="20" t="s">
        <v>6</v>
      </c>
      <c r="C2" s="20" t="s">
        <v>7278</v>
      </c>
      <c r="D2" s="23"/>
      <c r="E2" s="6" t="str">
        <f>LOOKUP(2,1/(MCQ!C:C=B2),MCQ!H:H)</f>
        <v>25.00</v>
      </c>
      <c r="F2" s="6" t="str">
        <f>LOOKUP(2,1/(Debugging!C:C=B2),Debugging!H:H)</f>
        <v>43.00</v>
      </c>
      <c r="G2" s="6" t="str">
        <f>LOOKUP(2,1/(Coding!C:C=B2),Coding!H:H)</f>
        <v>20.50</v>
      </c>
      <c r="H2" s="8">
        <f>E2+F2+G2</f>
        <v>88.5</v>
      </c>
      <c r="I2" s="4" t="str">
        <f>IF(J2&lt;&gt;"Complete","Not Active",IF(H2&gt;=75,"Good",IF(H2&gt;=50,"Satisfactory",IF(H2&gt;=25,"Need Attention","Intervention"))))</f>
        <v>Good</v>
      </c>
      <c r="J2" s="4" t="str">
        <f>IF(COUNTIF(E2:G2,"#N/A")=3,"Not Attempted",IF(OR(ISNA(E2),ISNA(F2),ISNA(G2)),"NotCompleted","Complete"))</f>
        <v>Complete</v>
      </c>
    </row>
    <row r="3" spans="1:10" ht="15.6" x14ac:dyDescent="0.3">
      <c r="A3" s="16" t="s">
        <v>7587</v>
      </c>
      <c r="B3" s="20" t="s">
        <v>9</v>
      </c>
      <c r="C3" s="20" t="s">
        <v>7279</v>
      </c>
      <c r="D3" s="23"/>
      <c r="E3" s="6" t="str">
        <f>LOOKUP(2,1/(MCQ!C:C=B3),MCQ!H:H)</f>
        <v>25.00</v>
      </c>
      <c r="F3" s="6" t="str">
        <f>LOOKUP(2,1/(Debugging!C:C=B3),Debugging!H:H)</f>
        <v>37.00</v>
      </c>
      <c r="G3" s="6" t="str">
        <f>LOOKUP(2,1/(Coding!C:C=B3),Coding!H:H)</f>
        <v>22.50</v>
      </c>
      <c r="H3" s="8">
        <f>E3+F3+G3</f>
        <v>84.5</v>
      </c>
      <c r="I3" s="4" t="str">
        <f>IF(J3&lt;&gt;"Complete","Not Active",IF(H3&gt;=75,"Good",IF(H3&gt;=50,"Satisfactory",IF(H3&gt;=25,"Need Attention","Intervention"))))</f>
        <v>Good</v>
      </c>
      <c r="J3" s="4" t="str">
        <f>IF(COUNTIF(E3:G3,"#N/A")=3,"Not Attempted",IF(OR(ISNA(E3),ISNA(F3),ISNA(G3)),"NotCompleted","Complete"))</f>
        <v>Complete</v>
      </c>
    </row>
    <row r="4" spans="1:10" ht="15.6" x14ac:dyDescent="0.3">
      <c r="A4" s="16" t="s">
        <v>7587</v>
      </c>
      <c r="B4" s="20" t="s">
        <v>12</v>
      </c>
      <c r="C4" s="20" t="s">
        <v>7280</v>
      </c>
      <c r="D4" s="23"/>
      <c r="E4" s="6" t="str">
        <f>LOOKUP(2,1/(MCQ!C:C=B4),MCQ!H:H)</f>
        <v>24.00</v>
      </c>
      <c r="F4" s="6" t="str">
        <f>LOOKUP(2,1/(Debugging!C:C=B4),Debugging!H:H)</f>
        <v>48.00</v>
      </c>
      <c r="G4" s="6" t="str">
        <f>LOOKUP(2,1/(Coding!C:C=B4),Coding!H:H)</f>
        <v>22.00</v>
      </c>
      <c r="H4" s="8">
        <f>E4+F4+G4</f>
        <v>94</v>
      </c>
      <c r="I4" s="4" t="str">
        <f>IF(J4&lt;&gt;"Complete","Not Active",IF(H4&gt;=75,"Good",IF(H4&gt;=50,"Satisfactory",IF(H4&gt;=25,"Need Attention","Intervention"))))</f>
        <v>Good</v>
      </c>
      <c r="J4" s="4" t="str">
        <f>IF(COUNTIF(E4:G4,"#N/A")=3,"Not Attempted",IF(OR(ISNA(E4),ISNA(F4),ISNA(G4)),"NotCompleted","Complete"))</f>
        <v>Complete</v>
      </c>
    </row>
    <row r="5" spans="1:10" ht="15.6" x14ac:dyDescent="0.3">
      <c r="A5" s="16" t="s">
        <v>7587</v>
      </c>
      <c r="B5" s="20" t="s">
        <v>14</v>
      </c>
      <c r="C5" s="20" t="s">
        <v>7281</v>
      </c>
      <c r="D5" s="23"/>
      <c r="E5" s="6" t="str">
        <f>LOOKUP(2,1/(MCQ!C:C=B5),MCQ!H:H)</f>
        <v>20.00</v>
      </c>
      <c r="F5" s="6" t="str">
        <f>LOOKUP(2,1/(Debugging!C:C=B5),Debugging!H:H)</f>
        <v>50.00</v>
      </c>
      <c r="G5" s="6" t="str">
        <f>LOOKUP(2,1/(Coding!C:C=B5),Coding!H:H)</f>
        <v>25.00</v>
      </c>
      <c r="H5" s="8">
        <f>E5+F5+G5</f>
        <v>95</v>
      </c>
      <c r="I5" s="4" t="str">
        <f>IF(J5&lt;&gt;"Complete","Not Active",IF(H5&gt;=75,"Good",IF(H5&gt;=50,"Satisfactory",IF(H5&gt;=25,"Need Attention","Intervention"))))</f>
        <v>Good</v>
      </c>
      <c r="J5" s="4" t="str">
        <f>IF(COUNTIF(E5:G5,"#N/A")=3,"Not Attempted",IF(OR(ISNA(E5),ISNA(F5),ISNA(G5)),"NotCompleted","Complete"))</f>
        <v>Complete</v>
      </c>
    </row>
    <row r="6" spans="1:10" ht="15.6" x14ac:dyDescent="0.3">
      <c r="A6" s="16" t="s">
        <v>7587</v>
      </c>
      <c r="B6" s="20" t="s">
        <v>17</v>
      </c>
      <c r="C6" s="20" t="s">
        <v>7282</v>
      </c>
      <c r="D6" s="23"/>
      <c r="E6" s="6" t="str">
        <f>LOOKUP(2,1/(MCQ!C:C=B6),MCQ!H:H)</f>
        <v>23.00</v>
      </c>
      <c r="F6" s="6" t="str">
        <f>LOOKUP(2,1/(Debugging!C:C=B6),Debugging!H:H)</f>
        <v>38.00</v>
      </c>
      <c r="G6" s="6" t="str">
        <f>LOOKUP(2,1/(Coding!C:C=B6),Coding!H:H)</f>
        <v>23.50</v>
      </c>
      <c r="H6" s="8">
        <f>E6+F6+G6</f>
        <v>84.5</v>
      </c>
      <c r="I6" s="4" t="str">
        <f>IF(J6&lt;&gt;"Complete","Not Active",IF(H6&gt;=75,"Good",IF(H6&gt;=50,"Satisfactory",IF(H6&gt;=25,"Need Attention","Intervention"))))</f>
        <v>Good</v>
      </c>
      <c r="J6" s="4" t="str">
        <f>IF(COUNTIF(E6:G6,"#N/A")=3,"Not Attempted",IF(OR(ISNA(E6),ISNA(F6),ISNA(G6)),"NotCompleted","Complete"))</f>
        <v>Complete</v>
      </c>
    </row>
    <row r="7" spans="1:10" ht="15.6" x14ac:dyDescent="0.3">
      <c r="A7" s="16" t="s">
        <v>7587</v>
      </c>
      <c r="B7" s="20" t="s">
        <v>20</v>
      </c>
      <c r="C7" s="20" t="s">
        <v>7283</v>
      </c>
      <c r="D7" s="23"/>
      <c r="E7" s="6" t="str">
        <f>LOOKUP(2,1/(MCQ!C:C=B7),MCQ!H:H)</f>
        <v>25.00</v>
      </c>
      <c r="F7" s="6" t="str">
        <f>LOOKUP(2,1/(Debugging!C:C=B7),Debugging!H:H)</f>
        <v>50.00</v>
      </c>
      <c r="G7" s="6" t="str">
        <f>LOOKUP(2,1/(Coding!C:C=B7),Coding!H:H)</f>
        <v>25.00</v>
      </c>
      <c r="H7" s="8">
        <f>E7+F7+G7</f>
        <v>100</v>
      </c>
      <c r="I7" s="4" t="str">
        <f>IF(J7&lt;&gt;"Complete","Not Active",IF(H7&gt;=75,"Good",IF(H7&gt;=50,"Satisfactory",IF(H7&gt;=25,"Need Attention","Intervention"))))</f>
        <v>Good</v>
      </c>
      <c r="J7" s="4" t="str">
        <f>IF(COUNTIF(E7:G7,"#N/A")=3,"Not Attempted",IF(OR(ISNA(E7),ISNA(F7),ISNA(G7)),"NotCompleted","Complete"))</f>
        <v>Complete</v>
      </c>
    </row>
    <row r="8" spans="1:10" ht="15.6" x14ac:dyDescent="0.3">
      <c r="A8" s="16" t="s">
        <v>7587</v>
      </c>
      <c r="B8" s="20" t="s">
        <v>23</v>
      </c>
      <c r="C8" s="20" t="s">
        <v>7284</v>
      </c>
      <c r="D8" s="23"/>
      <c r="E8" s="6" t="str">
        <f>LOOKUP(2,1/(MCQ!C:C=B8),MCQ!H:H)</f>
        <v>22.00</v>
      </c>
      <c r="F8" s="6" t="str">
        <f>LOOKUP(2,1/(Debugging!C:C=B8),Debugging!H:H)</f>
        <v>35.00</v>
      </c>
      <c r="G8" s="6" t="str">
        <f>LOOKUP(2,1/(Coding!C:C=B8),Coding!H:H)</f>
        <v>25.00</v>
      </c>
      <c r="H8" s="8">
        <f>E8+F8+G8</f>
        <v>82</v>
      </c>
      <c r="I8" s="4" t="str">
        <f>IF(J8&lt;&gt;"Complete","Not Active",IF(H8&gt;=75,"Good",IF(H8&gt;=50,"Satisfactory",IF(H8&gt;=25,"Need Attention","Intervention"))))</f>
        <v>Good</v>
      </c>
      <c r="J8" s="4" t="str">
        <f>IF(COUNTIF(E8:G8,"#N/A")=3,"Not Attempted",IF(OR(ISNA(E8),ISNA(F8),ISNA(G8)),"NotCompleted","Complete"))</f>
        <v>Complete</v>
      </c>
    </row>
    <row r="9" spans="1:10" ht="15.6" x14ac:dyDescent="0.3">
      <c r="A9" s="16" t="s">
        <v>7587</v>
      </c>
      <c r="B9" s="20" t="s">
        <v>26</v>
      </c>
      <c r="C9" s="20" t="s">
        <v>7285</v>
      </c>
      <c r="D9" s="23"/>
      <c r="E9" s="6" t="str">
        <f>LOOKUP(2,1/(MCQ!C:C=B9),MCQ!H:H)</f>
        <v>22.00</v>
      </c>
      <c r="F9" s="6" t="str">
        <f>LOOKUP(2,1/(Debugging!C:C=B9),Debugging!H:H)</f>
        <v>41.00</v>
      </c>
      <c r="G9" s="6" t="str">
        <f>LOOKUP(2,1/(Coding!C:C=B9),Coding!H:H)</f>
        <v>23.50</v>
      </c>
      <c r="H9" s="8">
        <f>E9+F9+G9</f>
        <v>86.5</v>
      </c>
      <c r="I9" s="4" t="str">
        <f>IF(J9&lt;&gt;"Complete","Not Active",IF(H9&gt;=75,"Good",IF(H9&gt;=50,"Satisfactory",IF(H9&gt;=25,"Need Attention","Intervention"))))</f>
        <v>Good</v>
      </c>
      <c r="J9" s="4" t="str">
        <f>IF(COUNTIF(E9:G9,"#N/A")=3,"Not Attempted",IF(OR(ISNA(E9),ISNA(F9),ISNA(G9)),"NotCompleted","Complete"))</f>
        <v>Complete</v>
      </c>
    </row>
    <row r="10" spans="1:10" ht="15.6" x14ac:dyDescent="0.3">
      <c r="A10" s="16" t="s">
        <v>7587</v>
      </c>
      <c r="B10" s="20" t="s">
        <v>29</v>
      </c>
      <c r="C10" s="20" t="s">
        <v>7286</v>
      </c>
      <c r="D10" s="23"/>
      <c r="E10" s="6" t="str">
        <f>LOOKUP(2,1/(MCQ!C:C=B10),MCQ!H:H)</f>
        <v>24.00</v>
      </c>
      <c r="F10" s="6" t="str">
        <f>LOOKUP(2,1/(Debugging!C:C=B10),Debugging!H:H)</f>
        <v>48.00</v>
      </c>
      <c r="G10" s="6" t="str">
        <f>LOOKUP(2,1/(Coding!C:C=B10),Coding!H:H)</f>
        <v>25.00</v>
      </c>
      <c r="H10" s="8">
        <f>E10+F10+G10</f>
        <v>97</v>
      </c>
      <c r="I10" s="4" t="str">
        <f>IF(J10&lt;&gt;"Complete","Not Active",IF(H10&gt;=75,"Good",IF(H10&gt;=50,"Satisfactory",IF(H10&gt;=25,"Need Attention","Intervention"))))</f>
        <v>Good</v>
      </c>
      <c r="J10" s="4" t="str">
        <f>IF(COUNTIF(E10:G10,"#N/A")=3,"Not Attempted",IF(OR(ISNA(E10),ISNA(F10),ISNA(G10)),"NotCompleted","Complete"))</f>
        <v>Complete</v>
      </c>
    </row>
    <row r="11" spans="1:10" ht="15.6" x14ac:dyDescent="0.3">
      <c r="A11" s="16" t="s">
        <v>7587</v>
      </c>
      <c r="B11" s="20" t="s">
        <v>32</v>
      </c>
      <c r="C11" s="20" t="s">
        <v>7287</v>
      </c>
      <c r="D11" s="23"/>
      <c r="E11" s="6" t="str">
        <f>LOOKUP(2,1/(MCQ!C:C=B11),MCQ!H:H)</f>
        <v>24.00</v>
      </c>
      <c r="F11" s="6" t="str">
        <f>LOOKUP(2,1/(Debugging!C:C=B11),Debugging!H:H)</f>
        <v>40.00</v>
      </c>
      <c r="G11" s="6" t="str">
        <f>LOOKUP(2,1/(Coding!C:C=B11),Coding!H:H)</f>
        <v>21.50</v>
      </c>
      <c r="H11" s="8">
        <f>E11+F11+G11</f>
        <v>85.5</v>
      </c>
      <c r="I11" s="4" t="str">
        <f>IF(J11&lt;&gt;"Complete","Not Active",IF(H11&gt;=75,"Good",IF(H11&gt;=50,"Satisfactory",IF(H11&gt;=25,"Need Attention","Intervention"))))</f>
        <v>Good</v>
      </c>
      <c r="J11" s="4" t="str">
        <f>IF(COUNTIF(E11:G11,"#N/A")=3,"Not Attempted",IF(OR(ISNA(E11),ISNA(F11),ISNA(G11)),"NotCompleted","Complete"))</f>
        <v>Complete</v>
      </c>
    </row>
    <row r="12" spans="1:10" ht="15.6" x14ac:dyDescent="0.3">
      <c r="A12" s="16" t="s">
        <v>7587</v>
      </c>
      <c r="B12" s="20" t="s">
        <v>34</v>
      </c>
      <c r="C12" s="20" t="s">
        <v>7288</v>
      </c>
      <c r="D12" s="23"/>
      <c r="E12" s="6" t="str">
        <f>LOOKUP(2,1/(MCQ!C:C=B12),MCQ!H:H)</f>
        <v>24.00</v>
      </c>
      <c r="F12" s="6" t="str">
        <f>LOOKUP(2,1/(Debugging!C:C=B12),Debugging!H:H)</f>
        <v>45.00</v>
      </c>
      <c r="G12" s="6" t="str">
        <f>LOOKUP(2,1/(Coding!C:C=B12),Coding!H:H)</f>
        <v>25.00</v>
      </c>
      <c r="H12" s="8">
        <f>E12+F12+G12</f>
        <v>94</v>
      </c>
      <c r="I12" s="4" t="str">
        <f>IF(J12&lt;&gt;"Complete","Not Active",IF(H12&gt;=75,"Good",IF(H12&gt;=50,"Satisfactory",IF(H12&gt;=25,"Need Attention","Intervention"))))</f>
        <v>Good</v>
      </c>
      <c r="J12" s="4" t="str">
        <f>IF(COUNTIF(E12:G12,"#N/A")=3,"Not Attempted",IF(OR(ISNA(E12),ISNA(F12),ISNA(G12)),"NotCompleted","Complete"))</f>
        <v>Complete</v>
      </c>
    </row>
    <row r="13" spans="1:10" ht="15.6" x14ac:dyDescent="0.3">
      <c r="A13" s="16" t="s">
        <v>7587</v>
      </c>
      <c r="B13" s="20" t="s">
        <v>36</v>
      </c>
      <c r="C13" s="20" t="s">
        <v>7289</v>
      </c>
      <c r="D13" s="23"/>
      <c r="E13" s="6" t="str">
        <f>LOOKUP(2,1/(MCQ!C:C=B13),MCQ!H:H)</f>
        <v>25.00</v>
      </c>
      <c r="F13" s="6" t="str">
        <f>LOOKUP(2,1/(Debugging!C:C=B13),Debugging!H:H)</f>
        <v>37.00</v>
      </c>
      <c r="G13" s="6" t="str">
        <f>LOOKUP(2,1/(Coding!C:C=B13),Coding!H:H)</f>
        <v>25.00</v>
      </c>
      <c r="H13" s="8">
        <f>E13+F13+G13</f>
        <v>87</v>
      </c>
      <c r="I13" s="4" t="str">
        <f>IF(J13&lt;&gt;"Complete","Not Active",IF(H13&gt;=75,"Good",IF(H13&gt;=50,"Satisfactory",IF(H13&gt;=25,"Need Attention","Intervention"))))</f>
        <v>Good</v>
      </c>
      <c r="J13" s="4" t="str">
        <f>IF(COUNTIF(E13:G13,"#N/A")=3,"Not Attempted",IF(OR(ISNA(E13),ISNA(F13),ISNA(G13)),"NotCompleted","Complete"))</f>
        <v>Complete</v>
      </c>
    </row>
    <row r="14" spans="1:10" ht="15.6" x14ac:dyDescent="0.3">
      <c r="A14" s="16" t="s">
        <v>7587</v>
      </c>
      <c r="B14" s="20" t="s">
        <v>38</v>
      </c>
      <c r="C14" s="20" t="s">
        <v>7290</v>
      </c>
      <c r="D14" s="23"/>
      <c r="E14" s="6" t="str">
        <f>LOOKUP(2,1/(MCQ!C:C=B14),MCQ!H:H)</f>
        <v>23.00</v>
      </c>
      <c r="F14" s="6" t="str">
        <f>LOOKUP(2,1/(Debugging!C:C=B14),Debugging!H:H)</f>
        <v>46.00</v>
      </c>
      <c r="G14" s="6" t="str">
        <f>LOOKUP(2,1/(Coding!C:C=B14),Coding!H:H)</f>
        <v>25.00</v>
      </c>
      <c r="H14" s="8">
        <f>E14+F14+G14</f>
        <v>94</v>
      </c>
      <c r="I14" s="4" t="str">
        <f>IF(J14&lt;&gt;"Complete","Not Active",IF(H14&gt;=75,"Good",IF(H14&gt;=50,"Satisfactory",IF(H14&gt;=25,"Need Attention","Intervention"))))</f>
        <v>Good</v>
      </c>
      <c r="J14" s="4" t="str">
        <f>IF(COUNTIF(E14:G14,"#N/A")=3,"Not Attempted",IF(OR(ISNA(E14),ISNA(F14),ISNA(G14)),"NotCompleted","Complete"))</f>
        <v>Complete</v>
      </c>
    </row>
    <row r="15" spans="1:10" ht="15.6" x14ac:dyDescent="0.3">
      <c r="A15" s="16" t="s">
        <v>7587</v>
      </c>
      <c r="B15" s="20" t="s">
        <v>40</v>
      </c>
      <c r="C15" s="20" t="s">
        <v>7291</v>
      </c>
      <c r="D15" s="23"/>
      <c r="E15" s="6" t="str">
        <f>LOOKUP(2,1/(MCQ!C:C=B15),MCQ!H:H)</f>
        <v>22.00</v>
      </c>
      <c r="F15" s="6" t="str">
        <f>LOOKUP(2,1/(Debugging!C:C=B15),Debugging!H:H)</f>
        <v>50.00</v>
      </c>
      <c r="G15" s="6" t="str">
        <f>LOOKUP(2,1/(Coding!C:C=B15),Coding!H:H)</f>
        <v>22.00</v>
      </c>
      <c r="H15" s="8">
        <f>E15+F15+G15</f>
        <v>94</v>
      </c>
      <c r="I15" s="4" t="str">
        <f>IF(J15&lt;&gt;"Complete","Not Active",IF(H15&gt;=75,"Good",IF(H15&gt;=50,"Satisfactory",IF(H15&gt;=25,"Need Attention","Intervention"))))</f>
        <v>Good</v>
      </c>
      <c r="J15" s="4" t="str">
        <f>IF(COUNTIF(E15:G15,"#N/A")=3,"Not Attempted",IF(OR(ISNA(E15),ISNA(F15),ISNA(G15)),"NotCompleted","Complete"))</f>
        <v>Complete</v>
      </c>
    </row>
    <row r="16" spans="1:10" ht="15.6" x14ac:dyDescent="0.3">
      <c r="A16" s="16" t="s">
        <v>7587</v>
      </c>
      <c r="B16" s="20" t="s">
        <v>43</v>
      </c>
      <c r="C16" s="20" t="s">
        <v>7292</v>
      </c>
      <c r="D16" s="23"/>
      <c r="E16" s="6" t="str">
        <f>LOOKUP(2,1/(MCQ!C:C=B16),MCQ!H:H)</f>
        <v>22.00</v>
      </c>
      <c r="F16" s="6" t="str">
        <f>LOOKUP(2,1/(Debugging!C:C=B16),Debugging!H:H)</f>
        <v>35.00</v>
      </c>
      <c r="G16" s="6" t="str">
        <f>LOOKUP(2,1/(Coding!C:C=B16),Coding!H:H)</f>
        <v>25.00</v>
      </c>
      <c r="H16" s="8">
        <f>E16+F16+G16</f>
        <v>82</v>
      </c>
      <c r="I16" s="4" t="str">
        <f>IF(J16&lt;&gt;"Complete","Not Active",IF(H16&gt;=75,"Good",IF(H16&gt;=50,"Satisfactory",IF(H16&gt;=25,"Need Attention","Intervention"))))</f>
        <v>Good</v>
      </c>
      <c r="J16" s="4" t="str">
        <f>IF(COUNTIF(E16:G16,"#N/A")=3,"Not Attempted",IF(OR(ISNA(E16),ISNA(F16),ISNA(G16)),"NotCompleted","Complete"))</f>
        <v>Complete</v>
      </c>
    </row>
    <row r="17" spans="1:10" ht="15.6" x14ac:dyDescent="0.3">
      <c r="A17" s="16" t="s">
        <v>7587</v>
      </c>
      <c r="B17" s="20" t="s">
        <v>45</v>
      </c>
      <c r="C17" s="20" t="s">
        <v>7293</v>
      </c>
      <c r="D17" s="23"/>
      <c r="E17" s="6" t="str">
        <f>LOOKUP(2,1/(MCQ!C:C=B17),MCQ!H:H)</f>
        <v>22.00</v>
      </c>
      <c r="F17" s="6" t="str">
        <f>LOOKUP(2,1/(Debugging!C:C=B17),Debugging!H:H)</f>
        <v>45.00</v>
      </c>
      <c r="G17" s="6" t="str">
        <f>LOOKUP(2,1/(Coding!C:C=B17),Coding!H:H)</f>
        <v>22.50</v>
      </c>
      <c r="H17" s="8">
        <f>E17+F17+G17</f>
        <v>89.5</v>
      </c>
      <c r="I17" s="4" t="str">
        <f>IF(J17&lt;&gt;"Complete","Not Active",IF(H17&gt;=75,"Good",IF(H17&gt;=50,"Satisfactory",IF(H17&gt;=25,"Need Attention","Intervention"))))</f>
        <v>Good</v>
      </c>
      <c r="J17" s="4" t="str">
        <f>IF(COUNTIF(E17:G17,"#N/A")=3,"Not Attempted",IF(OR(ISNA(E17),ISNA(F17),ISNA(G17)),"NotCompleted","Complete"))</f>
        <v>Complete</v>
      </c>
    </row>
    <row r="18" spans="1:10" ht="15.6" x14ac:dyDescent="0.3">
      <c r="A18" s="16" t="s">
        <v>7587</v>
      </c>
      <c r="B18" s="20" t="s">
        <v>47</v>
      </c>
      <c r="C18" s="20" t="s">
        <v>7294</v>
      </c>
      <c r="D18" s="23"/>
      <c r="E18" s="6" t="str">
        <f>LOOKUP(2,1/(MCQ!C:C=B18),MCQ!H:H)</f>
        <v>17.00</v>
      </c>
      <c r="F18" s="6" t="str">
        <f>LOOKUP(2,1/(Debugging!C:C=B18),Debugging!H:H)</f>
        <v>45.00</v>
      </c>
      <c r="G18" s="6" t="str">
        <f>LOOKUP(2,1/(Coding!C:C=B18),Coding!H:H)</f>
        <v>23.50</v>
      </c>
      <c r="H18" s="8">
        <f>E18+F18+G18</f>
        <v>85.5</v>
      </c>
      <c r="I18" s="4" t="str">
        <f>IF(J18&lt;&gt;"Complete","Not Active",IF(H18&gt;=75,"Good",IF(H18&gt;=50,"Satisfactory",IF(H18&gt;=25,"Need Attention","Intervention"))))</f>
        <v>Good</v>
      </c>
      <c r="J18" s="4" t="str">
        <f>IF(COUNTIF(E18:G18,"#N/A")=3,"Not Attempted",IF(OR(ISNA(E18),ISNA(F18),ISNA(G18)),"NotCompleted","Complete"))</f>
        <v>Complete</v>
      </c>
    </row>
    <row r="19" spans="1:10" ht="15.6" x14ac:dyDescent="0.3">
      <c r="A19" s="16" t="s">
        <v>7587</v>
      </c>
      <c r="B19" s="20" t="s">
        <v>50</v>
      </c>
      <c r="C19" s="20" t="s">
        <v>7295</v>
      </c>
      <c r="D19" s="23"/>
      <c r="E19" s="6" t="str">
        <f>LOOKUP(2,1/(MCQ!C:C=B19),MCQ!H:H)</f>
        <v>24.00</v>
      </c>
      <c r="F19" s="6" t="str">
        <f>LOOKUP(2,1/(Debugging!C:C=B19),Debugging!H:H)</f>
        <v>39.00</v>
      </c>
      <c r="G19" s="6" t="str">
        <f>LOOKUP(2,1/(Coding!C:C=B19),Coding!H:H)</f>
        <v>17.00</v>
      </c>
      <c r="H19" s="8">
        <f>E19+F19+G19</f>
        <v>80</v>
      </c>
      <c r="I19" s="4" t="str">
        <f>IF(J19&lt;&gt;"Complete","Not Active",IF(H19&gt;=75,"Good",IF(H19&gt;=50,"Satisfactory",IF(H19&gt;=25,"Need Attention","Intervention"))))</f>
        <v>Good</v>
      </c>
      <c r="J19" s="4" t="str">
        <f>IF(COUNTIF(E19:G19,"#N/A")=3,"Not Attempted",IF(OR(ISNA(E19),ISNA(F19),ISNA(G19)),"NotCompleted","Complete"))</f>
        <v>Complete</v>
      </c>
    </row>
    <row r="20" spans="1:10" ht="15.6" x14ac:dyDescent="0.3">
      <c r="A20" s="16" t="s">
        <v>7587</v>
      </c>
      <c r="B20" s="20" t="s">
        <v>52</v>
      </c>
      <c r="C20" s="20" t="s">
        <v>7296</v>
      </c>
      <c r="D20" s="23"/>
      <c r="E20" s="6" t="str">
        <f>LOOKUP(2,1/(MCQ!C:C=B20),MCQ!H:H)</f>
        <v>23.00</v>
      </c>
      <c r="F20" s="6" t="str">
        <f>LOOKUP(2,1/(Debugging!C:C=B20),Debugging!H:H)</f>
        <v>38.00</v>
      </c>
      <c r="G20" s="6" t="str">
        <f>LOOKUP(2,1/(Coding!C:C=B20),Coding!H:H)</f>
        <v>19.50</v>
      </c>
      <c r="H20" s="8">
        <f>E20+F20+G20</f>
        <v>80.5</v>
      </c>
      <c r="I20" s="4" t="str">
        <f>IF(J20&lt;&gt;"Complete","Not Active",IF(H20&gt;=75,"Good",IF(H20&gt;=50,"Satisfactory",IF(H20&gt;=25,"Need Attention","Intervention"))))</f>
        <v>Good</v>
      </c>
      <c r="J20" s="4" t="str">
        <f>IF(COUNTIF(E20:G20,"#N/A")=3,"Not Attempted",IF(OR(ISNA(E20),ISNA(F20),ISNA(G20)),"NotCompleted","Complete"))</f>
        <v>Complete</v>
      </c>
    </row>
    <row r="21" spans="1:10" ht="15.6" x14ac:dyDescent="0.3">
      <c r="A21" s="16" t="s">
        <v>7587</v>
      </c>
      <c r="B21" s="20" t="s">
        <v>53</v>
      </c>
      <c r="C21" s="20" t="s">
        <v>7297</v>
      </c>
      <c r="D21" s="23"/>
      <c r="E21" s="6" t="str">
        <f>LOOKUP(2,1/(MCQ!C:C=B21),MCQ!H:H)</f>
        <v>25.00</v>
      </c>
      <c r="F21" s="6" t="str">
        <f>LOOKUP(2,1/(Debugging!C:C=B21),Debugging!H:H)</f>
        <v>40.00</v>
      </c>
      <c r="G21" s="6" t="str">
        <f>LOOKUP(2,1/(Coding!C:C=B21),Coding!H:H)</f>
        <v>25.00</v>
      </c>
      <c r="H21" s="8">
        <f>E21+F21+G21</f>
        <v>90</v>
      </c>
      <c r="I21" s="4" t="str">
        <f>IF(J21&lt;&gt;"Complete","Not Active",IF(H21&gt;=75,"Good",IF(H21&gt;=50,"Satisfactory",IF(H21&gt;=25,"Need Attention","Intervention"))))</f>
        <v>Good</v>
      </c>
      <c r="J21" s="4" t="str">
        <f>IF(COUNTIF(E21:G21,"#N/A")=3,"Not Attempted",IF(OR(ISNA(E21),ISNA(F21),ISNA(G21)),"NotCompleted","Complete"))</f>
        <v>Complete</v>
      </c>
    </row>
    <row r="22" spans="1:10" ht="15.6" x14ac:dyDescent="0.3">
      <c r="A22" s="16" t="s">
        <v>7587</v>
      </c>
      <c r="B22" s="20" t="s">
        <v>56</v>
      </c>
      <c r="C22" s="20" t="s">
        <v>7298</v>
      </c>
      <c r="D22" s="23"/>
      <c r="E22" s="6" t="str">
        <f>LOOKUP(2,1/(MCQ!C:C=B22),MCQ!H:H)</f>
        <v>23.00</v>
      </c>
      <c r="F22" s="6" t="str">
        <f>LOOKUP(2,1/(Debugging!C:C=B22),Debugging!H:H)</f>
        <v>49.00</v>
      </c>
      <c r="G22" s="6" t="str">
        <f>LOOKUP(2,1/(Coding!C:C=B22),Coding!H:H)</f>
        <v>25.00</v>
      </c>
      <c r="H22" s="8">
        <f>E22+F22+G22</f>
        <v>97</v>
      </c>
      <c r="I22" s="4" t="str">
        <f>IF(J22&lt;&gt;"Complete","Not Active",IF(H22&gt;=75,"Good",IF(H22&gt;=50,"Satisfactory",IF(H22&gt;=25,"Need Attention","Intervention"))))</f>
        <v>Good</v>
      </c>
      <c r="J22" s="4" t="str">
        <f>IF(COUNTIF(E22:G22,"#N/A")=3,"Not Attempted",IF(OR(ISNA(E22),ISNA(F22),ISNA(G22)),"NotCompleted","Complete"))</f>
        <v>Complete</v>
      </c>
    </row>
    <row r="23" spans="1:10" ht="15.6" x14ac:dyDescent="0.3">
      <c r="A23" s="16" t="s">
        <v>7587</v>
      </c>
      <c r="B23" s="20" t="s">
        <v>58</v>
      </c>
      <c r="C23" s="20" t="s">
        <v>7199</v>
      </c>
      <c r="D23" s="23"/>
      <c r="E23" s="6" t="str">
        <f>LOOKUP(2,1/(MCQ!C:C=B23),MCQ!H:H)</f>
        <v>25.00</v>
      </c>
      <c r="F23" s="6" t="str">
        <f>LOOKUP(2,1/(Debugging!C:C=B23),Debugging!H:H)</f>
        <v>46.00</v>
      </c>
      <c r="G23" s="6" t="str">
        <f>LOOKUP(2,1/(Coding!C:C=B23),Coding!H:H)</f>
        <v>25.00</v>
      </c>
      <c r="H23" s="8">
        <f>E23+F23+G23</f>
        <v>96</v>
      </c>
      <c r="I23" s="4" t="str">
        <f>IF(J23&lt;&gt;"Complete","Not Active",IF(H23&gt;=75,"Good",IF(H23&gt;=50,"Satisfactory",IF(H23&gt;=25,"Need Attention","Intervention"))))</f>
        <v>Good</v>
      </c>
      <c r="J23" s="4" t="str">
        <f>IF(COUNTIF(E23:G23,"#N/A")=3,"Not Attempted",IF(OR(ISNA(E23),ISNA(F23),ISNA(G23)),"NotCompleted","Complete"))</f>
        <v>Complete</v>
      </c>
    </row>
    <row r="24" spans="1:10" ht="15.6" x14ac:dyDescent="0.3">
      <c r="A24" s="16" t="s">
        <v>7587</v>
      </c>
      <c r="B24" s="20" t="s">
        <v>60</v>
      </c>
      <c r="C24" s="20" t="s">
        <v>7299</v>
      </c>
      <c r="D24" s="23"/>
      <c r="E24" s="6" t="str">
        <f>LOOKUP(2,1/(MCQ!C:C=B24),MCQ!H:H)</f>
        <v>25.00</v>
      </c>
      <c r="F24" s="6" t="str">
        <f>LOOKUP(2,1/(Debugging!C:C=B24),Debugging!H:H)</f>
        <v>48.00</v>
      </c>
      <c r="G24" s="6" t="str">
        <f>LOOKUP(2,1/(Coding!C:C=B24),Coding!H:H)</f>
        <v>25.00</v>
      </c>
      <c r="H24" s="8">
        <f>E24+F24+G24</f>
        <v>98</v>
      </c>
      <c r="I24" s="4" t="str">
        <f>IF(J24&lt;&gt;"Complete","Not Active",IF(H24&gt;=75,"Good",IF(H24&gt;=50,"Satisfactory",IF(H24&gt;=25,"Need Attention","Intervention"))))</f>
        <v>Good</v>
      </c>
      <c r="J24" s="4" t="str">
        <f>IF(COUNTIF(E24:G24,"#N/A")=3,"Not Attempted",IF(OR(ISNA(E24),ISNA(F24),ISNA(G24)),"NotCompleted","Complete"))</f>
        <v>Complete</v>
      </c>
    </row>
    <row r="25" spans="1:10" ht="15.6" x14ac:dyDescent="0.3">
      <c r="A25" s="16" t="s">
        <v>7587</v>
      </c>
      <c r="B25" s="20" t="s">
        <v>62</v>
      </c>
      <c r="C25" s="20" t="s">
        <v>7300</v>
      </c>
      <c r="D25" s="23"/>
      <c r="E25" s="6" t="str">
        <f>LOOKUP(2,1/(MCQ!C:C=B25),MCQ!H:H)</f>
        <v>23.00</v>
      </c>
      <c r="F25" s="6" t="str">
        <f>LOOKUP(2,1/(Debugging!C:C=B25),Debugging!H:H)</f>
        <v>49.00</v>
      </c>
      <c r="G25" s="6" t="str">
        <f>LOOKUP(2,1/(Coding!C:C=B25),Coding!H:H)</f>
        <v>25.00</v>
      </c>
      <c r="H25" s="8">
        <f>E25+F25+G25</f>
        <v>97</v>
      </c>
      <c r="I25" s="4" t="str">
        <f>IF(J25&lt;&gt;"Complete","Not Active",IF(H25&gt;=75,"Good",IF(H25&gt;=50,"Satisfactory",IF(H25&gt;=25,"Need Attention","Intervention"))))</f>
        <v>Good</v>
      </c>
      <c r="J25" s="4" t="str">
        <f>IF(COUNTIF(E25:G25,"#N/A")=3,"Not Attempted",IF(OR(ISNA(E25),ISNA(F25),ISNA(G25)),"NotCompleted","Complete"))</f>
        <v>Complete</v>
      </c>
    </row>
    <row r="26" spans="1:10" ht="15.6" x14ac:dyDescent="0.3">
      <c r="A26" s="16" t="s">
        <v>7587</v>
      </c>
      <c r="B26" s="20" t="s">
        <v>64</v>
      </c>
      <c r="C26" s="20" t="s">
        <v>7301</v>
      </c>
      <c r="D26" s="23"/>
      <c r="E26" s="6" t="str">
        <f>LOOKUP(2,1/(MCQ!C:C=B26),MCQ!H:H)</f>
        <v>23.00</v>
      </c>
      <c r="F26" s="6" t="str">
        <f>LOOKUP(2,1/(Debugging!C:C=B26),Debugging!H:H)</f>
        <v>42.00</v>
      </c>
      <c r="G26" s="6" t="str">
        <f>LOOKUP(2,1/(Coding!C:C=B26),Coding!H:H)</f>
        <v>24.00</v>
      </c>
      <c r="H26" s="8">
        <f>E26+F26+G26</f>
        <v>89</v>
      </c>
      <c r="I26" s="4" t="str">
        <f>IF(J26&lt;&gt;"Complete","Not Active",IF(H26&gt;=75,"Good",IF(H26&gt;=50,"Satisfactory",IF(H26&gt;=25,"Need Attention","Intervention"))))</f>
        <v>Good</v>
      </c>
      <c r="J26" s="4" t="str">
        <f>IF(COUNTIF(E26:G26,"#N/A")=3,"Not Attempted",IF(OR(ISNA(E26),ISNA(F26),ISNA(G26)),"NotCompleted","Complete"))</f>
        <v>Complete</v>
      </c>
    </row>
    <row r="27" spans="1:10" ht="15.6" x14ac:dyDescent="0.3">
      <c r="A27" s="16" t="s">
        <v>7587</v>
      </c>
      <c r="B27" s="20" t="s">
        <v>67</v>
      </c>
      <c r="C27" s="20" t="s">
        <v>7302</v>
      </c>
      <c r="D27" s="23"/>
      <c r="E27" s="6" t="str">
        <f>LOOKUP(2,1/(MCQ!C:C=B27),MCQ!H:H)</f>
        <v>25.00</v>
      </c>
      <c r="F27" s="6" t="str">
        <f>LOOKUP(2,1/(Debugging!C:C=B27),Debugging!H:H)</f>
        <v>49.00</v>
      </c>
      <c r="G27" s="6" t="str">
        <f>LOOKUP(2,1/(Coding!C:C=B27),Coding!H:H)</f>
        <v>23.50</v>
      </c>
      <c r="H27" s="8">
        <f>E27+F27+G27</f>
        <v>97.5</v>
      </c>
      <c r="I27" s="4" t="str">
        <f>IF(J27&lt;&gt;"Complete","Not Active",IF(H27&gt;=75,"Good",IF(H27&gt;=50,"Satisfactory",IF(H27&gt;=25,"Need Attention","Intervention"))))</f>
        <v>Good</v>
      </c>
      <c r="J27" s="4" t="str">
        <f>IF(COUNTIF(E27:G27,"#N/A")=3,"Not Attempted",IF(OR(ISNA(E27),ISNA(F27),ISNA(G27)),"NotCompleted","Complete"))</f>
        <v>Complete</v>
      </c>
    </row>
    <row r="28" spans="1:10" ht="15.6" x14ac:dyDescent="0.3">
      <c r="A28" s="16" t="s">
        <v>7587</v>
      </c>
      <c r="B28" s="20" t="s">
        <v>69</v>
      </c>
      <c r="C28" s="20" t="s">
        <v>7303</v>
      </c>
      <c r="D28" s="23"/>
      <c r="E28" s="6" t="str">
        <f>LOOKUP(2,1/(MCQ!C:C=B28),MCQ!H:H)</f>
        <v>21.00</v>
      </c>
      <c r="F28" s="6" t="str">
        <f>LOOKUP(2,1/(Debugging!C:C=B28),Debugging!H:H)</f>
        <v>49.00</v>
      </c>
      <c r="G28" s="6" t="str">
        <f>LOOKUP(2,1/(Coding!C:C=B28),Coding!H:H)</f>
        <v>25.00</v>
      </c>
      <c r="H28" s="8">
        <f>E28+F28+G28</f>
        <v>95</v>
      </c>
      <c r="I28" s="4" t="str">
        <f>IF(J28&lt;&gt;"Complete","Not Active",IF(H28&gt;=75,"Good",IF(H28&gt;=50,"Satisfactory",IF(H28&gt;=25,"Need Attention","Intervention"))))</f>
        <v>Good</v>
      </c>
      <c r="J28" s="4" t="str">
        <f>IF(COUNTIF(E28:G28,"#N/A")=3,"Not Attempted",IF(OR(ISNA(E28),ISNA(F28),ISNA(G28)),"NotCompleted","Complete"))</f>
        <v>Complete</v>
      </c>
    </row>
    <row r="29" spans="1:10" ht="15.6" x14ac:dyDescent="0.3">
      <c r="A29" s="16" t="s">
        <v>7587</v>
      </c>
      <c r="B29" s="20" t="s">
        <v>72</v>
      </c>
      <c r="C29" s="20" t="s">
        <v>7304</v>
      </c>
      <c r="D29" s="23"/>
      <c r="E29" s="6" t="str">
        <f>LOOKUP(2,1/(MCQ!C:C=B29),MCQ!H:H)</f>
        <v>22.00</v>
      </c>
      <c r="F29" s="6" t="str">
        <f>LOOKUP(2,1/(Debugging!C:C=B29),Debugging!H:H)</f>
        <v>35.00</v>
      </c>
      <c r="G29" s="6" t="str">
        <f>LOOKUP(2,1/(Coding!C:C=B29),Coding!H:H)</f>
        <v>25.00</v>
      </c>
      <c r="H29" s="8">
        <f>E29+F29+G29</f>
        <v>82</v>
      </c>
      <c r="I29" s="4" t="str">
        <f>IF(J29&lt;&gt;"Complete","Not Active",IF(H29&gt;=75,"Good",IF(H29&gt;=50,"Satisfactory",IF(H29&gt;=25,"Need Attention","Intervention"))))</f>
        <v>Good</v>
      </c>
      <c r="J29" s="4" t="str">
        <f>IF(COUNTIF(E29:G29,"#N/A")=3,"Not Attempted",IF(OR(ISNA(E29),ISNA(F29),ISNA(G29)),"NotCompleted","Complete"))</f>
        <v>Complete</v>
      </c>
    </row>
    <row r="30" spans="1:10" ht="15.6" x14ac:dyDescent="0.3">
      <c r="A30" s="16" t="s">
        <v>7587</v>
      </c>
      <c r="B30" s="20" t="s">
        <v>74</v>
      </c>
      <c r="C30" s="20" t="s">
        <v>7305</v>
      </c>
      <c r="D30" s="23"/>
      <c r="E30" s="6" t="str">
        <f>LOOKUP(2,1/(MCQ!C:C=B30),MCQ!H:H)</f>
        <v>25.00</v>
      </c>
      <c r="F30" s="6" t="str">
        <f>LOOKUP(2,1/(Debugging!C:C=B30),Debugging!H:H)</f>
        <v>43.00</v>
      </c>
      <c r="G30" s="6" t="str">
        <f>LOOKUP(2,1/(Coding!C:C=B30),Coding!H:H)</f>
        <v>24.00</v>
      </c>
      <c r="H30" s="8">
        <f>E30+F30+G30</f>
        <v>92</v>
      </c>
      <c r="I30" s="4" t="str">
        <f>IF(J30&lt;&gt;"Complete","Not Active",IF(H30&gt;=75,"Good",IF(H30&gt;=50,"Satisfactory",IF(H30&gt;=25,"Need Attention","Intervention"))))</f>
        <v>Good</v>
      </c>
      <c r="J30" s="4" t="str">
        <f>IF(COUNTIF(E30:G30,"#N/A")=3,"Not Attempted",IF(OR(ISNA(E30),ISNA(F30),ISNA(G30)),"NotCompleted","Complete"))</f>
        <v>Complete</v>
      </c>
    </row>
    <row r="31" spans="1:10" ht="15.6" x14ac:dyDescent="0.3">
      <c r="A31" s="16" t="s">
        <v>7587</v>
      </c>
      <c r="B31" s="20" t="s">
        <v>76</v>
      </c>
      <c r="C31" s="20" t="s">
        <v>7306</v>
      </c>
      <c r="D31" s="23"/>
      <c r="E31" s="6" t="str">
        <f>LOOKUP(2,1/(MCQ!C:C=B31),MCQ!H:H)</f>
        <v>20.00</v>
      </c>
      <c r="F31" s="6" t="str">
        <f>LOOKUP(2,1/(Debugging!C:C=B31),Debugging!H:H)</f>
        <v>45.00</v>
      </c>
      <c r="G31" s="6" t="str">
        <f>LOOKUP(2,1/(Coding!C:C=B31),Coding!H:H)</f>
        <v>25.00</v>
      </c>
      <c r="H31" s="8">
        <f>E31+F31+G31</f>
        <v>90</v>
      </c>
      <c r="I31" s="4" t="str">
        <f>IF(J31&lt;&gt;"Complete","Not Active",IF(H31&gt;=75,"Good",IF(H31&gt;=50,"Satisfactory",IF(H31&gt;=25,"Need Attention","Intervention"))))</f>
        <v>Good</v>
      </c>
      <c r="J31" s="4" t="str">
        <f>IF(COUNTIF(E31:G31,"#N/A")=3,"Not Attempted",IF(OR(ISNA(E31),ISNA(F31),ISNA(G31)),"NotCompleted","Complete"))</f>
        <v>Complete</v>
      </c>
    </row>
    <row r="32" spans="1:10" ht="15.6" x14ac:dyDescent="0.3">
      <c r="A32" s="16" t="s">
        <v>7587</v>
      </c>
      <c r="B32" s="20" t="s">
        <v>78</v>
      </c>
      <c r="C32" s="20" t="s">
        <v>6667</v>
      </c>
      <c r="D32" s="23"/>
      <c r="E32" s="6" t="str">
        <f>LOOKUP(2,1/(MCQ!C:C=B32),MCQ!H:H)</f>
        <v>25.00</v>
      </c>
      <c r="F32" s="6" t="str">
        <f>LOOKUP(2,1/(Debugging!C:C=B32),Debugging!H:H)</f>
        <v>45.00</v>
      </c>
      <c r="G32" s="6" t="str">
        <f>LOOKUP(2,1/(Coding!C:C=B32),Coding!H:H)</f>
        <v>25.00</v>
      </c>
      <c r="H32" s="8">
        <f>E32+F32+G32</f>
        <v>95</v>
      </c>
      <c r="I32" s="4" t="str">
        <f>IF(J32&lt;&gt;"Complete","Not Active",IF(H32&gt;=75,"Good",IF(H32&gt;=50,"Satisfactory",IF(H32&gt;=25,"Need Attention","Intervention"))))</f>
        <v>Good</v>
      </c>
      <c r="J32" s="4" t="str">
        <f>IF(COUNTIF(E32:G32,"#N/A")=3,"Not Attempted",IF(OR(ISNA(E32),ISNA(F32),ISNA(G32)),"NotCompleted","Complete"))</f>
        <v>Complete</v>
      </c>
    </row>
    <row r="33" spans="1:10" ht="15.6" x14ac:dyDescent="0.3">
      <c r="A33" s="16" t="s">
        <v>7587</v>
      </c>
      <c r="B33" s="20" t="s">
        <v>81</v>
      </c>
      <c r="C33" s="20" t="s">
        <v>7307</v>
      </c>
      <c r="D33" s="23"/>
      <c r="E33" s="6" t="str">
        <f>LOOKUP(2,1/(MCQ!C:C=B33),MCQ!H:H)</f>
        <v>22.00</v>
      </c>
      <c r="F33" s="6" t="str">
        <f>LOOKUP(2,1/(Debugging!C:C=B33),Debugging!H:H)</f>
        <v>39.00</v>
      </c>
      <c r="G33" s="6" t="str">
        <f>LOOKUP(2,1/(Coding!C:C=B33),Coding!H:H)</f>
        <v>22.00</v>
      </c>
      <c r="H33" s="8">
        <f>E33+F33+G33</f>
        <v>83</v>
      </c>
      <c r="I33" s="4" t="str">
        <f>IF(J33&lt;&gt;"Complete","Not Active",IF(H33&gt;=75,"Good",IF(H33&gt;=50,"Satisfactory",IF(H33&gt;=25,"Need Attention","Intervention"))))</f>
        <v>Good</v>
      </c>
      <c r="J33" s="4" t="str">
        <f>IF(COUNTIF(E33:G33,"#N/A")=3,"Not Attempted",IF(OR(ISNA(E33),ISNA(F33),ISNA(G33)),"NotCompleted","Complete"))</f>
        <v>Complete</v>
      </c>
    </row>
    <row r="34" spans="1:10" ht="15.6" x14ac:dyDescent="0.3">
      <c r="A34" s="16" t="s">
        <v>7587</v>
      </c>
      <c r="B34" s="20" t="s">
        <v>82</v>
      </c>
      <c r="C34" s="20" t="s">
        <v>7308</v>
      </c>
      <c r="D34" s="23"/>
      <c r="E34" s="6" t="str">
        <f>LOOKUP(2,1/(MCQ!C:C=B34),MCQ!H:H)</f>
        <v>24.00</v>
      </c>
      <c r="F34" s="6" t="str">
        <f>LOOKUP(2,1/(Debugging!C:C=B34),Debugging!H:H)</f>
        <v>48.00</v>
      </c>
      <c r="G34" s="6" t="str">
        <f>LOOKUP(2,1/(Coding!C:C=B34),Coding!H:H)</f>
        <v>25.00</v>
      </c>
      <c r="H34" s="8">
        <f>E34+F34+G34</f>
        <v>97</v>
      </c>
      <c r="I34" s="4" t="str">
        <f>IF(J34&lt;&gt;"Complete","Not Active",IF(H34&gt;=75,"Good",IF(H34&gt;=50,"Satisfactory",IF(H34&gt;=25,"Need Attention","Intervention"))))</f>
        <v>Good</v>
      </c>
      <c r="J34" s="4" t="str">
        <f>IF(COUNTIF(E34:G34,"#N/A")=3,"Not Attempted",IF(OR(ISNA(E34),ISNA(F34),ISNA(G34)),"NotCompleted","Complete"))</f>
        <v>Complete</v>
      </c>
    </row>
    <row r="35" spans="1:10" ht="15.6" x14ac:dyDescent="0.3">
      <c r="A35" s="16" t="s">
        <v>7587</v>
      </c>
      <c r="B35" s="20" t="s">
        <v>85</v>
      </c>
      <c r="C35" s="20" t="s">
        <v>7309</v>
      </c>
      <c r="D35" s="23"/>
      <c r="E35" s="6" t="str">
        <f>LOOKUP(2,1/(MCQ!C:C=B35),MCQ!H:H)</f>
        <v>25.00</v>
      </c>
      <c r="F35" s="6" t="str">
        <f>LOOKUP(2,1/(Debugging!C:C=B35),Debugging!H:H)</f>
        <v>43.00</v>
      </c>
      <c r="G35" s="6" t="str">
        <f>LOOKUP(2,1/(Coding!C:C=B35),Coding!H:H)</f>
        <v>23.00</v>
      </c>
      <c r="H35" s="8">
        <f>E35+F35+G35</f>
        <v>91</v>
      </c>
      <c r="I35" s="4" t="str">
        <f>IF(J35&lt;&gt;"Complete","Not Active",IF(H35&gt;=75,"Good",IF(H35&gt;=50,"Satisfactory",IF(H35&gt;=25,"Need Attention","Intervention"))))</f>
        <v>Good</v>
      </c>
      <c r="J35" s="4" t="str">
        <f>IF(COUNTIF(E35:G35,"#N/A")=3,"Not Attempted",IF(OR(ISNA(E35),ISNA(F35),ISNA(G35)),"NotCompleted","Complete"))</f>
        <v>Complete</v>
      </c>
    </row>
    <row r="36" spans="1:10" ht="15.6" x14ac:dyDescent="0.3">
      <c r="A36" s="16" t="s">
        <v>7587</v>
      </c>
      <c r="B36" s="20" t="s">
        <v>87</v>
      </c>
      <c r="C36" s="20" t="s">
        <v>7310</v>
      </c>
      <c r="D36" s="23"/>
      <c r="E36" s="6" t="str">
        <f>LOOKUP(2,1/(MCQ!C:C=B36),MCQ!H:H)</f>
        <v>19.00</v>
      </c>
      <c r="F36" s="6" t="str">
        <f>LOOKUP(2,1/(Debugging!C:C=B36),Debugging!H:H)</f>
        <v>36.00</v>
      </c>
      <c r="G36" s="6" t="str">
        <f>LOOKUP(2,1/(Coding!C:C=B36),Coding!H:H)</f>
        <v>25.00</v>
      </c>
      <c r="H36" s="8">
        <f>E36+F36+G36</f>
        <v>80</v>
      </c>
      <c r="I36" s="4" t="str">
        <f>IF(J36&lt;&gt;"Complete","Not Active",IF(H36&gt;=75,"Good",IF(H36&gt;=50,"Satisfactory",IF(H36&gt;=25,"Need Attention","Intervention"))))</f>
        <v>Good</v>
      </c>
      <c r="J36" s="4" t="str">
        <f>IF(COUNTIF(E36:G36,"#N/A")=3,"Not Attempted",IF(OR(ISNA(E36),ISNA(F36),ISNA(G36)),"NotCompleted","Complete"))</f>
        <v>Complete</v>
      </c>
    </row>
    <row r="37" spans="1:10" ht="15.6" x14ac:dyDescent="0.3">
      <c r="A37" s="16" t="s">
        <v>7587</v>
      </c>
      <c r="B37" s="20" t="s">
        <v>89</v>
      </c>
      <c r="C37" s="20" t="s">
        <v>7311</v>
      </c>
      <c r="D37" s="23"/>
      <c r="E37" s="6" t="str">
        <f>LOOKUP(2,1/(MCQ!C:C=B37),MCQ!H:H)</f>
        <v>22.00</v>
      </c>
      <c r="F37" s="6" t="str">
        <f>LOOKUP(2,1/(Debugging!C:C=B37),Debugging!H:H)</f>
        <v>42.00</v>
      </c>
      <c r="G37" s="6" t="str">
        <f>LOOKUP(2,1/(Coding!C:C=B37),Coding!H:H)</f>
        <v>25.00</v>
      </c>
      <c r="H37" s="8">
        <f>E37+F37+G37</f>
        <v>89</v>
      </c>
      <c r="I37" s="4" t="str">
        <f>IF(J37&lt;&gt;"Complete","Not Active",IF(H37&gt;=75,"Good",IF(H37&gt;=50,"Satisfactory",IF(H37&gt;=25,"Need Attention","Intervention"))))</f>
        <v>Good</v>
      </c>
      <c r="J37" s="4" t="str">
        <f>IF(COUNTIF(E37:G37,"#N/A")=3,"Not Attempted",IF(OR(ISNA(E37),ISNA(F37),ISNA(G37)),"NotCompleted","Complete"))</f>
        <v>Complete</v>
      </c>
    </row>
    <row r="38" spans="1:10" ht="15.6" x14ac:dyDescent="0.3">
      <c r="A38" s="16" t="s">
        <v>7587</v>
      </c>
      <c r="B38" s="20" t="s">
        <v>91</v>
      </c>
      <c r="C38" s="20" t="s">
        <v>7312</v>
      </c>
      <c r="D38" s="23"/>
      <c r="E38" s="6" t="str">
        <f>LOOKUP(2,1/(MCQ!C:C=B38),MCQ!H:H)</f>
        <v>24.00</v>
      </c>
      <c r="F38" s="6" t="str">
        <f>LOOKUP(2,1/(Debugging!C:C=B38),Debugging!H:H)</f>
        <v>47.00</v>
      </c>
      <c r="G38" s="6" t="str">
        <f>LOOKUP(2,1/(Coding!C:C=B38),Coding!H:H)</f>
        <v>20.50</v>
      </c>
      <c r="H38" s="8">
        <f>E38+F38+G38</f>
        <v>91.5</v>
      </c>
      <c r="I38" s="4" t="str">
        <f>IF(J38&lt;&gt;"Complete","Not Active",IF(H38&gt;=75,"Good",IF(H38&gt;=50,"Satisfactory",IF(H38&gt;=25,"Need Attention","Intervention"))))</f>
        <v>Good</v>
      </c>
      <c r="J38" s="4" t="str">
        <f>IF(COUNTIF(E38:G38,"#N/A")=3,"Not Attempted",IF(OR(ISNA(E38),ISNA(F38),ISNA(G38)),"NotCompleted","Complete"))</f>
        <v>Complete</v>
      </c>
    </row>
    <row r="39" spans="1:10" ht="15.6" x14ac:dyDescent="0.3">
      <c r="A39" s="16" t="s">
        <v>7587</v>
      </c>
      <c r="B39" s="20" t="s">
        <v>93</v>
      </c>
      <c r="C39" s="20" t="s">
        <v>7313</v>
      </c>
      <c r="D39" s="23"/>
      <c r="E39" s="6" t="str">
        <f>LOOKUP(2,1/(MCQ!C:C=B39),MCQ!H:H)</f>
        <v>22.00</v>
      </c>
      <c r="F39" s="6" t="str">
        <f>LOOKUP(2,1/(Debugging!C:C=B39),Debugging!H:H)</f>
        <v>40.00</v>
      </c>
      <c r="G39" s="6" t="str">
        <f>LOOKUP(2,1/(Coding!C:C=B39),Coding!H:H)</f>
        <v>25.00</v>
      </c>
      <c r="H39" s="8">
        <f>E39+F39+G39</f>
        <v>87</v>
      </c>
      <c r="I39" s="4" t="str">
        <f>IF(J39&lt;&gt;"Complete","Not Active",IF(H39&gt;=75,"Good",IF(H39&gt;=50,"Satisfactory",IF(H39&gt;=25,"Need Attention","Intervention"))))</f>
        <v>Good</v>
      </c>
      <c r="J39" s="4" t="str">
        <f>IF(COUNTIF(E39:G39,"#N/A")=3,"Not Attempted",IF(OR(ISNA(E39),ISNA(F39),ISNA(G39)),"NotCompleted","Complete"))</f>
        <v>Complete</v>
      </c>
    </row>
    <row r="40" spans="1:10" ht="15.6" x14ac:dyDescent="0.3">
      <c r="A40" s="16" t="s">
        <v>7587</v>
      </c>
      <c r="B40" s="20" t="s">
        <v>95</v>
      </c>
      <c r="C40" s="20" t="s">
        <v>7314</v>
      </c>
      <c r="D40" s="23"/>
      <c r="E40" s="6" t="str">
        <f>LOOKUP(2,1/(MCQ!C:C=B40),MCQ!H:H)</f>
        <v>22.00</v>
      </c>
      <c r="F40" s="6" t="str">
        <f>LOOKUP(2,1/(Debugging!C:C=B40),Debugging!H:H)</f>
        <v>46.00</v>
      </c>
      <c r="G40" s="6" t="str">
        <f>LOOKUP(2,1/(Coding!C:C=B40),Coding!H:H)</f>
        <v>25.00</v>
      </c>
      <c r="H40" s="8">
        <f>E40+F40+G40</f>
        <v>93</v>
      </c>
      <c r="I40" s="4" t="str">
        <f>IF(J40&lt;&gt;"Complete","Not Active",IF(H40&gt;=75,"Good",IF(H40&gt;=50,"Satisfactory",IF(H40&gt;=25,"Need Attention","Intervention"))))</f>
        <v>Good</v>
      </c>
      <c r="J40" s="4" t="str">
        <f>IF(COUNTIF(E40:G40,"#N/A")=3,"Not Attempted",IF(OR(ISNA(E40),ISNA(F40),ISNA(G40)),"NotCompleted","Complete"))</f>
        <v>Complete</v>
      </c>
    </row>
    <row r="41" spans="1:10" ht="15.6" x14ac:dyDescent="0.3">
      <c r="A41" s="16" t="s">
        <v>7587</v>
      </c>
      <c r="B41" s="20" t="s">
        <v>97</v>
      </c>
      <c r="C41" s="20" t="s">
        <v>7315</v>
      </c>
      <c r="D41" s="23"/>
      <c r="E41" s="6" t="str">
        <f>LOOKUP(2,1/(MCQ!C:C=B41),MCQ!H:H)</f>
        <v>18.00</v>
      </c>
      <c r="F41" s="6" t="str">
        <f>LOOKUP(2,1/(Debugging!C:C=B41),Debugging!H:H)</f>
        <v>34.00</v>
      </c>
      <c r="G41" s="6" t="str">
        <f>LOOKUP(2,1/(Coding!C:C=B41),Coding!H:H)</f>
        <v>25.00</v>
      </c>
      <c r="H41" s="8">
        <f>E41+F41+G41</f>
        <v>77</v>
      </c>
      <c r="I41" s="4" t="str">
        <f>IF(J41&lt;&gt;"Complete","Not Active",IF(H41&gt;=75,"Good",IF(H41&gt;=50,"Satisfactory",IF(H41&gt;=25,"Need Attention","Intervention"))))</f>
        <v>Good</v>
      </c>
      <c r="J41" s="4" t="str">
        <f>IF(COUNTIF(E41:G41,"#N/A")=3,"Not Attempted",IF(OR(ISNA(E41),ISNA(F41),ISNA(G41)),"NotCompleted","Complete"))</f>
        <v>Complete</v>
      </c>
    </row>
    <row r="42" spans="1:10" ht="15.6" x14ac:dyDescent="0.3">
      <c r="A42" s="16" t="s">
        <v>7587</v>
      </c>
      <c r="B42" s="20" t="s">
        <v>99</v>
      </c>
      <c r="C42" s="20" t="s">
        <v>7316</v>
      </c>
      <c r="D42" s="23"/>
      <c r="E42" s="6" t="str">
        <f>LOOKUP(2,1/(MCQ!C:C=B42),MCQ!H:H)</f>
        <v>25.00</v>
      </c>
      <c r="F42" s="6" t="str">
        <f>LOOKUP(2,1/(Debugging!C:C=B42),Debugging!H:H)</f>
        <v>42.00</v>
      </c>
      <c r="G42" s="6" t="str">
        <f>LOOKUP(2,1/(Coding!C:C=B42),Coding!H:H)</f>
        <v>23.50</v>
      </c>
      <c r="H42" s="8">
        <f>E42+F42+G42</f>
        <v>90.5</v>
      </c>
      <c r="I42" s="4" t="str">
        <f>IF(J42&lt;&gt;"Complete","Not Active",IF(H42&gt;=75,"Good",IF(H42&gt;=50,"Satisfactory",IF(H42&gt;=25,"Need Attention","Intervention"))))</f>
        <v>Good</v>
      </c>
      <c r="J42" s="4" t="str">
        <f>IF(COUNTIF(E42:G42,"#N/A")=3,"Not Attempted",IF(OR(ISNA(E42),ISNA(F42),ISNA(G42)),"NotCompleted","Complete"))</f>
        <v>Complete</v>
      </c>
    </row>
    <row r="43" spans="1:10" ht="15.6" x14ac:dyDescent="0.3">
      <c r="A43" s="16" t="s">
        <v>7587</v>
      </c>
      <c r="B43" s="20" t="s">
        <v>101</v>
      </c>
      <c r="C43" s="20" t="s">
        <v>7147</v>
      </c>
      <c r="D43" s="23"/>
      <c r="E43" s="6" t="str">
        <f>LOOKUP(2,1/(MCQ!C:C=B43),MCQ!H:H)</f>
        <v>20.00</v>
      </c>
      <c r="F43" s="6" t="str">
        <f>LOOKUP(2,1/(Debugging!C:C=B43),Debugging!H:H)</f>
        <v>47.00</v>
      </c>
      <c r="G43" s="6" t="str">
        <f>LOOKUP(2,1/(Coding!C:C=B43),Coding!H:H)</f>
        <v>23.50</v>
      </c>
      <c r="H43" s="8">
        <f>E43+F43+G43</f>
        <v>90.5</v>
      </c>
      <c r="I43" s="4" t="str">
        <f>IF(J43&lt;&gt;"Complete","Not Active",IF(H43&gt;=75,"Good",IF(H43&gt;=50,"Satisfactory",IF(H43&gt;=25,"Need Attention","Intervention"))))</f>
        <v>Good</v>
      </c>
      <c r="J43" s="4" t="str">
        <f>IF(COUNTIF(E43:G43,"#N/A")=3,"Not Attempted",IF(OR(ISNA(E43),ISNA(F43),ISNA(G43)),"NotCompleted","Complete"))</f>
        <v>Complete</v>
      </c>
    </row>
    <row r="44" spans="1:10" ht="15.6" x14ac:dyDescent="0.3">
      <c r="A44" s="16" t="s">
        <v>7587</v>
      </c>
      <c r="B44" s="20" t="s">
        <v>103</v>
      </c>
      <c r="C44" s="20" t="s">
        <v>7317</v>
      </c>
      <c r="D44" s="23"/>
      <c r="E44" s="6" t="str">
        <f>LOOKUP(2,1/(MCQ!C:C=B44),MCQ!H:H)</f>
        <v>20.00</v>
      </c>
      <c r="F44" s="6" t="str">
        <f>LOOKUP(2,1/(Debugging!C:C=B44),Debugging!H:H)</f>
        <v>45.00</v>
      </c>
      <c r="G44" s="6" t="str">
        <f>LOOKUP(2,1/(Coding!C:C=B44),Coding!H:H)</f>
        <v>22.00</v>
      </c>
      <c r="H44" s="8">
        <f>E44+F44+G44</f>
        <v>87</v>
      </c>
      <c r="I44" s="4" t="str">
        <f>IF(J44&lt;&gt;"Complete","Not Active",IF(H44&gt;=75,"Good",IF(H44&gt;=50,"Satisfactory",IF(H44&gt;=25,"Need Attention","Intervention"))))</f>
        <v>Good</v>
      </c>
      <c r="J44" s="4" t="str">
        <f>IF(COUNTIF(E44:G44,"#N/A")=3,"Not Attempted",IF(OR(ISNA(E44),ISNA(F44),ISNA(G44)),"NotCompleted","Complete"))</f>
        <v>Complete</v>
      </c>
    </row>
    <row r="45" spans="1:10" ht="15.6" x14ac:dyDescent="0.3">
      <c r="A45" s="16" t="s">
        <v>7587</v>
      </c>
      <c r="B45" s="20" t="s">
        <v>105</v>
      </c>
      <c r="C45" s="20" t="s">
        <v>7318</v>
      </c>
      <c r="D45" s="23"/>
      <c r="E45" s="6" t="str">
        <f>LOOKUP(2,1/(MCQ!C:C=B45),MCQ!H:H)</f>
        <v>25.00</v>
      </c>
      <c r="F45" s="6" t="str">
        <f>LOOKUP(2,1/(Debugging!C:C=B45),Debugging!H:H)</f>
        <v>45.00</v>
      </c>
      <c r="G45" s="6" t="str">
        <f>LOOKUP(2,1/(Coding!C:C=B45),Coding!H:H)</f>
        <v>23.00</v>
      </c>
      <c r="H45" s="8">
        <f>E45+F45+G45</f>
        <v>93</v>
      </c>
      <c r="I45" s="4" t="str">
        <f>IF(J45&lt;&gt;"Complete","Not Active",IF(H45&gt;=75,"Good",IF(H45&gt;=50,"Satisfactory",IF(H45&gt;=25,"Need Attention","Intervention"))))</f>
        <v>Good</v>
      </c>
      <c r="J45" s="4" t="str">
        <f>IF(COUNTIF(E45:G45,"#N/A")=3,"Not Attempted",IF(OR(ISNA(E45),ISNA(F45),ISNA(G45)),"NotCompleted","Complete"))</f>
        <v>Complete</v>
      </c>
    </row>
    <row r="46" spans="1:10" ht="15.6" x14ac:dyDescent="0.3">
      <c r="A46" s="16" t="s">
        <v>7587</v>
      </c>
      <c r="B46" s="20" t="s">
        <v>107</v>
      </c>
      <c r="C46" s="20" t="s">
        <v>7319</v>
      </c>
      <c r="D46" s="23"/>
      <c r="E46" s="6" t="str">
        <f>LOOKUP(2,1/(MCQ!C:C=B46),MCQ!H:H)</f>
        <v>25.00</v>
      </c>
      <c r="F46" s="6" t="str">
        <f>LOOKUP(2,1/(Debugging!C:C=B46),Debugging!H:H)</f>
        <v>44.00</v>
      </c>
      <c r="G46" s="6" t="str">
        <f>LOOKUP(2,1/(Coding!C:C=B46),Coding!H:H)</f>
        <v>25.00</v>
      </c>
      <c r="H46" s="8">
        <f>E46+F46+G46</f>
        <v>94</v>
      </c>
      <c r="I46" s="4" t="str">
        <f>IF(J46&lt;&gt;"Complete","Not Active",IF(H46&gt;=75,"Good",IF(H46&gt;=50,"Satisfactory",IF(H46&gt;=25,"Need Attention","Intervention"))))</f>
        <v>Good</v>
      </c>
      <c r="J46" s="4" t="str">
        <f>IF(COUNTIF(E46:G46,"#N/A")=3,"Not Attempted",IF(OR(ISNA(E46),ISNA(F46),ISNA(G46)),"NotCompleted","Complete"))</f>
        <v>Complete</v>
      </c>
    </row>
    <row r="47" spans="1:10" ht="15.6" x14ac:dyDescent="0.3">
      <c r="A47" s="16" t="s">
        <v>7587</v>
      </c>
      <c r="B47" s="20" t="s">
        <v>109</v>
      </c>
      <c r="C47" s="20" t="s">
        <v>7320</v>
      </c>
      <c r="D47" s="23"/>
      <c r="E47" s="6" t="str">
        <f>LOOKUP(2,1/(MCQ!C:C=B47),MCQ!H:H)</f>
        <v>23.00</v>
      </c>
      <c r="F47" s="6" t="str">
        <f>LOOKUP(2,1/(Debugging!C:C=B47),Debugging!H:H)</f>
        <v>49.00</v>
      </c>
      <c r="G47" s="6" t="str">
        <f>LOOKUP(2,1/(Coding!C:C=B47),Coding!H:H)</f>
        <v>25.00</v>
      </c>
      <c r="H47" s="8">
        <f>E47+F47+G47</f>
        <v>97</v>
      </c>
      <c r="I47" s="4" t="str">
        <f>IF(J47&lt;&gt;"Complete","Not Active",IF(H47&gt;=75,"Good",IF(H47&gt;=50,"Satisfactory",IF(H47&gt;=25,"Need Attention","Intervention"))))</f>
        <v>Good</v>
      </c>
      <c r="J47" s="4" t="str">
        <f>IF(COUNTIF(E47:G47,"#N/A")=3,"Not Attempted",IF(OR(ISNA(E47),ISNA(F47),ISNA(G47)),"NotCompleted","Complete"))</f>
        <v>Complete</v>
      </c>
    </row>
    <row r="48" spans="1:10" ht="15.6" x14ac:dyDescent="0.3">
      <c r="A48" s="16" t="s">
        <v>7587</v>
      </c>
      <c r="B48" s="20" t="s">
        <v>111</v>
      </c>
      <c r="C48" s="20" t="s">
        <v>7321</v>
      </c>
      <c r="D48" s="23"/>
      <c r="E48" s="6" t="str">
        <f>LOOKUP(2,1/(MCQ!C:C=B48),MCQ!H:H)</f>
        <v>25.00</v>
      </c>
      <c r="F48" s="6" t="str">
        <f>LOOKUP(2,1/(Debugging!C:C=B48),Debugging!H:H)</f>
        <v>48.00</v>
      </c>
      <c r="G48" s="6" t="str">
        <f>LOOKUP(2,1/(Coding!C:C=B48),Coding!H:H)</f>
        <v>24.00</v>
      </c>
      <c r="H48" s="8">
        <f>E48+F48+G48</f>
        <v>97</v>
      </c>
      <c r="I48" s="4" t="str">
        <f>IF(J48&lt;&gt;"Complete","Not Active",IF(H48&gt;=75,"Good",IF(H48&gt;=50,"Satisfactory",IF(H48&gt;=25,"Need Attention","Intervention"))))</f>
        <v>Good</v>
      </c>
      <c r="J48" s="4" t="str">
        <f>IF(COUNTIF(E48:G48,"#N/A")=3,"Not Attempted",IF(OR(ISNA(E48),ISNA(F48),ISNA(G48)),"NotCompleted","Complete"))</f>
        <v>Complete</v>
      </c>
    </row>
    <row r="49" spans="1:10" ht="15.6" x14ac:dyDescent="0.3">
      <c r="A49" s="16" t="s">
        <v>7587</v>
      </c>
      <c r="B49" s="20" t="s">
        <v>113</v>
      </c>
      <c r="C49" s="20" t="s">
        <v>7322</v>
      </c>
      <c r="D49" s="23"/>
      <c r="E49" s="6" t="str">
        <f>LOOKUP(2,1/(MCQ!C:C=B49),MCQ!H:H)</f>
        <v>23.00</v>
      </c>
      <c r="F49" s="6" t="str">
        <f>LOOKUP(2,1/(Debugging!C:C=B49),Debugging!H:H)</f>
        <v>32.00</v>
      </c>
      <c r="G49" s="6" t="str">
        <f>LOOKUP(2,1/(Coding!C:C=B49),Coding!H:H)</f>
        <v>25.00</v>
      </c>
      <c r="H49" s="8">
        <f>E49+F49+G49</f>
        <v>80</v>
      </c>
      <c r="I49" s="4" t="str">
        <f>IF(J49&lt;&gt;"Complete","Not Active",IF(H49&gt;=75,"Good",IF(H49&gt;=50,"Satisfactory",IF(H49&gt;=25,"Need Attention","Intervention"))))</f>
        <v>Good</v>
      </c>
      <c r="J49" s="4" t="str">
        <f>IF(COUNTIF(E49:G49,"#N/A")=3,"Not Attempted",IF(OR(ISNA(E49),ISNA(F49),ISNA(G49)),"NotCompleted","Complete"))</f>
        <v>Complete</v>
      </c>
    </row>
    <row r="50" spans="1:10" ht="15.6" x14ac:dyDescent="0.3">
      <c r="A50" s="16" t="s">
        <v>7587</v>
      </c>
      <c r="B50" s="20" t="s">
        <v>116</v>
      </c>
      <c r="C50" s="20" t="s">
        <v>7323</v>
      </c>
      <c r="D50" s="23"/>
      <c r="E50" s="6" t="str">
        <f>LOOKUP(2,1/(MCQ!C:C=B50),MCQ!H:H)</f>
        <v>20.00</v>
      </c>
      <c r="F50" s="6" t="str">
        <f>LOOKUP(2,1/(Debugging!C:C=B50),Debugging!H:H)</f>
        <v>38.00</v>
      </c>
      <c r="G50" s="6" t="str">
        <f>LOOKUP(2,1/(Coding!C:C=B50),Coding!H:H)</f>
        <v>25.00</v>
      </c>
      <c r="H50" s="8">
        <f>E50+F50+G50</f>
        <v>83</v>
      </c>
      <c r="I50" s="4" t="str">
        <f>IF(J50&lt;&gt;"Complete","Not Active",IF(H50&gt;=75,"Good",IF(H50&gt;=50,"Satisfactory",IF(H50&gt;=25,"Need Attention","Intervention"))))</f>
        <v>Good</v>
      </c>
      <c r="J50" s="4" t="str">
        <f>IF(COUNTIF(E50:G50,"#N/A")=3,"Not Attempted",IF(OR(ISNA(E50),ISNA(F50),ISNA(G50)),"NotCompleted","Complete"))</f>
        <v>Complete</v>
      </c>
    </row>
    <row r="51" spans="1:10" ht="15.6" x14ac:dyDescent="0.3">
      <c r="A51" s="16" t="s">
        <v>7587</v>
      </c>
      <c r="B51" s="20" t="s">
        <v>118</v>
      </c>
      <c r="C51" s="20" t="s">
        <v>7324</v>
      </c>
      <c r="D51" s="23"/>
      <c r="E51" s="6" t="str">
        <f>LOOKUP(2,1/(MCQ!C:C=B51),MCQ!H:H)</f>
        <v>24.00</v>
      </c>
      <c r="F51" s="6" t="str">
        <f>LOOKUP(2,1/(Debugging!C:C=B51),Debugging!H:H)</f>
        <v>48.00</v>
      </c>
      <c r="G51" s="6" t="str">
        <f>LOOKUP(2,1/(Coding!C:C=B51),Coding!H:H)</f>
        <v>23.50</v>
      </c>
      <c r="H51" s="8">
        <f>E51+F51+G51</f>
        <v>95.5</v>
      </c>
      <c r="I51" s="4" t="str">
        <f>IF(J51&lt;&gt;"Complete","Not Active",IF(H51&gt;=75,"Good",IF(H51&gt;=50,"Satisfactory",IF(H51&gt;=25,"Need Attention","Intervention"))))</f>
        <v>Good</v>
      </c>
      <c r="J51" s="4" t="str">
        <f>IF(COUNTIF(E51:G51,"#N/A")=3,"Not Attempted",IF(OR(ISNA(E51),ISNA(F51),ISNA(G51)),"NotCompleted","Complete"))</f>
        <v>Complete</v>
      </c>
    </row>
    <row r="52" spans="1:10" ht="15.6" x14ac:dyDescent="0.3">
      <c r="A52" s="16" t="s">
        <v>7587</v>
      </c>
      <c r="B52" s="20" t="s">
        <v>121</v>
      </c>
      <c r="C52" s="20" t="s">
        <v>7325</v>
      </c>
      <c r="D52" s="23"/>
      <c r="E52" s="6" t="str">
        <f>LOOKUP(2,1/(MCQ!C:C=B52),MCQ!H:H)</f>
        <v>24.00</v>
      </c>
      <c r="F52" s="6" t="str">
        <f>LOOKUP(2,1/(Debugging!C:C=B52),Debugging!H:H)</f>
        <v>49.00</v>
      </c>
      <c r="G52" s="6" t="str">
        <f>LOOKUP(2,1/(Coding!C:C=B52),Coding!H:H)</f>
        <v>25.00</v>
      </c>
      <c r="H52" s="8">
        <f>E52+F52+G52</f>
        <v>98</v>
      </c>
      <c r="I52" s="4" t="str">
        <f>IF(J52&lt;&gt;"Complete","Not Active",IF(H52&gt;=75,"Good",IF(H52&gt;=50,"Satisfactory",IF(H52&gt;=25,"Need Attention","Intervention"))))</f>
        <v>Good</v>
      </c>
      <c r="J52" s="4" t="str">
        <f>IF(COUNTIF(E52:G52,"#N/A")=3,"Not Attempted",IF(OR(ISNA(E52),ISNA(F52),ISNA(G52)),"NotCompleted","Complete"))</f>
        <v>Complete</v>
      </c>
    </row>
    <row r="53" spans="1:10" ht="15.6" x14ac:dyDescent="0.3">
      <c r="A53" s="16" t="s">
        <v>7587</v>
      </c>
      <c r="B53" s="20" t="s">
        <v>124</v>
      </c>
      <c r="C53" s="20" t="s">
        <v>7326</v>
      </c>
      <c r="D53" s="23"/>
      <c r="E53" s="6" t="str">
        <f>LOOKUP(2,1/(MCQ!C:C=B53),MCQ!H:H)</f>
        <v>25.00</v>
      </c>
      <c r="F53" s="6" t="str">
        <f>LOOKUP(2,1/(Debugging!C:C=B53),Debugging!H:H)</f>
        <v>42.00</v>
      </c>
      <c r="G53" s="6" t="str">
        <f>LOOKUP(2,1/(Coding!C:C=B53),Coding!H:H)</f>
        <v>23.50</v>
      </c>
      <c r="H53" s="8">
        <f>E53+F53+G53</f>
        <v>90.5</v>
      </c>
      <c r="I53" s="4" t="str">
        <f>IF(J53&lt;&gt;"Complete","Not Active",IF(H53&gt;=75,"Good",IF(H53&gt;=50,"Satisfactory",IF(H53&gt;=25,"Need Attention","Intervention"))))</f>
        <v>Good</v>
      </c>
      <c r="J53" s="4" t="str">
        <f>IF(COUNTIF(E53:G53,"#N/A")=3,"Not Attempted",IF(OR(ISNA(E53),ISNA(F53),ISNA(G53)),"NotCompleted","Complete"))</f>
        <v>Complete</v>
      </c>
    </row>
    <row r="54" spans="1:10" ht="15.6" x14ac:dyDescent="0.3">
      <c r="A54" s="16" t="s">
        <v>7587</v>
      </c>
      <c r="B54" s="20" t="s">
        <v>127</v>
      </c>
      <c r="C54" s="20" t="s">
        <v>7327</v>
      </c>
      <c r="D54" s="23"/>
      <c r="E54" s="6" t="str">
        <f>LOOKUP(2,1/(MCQ!C:C=B54),MCQ!H:H)</f>
        <v>19.00</v>
      </c>
      <c r="F54" s="6" t="str">
        <f>LOOKUP(2,1/(Debugging!C:C=B54),Debugging!H:H)</f>
        <v>30.00</v>
      </c>
      <c r="G54" s="6" t="str">
        <f>LOOKUP(2,1/(Coding!C:C=B54),Coding!H:H)</f>
        <v>25.00</v>
      </c>
      <c r="H54" s="8">
        <f>E54+F54+G54</f>
        <v>74</v>
      </c>
      <c r="I54" s="4" t="str">
        <f>IF(J54&lt;&gt;"Complete","Not Active",IF(H54&gt;=75,"Good",IF(H54&gt;=50,"Satisfactory",IF(H54&gt;=25,"Need Attention","Intervention"))))</f>
        <v>Satisfactory</v>
      </c>
      <c r="J54" s="4" t="str">
        <f>IF(COUNTIF(E54:G54,"#N/A")=3,"Not Attempted",IF(OR(ISNA(E54),ISNA(F54),ISNA(G54)),"NotCompleted","Complete"))</f>
        <v>Complete</v>
      </c>
    </row>
    <row r="55" spans="1:10" ht="15.6" x14ac:dyDescent="0.3">
      <c r="A55" s="16" t="s">
        <v>7587</v>
      </c>
      <c r="B55" s="20" t="s">
        <v>129</v>
      </c>
      <c r="C55" s="20" t="s">
        <v>7328</v>
      </c>
      <c r="D55" s="23"/>
      <c r="E55" s="6" t="str">
        <f>LOOKUP(2,1/(MCQ!C:C=B55),MCQ!H:H)</f>
        <v>20.00</v>
      </c>
      <c r="F55" s="6" t="str">
        <f>LOOKUP(2,1/(Debugging!C:C=B55),Debugging!H:H)</f>
        <v>38.00</v>
      </c>
      <c r="G55" s="6" t="str">
        <f>LOOKUP(2,1/(Coding!C:C=B55),Coding!H:H)</f>
        <v>25.00</v>
      </c>
      <c r="H55" s="8">
        <f>E55+F55+G55</f>
        <v>83</v>
      </c>
      <c r="I55" s="4" t="str">
        <f>IF(J55&lt;&gt;"Complete","Not Active",IF(H55&gt;=75,"Good",IF(H55&gt;=50,"Satisfactory",IF(H55&gt;=25,"Need Attention","Intervention"))))</f>
        <v>Good</v>
      </c>
      <c r="J55" s="4" t="str">
        <f>IF(COUNTIF(E55:G55,"#N/A")=3,"Not Attempted",IF(OR(ISNA(E55),ISNA(F55),ISNA(G55)),"NotCompleted","Complete"))</f>
        <v>Complete</v>
      </c>
    </row>
    <row r="56" spans="1:10" ht="15.6" x14ac:dyDescent="0.3">
      <c r="A56" s="16" t="s">
        <v>7587</v>
      </c>
      <c r="B56" s="20" t="s">
        <v>131</v>
      </c>
      <c r="C56" s="20" t="s">
        <v>7329</v>
      </c>
      <c r="D56" s="23"/>
      <c r="E56" s="6" t="str">
        <f>LOOKUP(2,1/(MCQ!C:C=B56),MCQ!H:H)</f>
        <v>22.00</v>
      </c>
      <c r="F56" s="6" t="str">
        <f>LOOKUP(2,1/(Debugging!C:C=B56),Debugging!H:H)</f>
        <v>27.00</v>
      </c>
      <c r="G56" s="6" t="str">
        <f>LOOKUP(2,1/(Coding!C:C=B56),Coding!H:H)</f>
        <v>25.00</v>
      </c>
      <c r="H56" s="8">
        <f>E56+F56+G56</f>
        <v>74</v>
      </c>
      <c r="I56" s="4" t="str">
        <f>IF(J56&lt;&gt;"Complete","Not Active",IF(H56&gt;=75,"Good",IF(H56&gt;=50,"Satisfactory",IF(H56&gt;=25,"Need Attention","Intervention"))))</f>
        <v>Satisfactory</v>
      </c>
      <c r="J56" s="4" t="str">
        <f>IF(COUNTIF(E56:G56,"#N/A")=3,"Not Attempted",IF(OR(ISNA(E56),ISNA(F56),ISNA(G56)),"NotCompleted","Complete"))</f>
        <v>Complete</v>
      </c>
    </row>
    <row r="57" spans="1:10" ht="15.6" x14ac:dyDescent="0.3">
      <c r="A57" s="16" t="s">
        <v>7587</v>
      </c>
      <c r="B57" s="20" t="s">
        <v>134</v>
      </c>
      <c r="C57" s="20" t="s">
        <v>7330</v>
      </c>
      <c r="D57" s="23"/>
      <c r="E57" s="6" t="str">
        <f>LOOKUP(2,1/(MCQ!C:C=B57),MCQ!H:H)</f>
        <v>25.00</v>
      </c>
      <c r="F57" s="6" t="str">
        <f>LOOKUP(2,1/(Debugging!C:C=B57),Debugging!H:H)</f>
        <v>46.00</v>
      </c>
      <c r="G57" s="6" t="str">
        <f>LOOKUP(2,1/(Coding!C:C=B57),Coding!H:H)</f>
        <v>25.00</v>
      </c>
      <c r="H57" s="8">
        <f>E57+F57+G57</f>
        <v>96</v>
      </c>
      <c r="I57" s="4" t="str">
        <f>IF(J57&lt;&gt;"Complete","Not Active",IF(H57&gt;=75,"Good",IF(H57&gt;=50,"Satisfactory",IF(H57&gt;=25,"Need Attention","Intervention"))))</f>
        <v>Good</v>
      </c>
      <c r="J57" s="4" t="str">
        <f>IF(COUNTIF(E57:G57,"#N/A")=3,"Not Attempted",IF(OR(ISNA(E57),ISNA(F57),ISNA(G57)),"NotCompleted","Complete"))</f>
        <v>Complete</v>
      </c>
    </row>
    <row r="58" spans="1:10" ht="15.6" x14ac:dyDescent="0.3">
      <c r="A58" s="16" t="s">
        <v>7587</v>
      </c>
      <c r="B58" s="20" t="s">
        <v>136</v>
      </c>
      <c r="C58" s="20" t="s">
        <v>7331</v>
      </c>
      <c r="D58" s="23"/>
      <c r="E58" s="6" t="str">
        <f>LOOKUP(2,1/(MCQ!C:C=B58),MCQ!H:H)</f>
        <v>25.00</v>
      </c>
      <c r="F58" s="6" t="str">
        <f>LOOKUP(2,1/(Debugging!C:C=B58),Debugging!H:H)</f>
        <v>48.00</v>
      </c>
      <c r="G58" s="6" t="str">
        <f>LOOKUP(2,1/(Coding!C:C=B58),Coding!H:H)</f>
        <v>25.00</v>
      </c>
      <c r="H58" s="8">
        <f>E58+F58+G58</f>
        <v>98</v>
      </c>
      <c r="I58" s="4" t="str">
        <f>IF(J58&lt;&gt;"Complete","Not Active",IF(H58&gt;=75,"Good",IF(H58&gt;=50,"Satisfactory",IF(H58&gt;=25,"Need Attention","Intervention"))))</f>
        <v>Good</v>
      </c>
      <c r="J58" s="4" t="str">
        <f>IF(COUNTIF(E58:G58,"#N/A")=3,"Not Attempted",IF(OR(ISNA(E58),ISNA(F58),ISNA(G58)),"NotCompleted","Complete"))</f>
        <v>Complete</v>
      </c>
    </row>
    <row r="59" spans="1:10" ht="15.6" x14ac:dyDescent="0.3">
      <c r="A59" s="16" t="s">
        <v>7587</v>
      </c>
      <c r="B59" s="20" t="s">
        <v>138</v>
      </c>
      <c r="C59" s="20" t="s">
        <v>7332</v>
      </c>
      <c r="D59" s="23"/>
      <c r="E59" s="6" t="str">
        <f>LOOKUP(2,1/(MCQ!C:C=B59),MCQ!H:H)</f>
        <v>24.00</v>
      </c>
      <c r="F59" s="6" t="str">
        <f>LOOKUP(2,1/(Debugging!C:C=B59),Debugging!H:H)</f>
        <v>50.00</v>
      </c>
      <c r="G59" s="6" t="str">
        <f>LOOKUP(2,1/(Coding!C:C=B59),Coding!H:H)</f>
        <v>25.00</v>
      </c>
      <c r="H59" s="8">
        <f>E59+F59+G59</f>
        <v>99</v>
      </c>
      <c r="I59" s="4" t="str">
        <f>IF(J59&lt;&gt;"Complete","Not Active",IF(H59&gt;=75,"Good",IF(H59&gt;=50,"Satisfactory",IF(H59&gt;=25,"Need Attention","Intervention"))))</f>
        <v>Good</v>
      </c>
      <c r="J59" s="4" t="str">
        <f>IF(COUNTIF(E59:G59,"#N/A")=3,"Not Attempted",IF(OR(ISNA(E59),ISNA(F59),ISNA(G59)),"NotCompleted","Complete"))</f>
        <v>Complete</v>
      </c>
    </row>
    <row r="60" spans="1:10" ht="15.6" x14ac:dyDescent="0.3">
      <c r="A60" s="16" t="s">
        <v>7587</v>
      </c>
      <c r="B60" s="20" t="s">
        <v>140</v>
      </c>
      <c r="C60" s="20" t="s">
        <v>7333</v>
      </c>
      <c r="D60" s="23"/>
      <c r="E60" s="6" t="str">
        <f>LOOKUP(2,1/(MCQ!C:C=B60),MCQ!H:H)</f>
        <v>25.00</v>
      </c>
      <c r="F60" s="6" t="str">
        <f>LOOKUP(2,1/(Debugging!C:C=B60),Debugging!H:H)</f>
        <v>49.00</v>
      </c>
      <c r="G60" s="6" t="str">
        <f>LOOKUP(2,1/(Coding!C:C=B60),Coding!H:H)</f>
        <v>23.50</v>
      </c>
      <c r="H60" s="8">
        <f>E60+F60+G60</f>
        <v>97.5</v>
      </c>
      <c r="I60" s="4" t="str">
        <f>IF(J60&lt;&gt;"Complete","Not Active",IF(H60&gt;=75,"Good",IF(H60&gt;=50,"Satisfactory",IF(H60&gt;=25,"Need Attention","Intervention"))))</f>
        <v>Good</v>
      </c>
      <c r="J60" s="4" t="str">
        <f>IF(COUNTIF(E60:G60,"#N/A")=3,"Not Attempted",IF(OR(ISNA(E60),ISNA(F60),ISNA(G60)),"NotCompleted","Complete"))</f>
        <v>Complete</v>
      </c>
    </row>
    <row r="61" spans="1:10" ht="15.6" x14ac:dyDescent="0.3">
      <c r="A61" s="16" t="s">
        <v>7587</v>
      </c>
      <c r="B61" s="20" t="s">
        <v>141</v>
      </c>
      <c r="C61" s="20" t="s">
        <v>7334</v>
      </c>
      <c r="D61" s="23"/>
      <c r="E61" s="6" t="str">
        <f>LOOKUP(2,1/(MCQ!C:C=B61),MCQ!H:H)</f>
        <v>25.00</v>
      </c>
      <c r="F61" s="6" t="str">
        <f>LOOKUP(2,1/(Debugging!C:C=B61),Debugging!H:H)</f>
        <v>44.00</v>
      </c>
      <c r="G61" s="6" t="str">
        <f>LOOKUP(2,1/(Coding!C:C=B61),Coding!H:H)</f>
        <v>25.00</v>
      </c>
      <c r="H61" s="8">
        <f>E61+F61+G61</f>
        <v>94</v>
      </c>
      <c r="I61" s="4" t="str">
        <f>IF(J61&lt;&gt;"Complete","Not Active",IF(H61&gt;=75,"Good",IF(H61&gt;=50,"Satisfactory",IF(H61&gt;=25,"Need Attention","Intervention"))))</f>
        <v>Good</v>
      </c>
      <c r="J61" s="4" t="str">
        <f>IF(COUNTIF(E61:G61,"#N/A")=3,"Not Attempted",IF(OR(ISNA(E61),ISNA(F61),ISNA(G61)),"NotCompleted","Complete"))</f>
        <v>Complete</v>
      </c>
    </row>
    <row r="62" spans="1:10" ht="31.2" x14ac:dyDescent="0.3">
      <c r="A62" s="16" t="s">
        <v>7587</v>
      </c>
      <c r="B62" s="20" t="s">
        <v>143</v>
      </c>
      <c r="C62" s="20" t="s">
        <v>7335</v>
      </c>
      <c r="D62" s="23"/>
      <c r="E62" s="6" t="str">
        <f>LOOKUP(2,1/(MCQ!C:C=B62),MCQ!H:H)</f>
        <v>22.00</v>
      </c>
      <c r="F62" s="6" t="str">
        <f>LOOKUP(2,1/(Debugging!C:C=B62),Debugging!H:H)</f>
        <v>46.00</v>
      </c>
      <c r="G62" s="6" t="str">
        <f>LOOKUP(2,1/(Coding!C:C=B62),Coding!H:H)</f>
        <v>24.00</v>
      </c>
      <c r="H62" s="8">
        <f>E62+F62+G62</f>
        <v>92</v>
      </c>
      <c r="I62" s="4" t="str">
        <f>IF(J62&lt;&gt;"Complete","Not Active",IF(H62&gt;=75,"Good",IF(H62&gt;=50,"Satisfactory",IF(H62&gt;=25,"Need Attention","Intervention"))))</f>
        <v>Good</v>
      </c>
      <c r="J62" s="4" t="str">
        <f>IF(COUNTIF(E62:G62,"#N/A")=3,"Not Attempted",IF(OR(ISNA(E62),ISNA(F62),ISNA(G62)),"NotCompleted","Complete"))</f>
        <v>Complete</v>
      </c>
    </row>
    <row r="63" spans="1:10" ht="15.6" x14ac:dyDescent="0.3">
      <c r="A63" s="16" t="s">
        <v>7587</v>
      </c>
      <c r="B63" s="20" t="s">
        <v>145</v>
      </c>
      <c r="C63" s="20" t="s">
        <v>7336</v>
      </c>
      <c r="D63" s="23"/>
      <c r="E63" s="6" t="str">
        <f>LOOKUP(2,1/(MCQ!C:C=B63),MCQ!H:H)</f>
        <v>23.00</v>
      </c>
      <c r="F63" s="6" t="str">
        <f>LOOKUP(2,1/(Debugging!C:C=B63),Debugging!H:H)</f>
        <v>43.00</v>
      </c>
      <c r="G63" s="6" t="str">
        <f>LOOKUP(2,1/(Coding!C:C=B63),Coding!H:H)</f>
        <v>25.00</v>
      </c>
      <c r="H63" s="8">
        <f>E63+F63+G63</f>
        <v>91</v>
      </c>
      <c r="I63" s="4" t="str">
        <f>IF(J63&lt;&gt;"Complete","Not Active",IF(H63&gt;=75,"Good",IF(H63&gt;=50,"Satisfactory",IF(H63&gt;=25,"Need Attention","Intervention"))))</f>
        <v>Good</v>
      </c>
      <c r="J63" s="4" t="str">
        <f>IF(COUNTIF(E63:G63,"#N/A")=3,"Not Attempted",IF(OR(ISNA(E63),ISNA(F63),ISNA(G63)),"NotCompleted","Complete"))</f>
        <v>Complete</v>
      </c>
    </row>
    <row r="64" spans="1:10" ht="15.6" x14ac:dyDescent="0.3">
      <c r="A64" s="16" t="s">
        <v>7587</v>
      </c>
      <c r="B64" s="20" t="s">
        <v>147</v>
      </c>
      <c r="C64" s="20" t="s">
        <v>7337</v>
      </c>
      <c r="D64" s="23"/>
      <c r="E64" s="6" t="str">
        <f>LOOKUP(2,1/(MCQ!C:C=B64),MCQ!H:H)</f>
        <v>24.00</v>
      </c>
      <c r="F64" s="6" t="str">
        <f>LOOKUP(2,1/(Debugging!C:C=B64),Debugging!H:H)</f>
        <v>50.00</v>
      </c>
      <c r="G64" s="6" t="str">
        <f>LOOKUP(2,1/(Coding!C:C=B64),Coding!H:H)</f>
        <v>25.00</v>
      </c>
      <c r="H64" s="8">
        <f>E64+F64+G64</f>
        <v>99</v>
      </c>
      <c r="I64" s="4" t="str">
        <f>IF(J64&lt;&gt;"Complete","Not Active",IF(H64&gt;=75,"Good",IF(H64&gt;=50,"Satisfactory",IF(H64&gt;=25,"Need Attention","Intervention"))))</f>
        <v>Good</v>
      </c>
      <c r="J64" s="4" t="str">
        <f>IF(COUNTIF(E64:G64,"#N/A")=3,"Not Attempted",IF(OR(ISNA(E64),ISNA(F64),ISNA(G64)),"NotCompleted","Complete"))</f>
        <v>Complete</v>
      </c>
    </row>
    <row r="65" spans="1:10" ht="15.6" x14ac:dyDescent="0.3">
      <c r="A65" s="16" t="s">
        <v>7587</v>
      </c>
      <c r="B65" s="20" t="s">
        <v>149</v>
      </c>
      <c r="C65" s="20" t="s">
        <v>7338</v>
      </c>
      <c r="D65" s="23"/>
      <c r="E65" s="6" t="str">
        <f>LOOKUP(2,1/(MCQ!C:C=B65),MCQ!H:H)</f>
        <v>22.00</v>
      </c>
      <c r="F65" s="6" t="str">
        <f>LOOKUP(2,1/(Debugging!C:C=B65),Debugging!H:H)</f>
        <v>39.00</v>
      </c>
      <c r="G65" s="6" t="str">
        <f>LOOKUP(2,1/(Coding!C:C=B65),Coding!H:H)</f>
        <v>19.00</v>
      </c>
      <c r="H65" s="8">
        <f>E65+F65+G65</f>
        <v>80</v>
      </c>
      <c r="I65" s="4" t="str">
        <f>IF(J65&lt;&gt;"Complete","Not Active",IF(H65&gt;=75,"Good",IF(H65&gt;=50,"Satisfactory",IF(H65&gt;=25,"Need Attention","Intervention"))))</f>
        <v>Good</v>
      </c>
      <c r="J65" s="4" t="str">
        <f>IF(COUNTIF(E65:G65,"#N/A")=3,"Not Attempted",IF(OR(ISNA(E65),ISNA(F65),ISNA(G65)),"NotCompleted","Complete"))</f>
        <v>Complete</v>
      </c>
    </row>
    <row r="66" spans="1:10" ht="15.6" x14ac:dyDescent="0.3">
      <c r="A66" s="16" t="s">
        <v>7587</v>
      </c>
      <c r="B66" s="20" t="s">
        <v>151</v>
      </c>
      <c r="C66" s="20" t="s">
        <v>7339</v>
      </c>
      <c r="D66" s="23"/>
      <c r="E66" s="6" t="str">
        <f>LOOKUP(2,1/(MCQ!C:C=B66),MCQ!H:H)</f>
        <v>25.00</v>
      </c>
      <c r="F66" s="6" t="str">
        <f>LOOKUP(2,1/(Debugging!C:C=B66),Debugging!H:H)</f>
        <v>38.00</v>
      </c>
      <c r="G66" s="6" t="str">
        <f>LOOKUP(2,1/(Coding!C:C=B66),Coding!H:H)</f>
        <v>25.00</v>
      </c>
      <c r="H66" s="8">
        <f>E66+F66+G66</f>
        <v>88</v>
      </c>
      <c r="I66" s="4" t="str">
        <f>IF(J66&lt;&gt;"Complete","Not Active",IF(H66&gt;=75,"Good",IF(H66&gt;=50,"Satisfactory",IF(H66&gt;=25,"Need Attention","Intervention"))))</f>
        <v>Good</v>
      </c>
      <c r="J66" s="4" t="str">
        <f>IF(COUNTIF(E66:G66,"#N/A")=3,"Not Attempted",IF(OR(ISNA(E66),ISNA(F66),ISNA(G66)),"NotCompleted","Complete"))</f>
        <v>Complete</v>
      </c>
    </row>
    <row r="67" spans="1:10" ht="15.6" x14ac:dyDescent="0.3">
      <c r="A67" s="16" t="s">
        <v>7587</v>
      </c>
      <c r="B67" s="20" t="s">
        <v>154</v>
      </c>
      <c r="C67" s="20" t="s">
        <v>7340</v>
      </c>
      <c r="D67" s="23"/>
      <c r="E67" s="6" t="str">
        <f>LOOKUP(2,1/(MCQ!C:C=B67),MCQ!H:H)</f>
        <v>20.00</v>
      </c>
      <c r="F67" s="6" t="str">
        <f>LOOKUP(2,1/(Debugging!C:C=B67),Debugging!H:H)</f>
        <v>45.00</v>
      </c>
      <c r="G67" s="6" t="str">
        <f>LOOKUP(2,1/(Coding!C:C=B67),Coding!H:H)</f>
        <v>22.50</v>
      </c>
      <c r="H67" s="8">
        <f>E67+F67+G67</f>
        <v>87.5</v>
      </c>
      <c r="I67" s="4" t="str">
        <f>IF(J67&lt;&gt;"Complete","Not Active",IF(H67&gt;=75,"Good",IF(H67&gt;=50,"Satisfactory",IF(H67&gt;=25,"Need Attention","Intervention"))))</f>
        <v>Good</v>
      </c>
      <c r="J67" s="4" t="str">
        <f>IF(COUNTIF(E67:G67,"#N/A")=3,"Not Attempted",IF(OR(ISNA(E67),ISNA(F67),ISNA(G67)),"NotCompleted","Complete"))</f>
        <v>Complete</v>
      </c>
    </row>
    <row r="68" spans="1:10" ht="15.6" x14ac:dyDescent="0.3">
      <c r="A68" s="16" t="s">
        <v>7587</v>
      </c>
      <c r="B68" s="20" t="s">
        <v>156</v>
      </c>
      <c r="C68" s="20" t="s">
        <v>7341</v>
      </c>
      <c r="D68" s="23"/>
      <c r="E68" s="6" t="str">
        <f>LOOKUP(2,1/(MCQ!C:C=B68),MCQ!H:H)</f>
        <v>23.00</v>
      </c>
      <c r="F68" s="6" t="str">
        <f>LOOKUP(2,1/(Debugging!C:C=B68),Debugging!H:H)</f>
        <v>36.00</v>
      </c>
      <c r="G68" s="6" t="str">
        <f>LOOKUP(2,1/(Coding!C:C=B68),Coding!H:H)</f>
        <v>23.50</v>
      </c>
      <c r="H68" s="8">
        <f>E68+F68+G68</f>
        <v>82.5</v>
      </c>
      <c r="I68" s="4" t="str">
        <f>IF(J68&lt;&gt;"Complete","Not Active",IF(H68&gt;=75,"Good",IF(H68&gt;=50,"Satisfactory",IF(H68&gt;=25,"Need Attention","Intervention"))))</f>
        <v>Good</v>
      </c>
      <c r="J68" s="4" t="str">
        <f>IF(COUNTIF(E68:G68,"#N/A")=3,"Not Attempted",IF(OR(ISNA(E68),ISNA(F68),ISNA(G68)),"NotCompleted","Complete"))</f>
        <v>Complete</v>
      </c>
    </row>
    <row r="69" spans="1:10" ht="15.6" x14ac:dyDescent="0.3">
      <c r="A69" s="16" t="s">
        <v>7587</v>
      </c>
      <c r="B69" s="20" t="s">
        <v>158</v>
      </c>
      <c r="C69" s="20" t="s">
        <v>7342</v>
      </c>
      <c r="D69" s="23"/>
      <c r="E69" s="6" t="str">
        <f>LOOKUP(2,1/(MCQ!C:C=B69),MCQ!H:H)</f>
        <v>24.00</v>
      </c>
      <c r="F69" s="6" t="str">
        <f>LOOKUP(2,1/(Debugging!C:C=B69),Debugging!H:H)</f>
        <v>46.00</v>
      </c>
      <c r="G69" s="6" t="str">
        <f>LOOKUP(2,1/(Coding!C:C=B69),Coding!H:H)</f>
        <v>22.50</v>
      </c>
      <c r="H69" s="8">
        <f>E69+F69+G69</f>
        <v>92.5</v>
      </c>
      <c r="I69" s="4" t="str">
        <f>IF(J69&lt;&gt;"Complete","Not Active",IF(H69&gt;=75,"Good",IF(H69&gt;=50,"Satisfactory",IF(H69&gt;=25,"Need Attention","Intervention"))))</f>
        <v>Good</v>
      </c>
      <c r="J69" s="4" t="str">
        <f>IF(COUNTIF(E69:G69,"#N/A")=3,"Not Attempted",IF(OR(ISNA(E69),ISNA(F69),ISNA(G69)),"NotCompleted","Complete"))</f>
        <v>Complete</v>
      </c>
    </row>
    <row r="70" spans="1:10" ht="15.6" x14ac:dyDescent="0.3">
      <c r="A70" s="16" t="s">
        <v>7587</v>
      </c>
      <c r="B70" s="20" t="s">
        <v>160</v>
      </c>
      <c r="C70" s="20" t="s">
        <v>7343</v>
      </c>
      <c r="D70" s="23"/>
      <c r="E70" s="6" t="str">
        <f>LOOKUP(2,1/(MCQ!C:C=B70),MCQ!H:H)</f>
        <v>22.00</v>
      </c>
      <c r="F70" s="6" t="str">
        <f>LOOKUP(2,1/(Debugging!C:C=B70),Debugging!H:H)</f>
        <v>45.00</v>
      </c>
      <c r="G70" s="6" t="str">
        <f>LOOKUP(2,1/(Coding!C:C=B70),Coding!H:H)</f>
        <v>22.00</v>
      </c>
      <c r="H70" s="8">
        <f>E70+F70+G70</f>
        <v>89</v>
      </c>
      <c r="I70" s="4" t="str">
        <f>IF(J70&lt;&gt;"Complete","Not Active",IF(H70&gt;=75,"Good",IF(H70&gt;=50,"Satisfactory",IF(H70&gt;=25,"Need Attention","Intervention"))))</f>
        <v>Good</v>
      </c>
      <c r="J70" s="4" t="str">
        <f>IF(COUNTIF(E70:G70,"#N/A")=3,"Not Attempted",IF(OR(ISNA(E70),ISNA(F70),ISNA(G70)),"NotCompleted","Complete"))</f>
        <v>Complete</v>
      </c>
    </row>
    <row r="71" spans="1:10" ht="15.6" x14ac:dyDescent="0.3">
      <c r="A71" s="16" t="s">
        <v>7587</v>
      </c>
      <c r="B71" s="20" t="s">
        <v>162</v>
      </c>
      <c r="C71" s="20" t="s">
        <v>7344</v>
      </c>
      <c r="D71" s="23"/>
      <c r="E71" s="6" t="str">
        <f>LOOKUP(2,1/(MCQ!C:C=B71),MCQ!H:H)</f>
        <v>24.00</v>
      </c>
      <c r="F71" s="6" t="str">
        <f>LOOKUP(2,1/(Debugging!C:C=B71),Debugging!H:H)</f>
        <v>49.00</v>
      </c>
      <c r="G71" s="6" t="str">
        <f>LOOKUP(2,1/(Coding!C:C=B71),Coding!H:H)</f>
        <v>25.00</v>
      </c>
      <c r="H71" s="8">
        <f>E71+F71+G71</f>
        <v>98</v>
      </c>
      <c r="I71" s="4" t="str">
        <f>IF(J71&lt;&gt;"Complete","Not Active",IF(H71&gt;=75,"Good",IF(H71&gt;=50,"Satisfactory",IF(H71&gt;=25,"Need Attention","Intervention"))))</f>
        <v>Good</v>
      </c>
      <c r="J71" s="4" t="str">
        <f>IF(COUNTIF(E71:G71,"#N/A")=3,"Not Attempted",IF(OR(ISNA(E71),ISNA(F71),ISNA(G71)),"NotCompleted","Complete"))</f>
        <v>Complete</v>
      </c>
    </row>
    <row r="72" spans="1:10" ht="15.6" x14ac:dyDescent="0.3">
      <c r="A72" s="16" t="s">
        <v>7587</v>
      </c>
      <c r="B72" s="20" t="s">
        <v>164</v>
      </c>
      <c r="C72" s="20" t="s">
        <v>7345</v>
      </c>
      <c r="D72" s="23"/>
      <c r="E72" s="6" t="str">
        <f>LOOKUP(2,1/(MCQ!C:C=B72),MCQ!H:H)</f>
        <v>20.00</v>
      </c>
      <c r="F72" s="6" t="str">
        <f>LOOKUP(2,1/(Debugging!C:C=B72),Debugging!H:H)</f>
        <v>34.00</v>
      </c>
      <c r="G72" s="6" t="str">
        <f>LOOKUP(2,1/(Coding!C:C=B72),Coding!H:H)</f>
        <v>18.00</v>
      </c>
      <c r="H72" s="8">
        <f>E72+F72+G72</f>
        <v>72</v>
      </c>
      <c r="I72" s="4" t="str">
        <f>IF(J72&lt;&gt;"Complete","Not Active",IF(H72&gt;=75,"Good",IF(H72&gt;=50,"Satisfactory",IF(H72&gt;=25,"Need Attention","Intervention"))))</f>
        <v>Satisfactory</v>
      </c>
      <c r="J72" s="4" t="str">
        <f>IF(COUNTIF(E72:G72,"#N/A")=3,"Not Attempted",IF(OR(ISNA(E72),ISNA(F72),ISNA(G72)),"NotCompleted","Complete"))</f>
        <v>Complete</v>
      </c>
    </row>
    <row r="73" spans="1:10" ht="15.6" x14ac:dyDescent="0.3">
      <c r="A73" s="16" t="s">
        <v>7587</v>
      </c>
      <c r="B73" s="20" t="s">
        <v>166</v>
      </c>
      <c r="C73" s="20" t="s">
        <v>7346</v>
      </c>
      <c r="D73" s="23"/>
      <c r="E73" s="6" t="str">
        <f>LOOKUP(2,1/(MCQ!C:C=B73),MCQ!H:H)</f>
        <v>22.00</v>
      </c>
      <c r="F73" s="6" t="str">
        <f>LOOKUP(2,1/(Debugging!C:C=B73),Debugging!H:H)</f>
        <v>45.00</v>
      </c>
      <c r="G73" s="6" t="str">
        <f>LOOKUP(2,1/(Coding!C:C=B73),Coding!H:H)</f>
        <v>25.00</v>
      </c>
      <c r="H73" s="8">
        <f>E73+F73+G73</f>
        <v>92</v>
      </c>
      <c r="I73" s="4" t="str">
        <f>IF(J73&lt;&gt;"Complete","Not Active",IF(H73&gt;=75,"Good",IF(H73&gt;=50,"Satisfactory",IF(H73&gt;=25,"Need Attention","Intervention"))))</f>
        <v>Good</v>
      </c>
      <c r="J73" s="4" t="str">
        <f>IF(COUNTIF(E73:G73,"#N/A")=3,"Not Attempted",IF(OR(ISNA(E73),ISNA(F73),ISNA(G73)),"NotCompleted","Complete"))</f>
        <v>Complete</v>
      </c>
    </row>
    <row r="74" spans="1:10" ht="15.6" x14ac:dyDescent="0.3">
      <c r="A74" s="16" t="s">
        <v>7587</v>
      </c>
      <c r="B74" s="20" t="s">
        <v>168</v>
      </c>
      <c r="C74" s="20" t="s">
        <v>7347</v>
      </c>
      <c r="D74" s="23"/>
      <c r="E74" s="6" t="str">
        <f>LOOKUP(2,1/(MCQ!C:C=B74),MCQ!H:H)</f>
        <v>21.00</v>
      </c>
      <c r="F74" s="6" t="str">
        <f>LOOKUP(2,1/(Debugging!C:C=B74),Debugging!H:H)</f>
        <v>45.00</v>
      </c>
      <c r="G74" s="6" t="str">
        <f>LOOKUP(2,1/(Coding!C:C=B74),Coding!H:H)</f>
        <v>20.50</v>
      </c>
      <c r="H74" s="8">
        <f>E74+F74+G74</f>
        <v>86.5</v>
      </c>
      <c r="I74" s="4" t="str">
        <f>IF(J74&lt;&gt;"Complete","Not Active",IF(H74&gt;=75,"Good",IF(H74&gt;=50,"Satisfactory",IF(H74&gt;=25,"Need Attention","Intervention"))))</f>
        <v>Good</v>
      </c>
      <c r="J74" s="4" t="str">
        <f>IF(COUNTIF(E74:G74,"#N/A")=3,"Not Attempted",IF(OR(ISNA(E74),ISNA(F74),ISNA(G74)),"NotCompleted","Complete"))</f>
        <v>Complete</v>
      </c>
    </row>
    <row r="75" spans="1:10" ht="15.6" x14ac:dyDescent="0.3">
      <c r="A75" s="16" t="s">
        <v>7587</v>
      </c>
      <c r="B75" s="20" t="s">
        <v>171</v>
      </c>
      <c r="C75" s="20" t="s">
        <v>7348</v>
      </c>
      <c r="D75" s="23"/>
      <c r="E75" s="6" t="str">
        <f>LOOKUP(2,1/(MCQ!C:C=B75),MCQ!H:H)</f>
        <v>23.00</v>
      </c>
      <c r="F75" s="6" t="str">
        <f>LOOKUP(2,1/(Debugging!C:C=B75),Debugging!H:H)</f>
        <v>50.00</v>
      </c>
      <c r="G75" s="6" t="str">
        <f>LOOKUP(2,1/(Coding!C:C=B75),Coding!H:H)</f>
        <v>25.00</v>
      </c>
      <c r="H75" s="8">
        <f>E75+F75+G75</f>
        <v>98</v>
      </c>
      <c r="I75" s="4" t="str">
        <f>IF(J75&lt;&gt;"Complete","Not Active",IF(H75&gt;=75,"Good",IF(H75&gt;=50,"Satisfactory",IF(H75&gt;=25,"Need Attention","Intervention"))))</f>
        <v>Good</v>
      </c>
      <c r="J75" s="4" t="str">
        <f>IF(COUNTIF(E75:G75,"#N/A")=3,"Not Attempted",IF(OR(ISNA(E75),ISNA(F75),ISNA(G75)),"NotCompleted","Complete"))</f>
        <v>Complete</v>
      </c>
    </row>
    <row r="76" spans="1:10" ht="15.6" x14ac:dyDescent="0.3">
      <c r="A76" s="16" t="s">
        <v>7587</v>
      </c>
      <c r="B76" s="20" t="s">
        <v>173</v>
      </c>
      <c r="C76" s="20" t="s">
        <v>7349</v>
      </c>
      <c r="D76" s="23"/>
      <c r="E76" s="6" t="str">
        <f>LOOKUP(2,1/(MCQ!C:C=B76),MCQ!H:H)</f>
        <v>25.00</v>
      </c>
      <c r="F76" s="6" t="str">
        <f>LOOKUP(2,1/(Debugging!C:C=B76),Debugging!H:H)</f>
        <v>47.00</v>
      </c>
      <c r="G76" s="6" t="str">
        <f>LOOKUP(2,1/(Coding!C:C=B76),Coding!H:H)</f>
        <v>25.00</v>
      </c>
      <c r="H76" s="8">
        <f>E76+F76+G76</f>
        <v>97</v>
      </c>
      <c r="I76" s="4" t="str">
        <f>IF(J76&lt;&gt;"Complete","Not Active",IF(H76&gt;=75,"Good",IF(H76&gt;=50,"Satisfactory",IF(H76&gt;=25,"Need Attention","Intervention"))))</f>
        <v>Good</v>
      </c>
      <c r="J76" s="4" t="str">
        <f>IF(COUNTIF(E76:G76,"#N/A")=3,"Not Attempted",IF(OR(ISNA(E76),ISNA(F76),ISNA(G76)),"NotCompleted","Complete"))</f>
        <v>Complete</v>
      </c>
    </row>
    <row r="77" spans="1:10" ht="15.6" x14ac:dyDescent="0.3">
      <c r="A77" s="16" t="s">
        <v>7587</v>
      </c>
      <c r="B77" s="20" t="s">
        <v>175</v>
      </c>
      <c r="C77" s="20" t="s">
        <v>7350</v>
      </c>
      <c r="D77" s="23"/>
      <c r="E77" s="6" t="str">
        <f>LOOKUP(2,1/(MCQ!C:C=B77),MCQ!H:H)</f>
        <v>24.00</v>
      </c>
      <c r="F77" s="6" t="str">
        <f>LOOKUP(2,1/(Debugging!C:C=B77),Debugging!H:H)</f>
        <v>48.00</v>
      </c>
      <c r="G77" s="6" t="str">
        <f>LOOKUP(2,1/(Coding!C:C=B77),Coding!H:H)</f>
        <v>25.00</v>
      </c>
      <c r="H77" s="8">
        <f>E77+F77+G77</f>
        <v>97</v>
      </c>
      <c r="I77" s="4" t="str">
        <f>IF(J77&lt;&gt;"Complete","Not Active",IF(H77&gt;=75,"Good",IF(H77&gt;=50,"Satisfactory",IF(H77&gt;=25,"Need Attention","Intervention"))))</f>
        <v>Good</v>
      </c>
      <c r="J77" s="4" t="str">
        <f>IF(COUNTIF(E77:G77,"#N/A")=3,"Not Attempted",IF(OR(ISNA(E77),ISNA(F77),ISNA(G77)),"NotCompleted","Complete"))</f>
        <v>Complete</v>
      </c>
    </row>
    <row r="78" spans="1:10" ht="15.6" x14ac:dyDescent="0.3">
      <c r="A78" s="16" t="s">
        <v>7587</v>
      </c>
      <c r="B78" s="20" t="s">
        <v>177</v>
      </c>
      <c r="C78" s="20" t="s">
        <v>7351</v>
      </c>
      <c r="D78" s="23"/>
      <c r="E78" s="6" t="str">
        <f>LOOKUP(2,1/(MCQ!C:C=B78),MCQ!H:H)</f>
        <v>19.00</v>
      </c>
      <c r="F78" s="6" t="str">
        <f>LOOKUP(2,1/(Debugging!C:C=B78),Debugging!H:H)</f>
        <v>45.00</v>
      </c>
      <c r="G78" s="6" t="str">
        <f>LOOKUP(2,1/(Coding!C:C=B78),Coding!H:H)</f>
        <v>20.50</v>
      </c>
      <c r="H78" s="8">
        <f>E78+F78+G78</f>
        <v>84.5</v>
      </c>
      <c r="I78" s="4" t="str">
        <f>IF(J78&lt;&gt;"Complete","Not Active",IF(H78&gt;=75,"Good",IF(H78&gt;=50,"Satisfactory",IF(H78&gt;=25,"Need Attention","Intervention"))))</f>
        <v>Good</v>
      </c>
      <c r="J78" s="4" t="str">
        <f>IF(COUNTIF(E78:G78,"#N/A")=3,"Not Attempted",IF(OR(ISNA(E78),ISNA(F78),ISNA(G78)),"NotCompleted","Complete"))</f>
        <v>Complete</v>
      </c>
    </row>
    <row r="79" spans="1:10" ht="15.6" x14ac:dyDescent="0.3">
      <c r="A79" s="16" t="s">
        <v>7587</v>
      </c>
      <c r="B79" s="20" t="s">
        <v>180</v>
      </c>
      <c r="C79" s="20" t="s">
        <v>7352</v>
      </c>
      <c r="D79" s="23"/>
      <c r="E79" s="6" t="str">
        <f>LOOKUP(2,1/(MCQ!C:C=B79),MCQ!H:H)</f>
        <v>23.00</v>
      </c>
      <c r="F79" s="6" t="str">
        <f>LOOKUP(2,1/(Debugging!C:C=B79),Debugging!H:H)</f>
        <v>45.00</v>
      </c>
      <c r="G79" s="6" t="str">
        <f>LOOKUP(2,1/(Coding!C:C=B79),Coding!H:H)</f>
        <v>24.00</v>
      </c>
      <c r="H79" s="8">
        <f>E79+F79+G79</f>
        <v>92</v>
      </c>
      <c r="I79" s="4" t="str">
        <f>IF(J79&lt;&gt;"Complete","Not Active",IF(H79&gt;=75,"Good",IF(H79&gt;=50,"Satisfactory",IF(H79&gt;=25,"Need Attention","Intervention"))))</f>
        <v>Good</v>
      </c>
      <c r="J79" s="4" t="str">
        <f>IF(COUNTIF(E79:G79,"#N/A")=3,"Not Attempted",IF(OR(ISNA(E79),ISNA(F79),ISNA(G79)),"NotCompleted","Complete"))</f>
        <v>Complete</v>
      </c>
    </row>
    <row r="80" spans="1:10" ht="15.6" x14ac:dyDescent="0.3">
      <c r="A80" s="16" t="s">
        <v>7587</v>
      </c>
      <c r="B80" s="20" t="s">
        <v>182</v>
      </c>
      <c r="C80" s="20" t="s">
        <v>7353</v>
      </c>
      <c r="D80" s="23"/>
      <c r="E80" s="6" t="str">
        <f>LOOKUP(2,1/(MCQ!C:C=B80),MCQ!H:H)</f>
        <v>21.00</v>
      </c>
      <c r="F80" s="6" t="str">
        <f>LOOKUP(2,1/(Debugging!C:C=B80),Debugging!H:H)</f>
        <v>43.00</v>
      </c>
      <c r="G80" s="6" t="str">
        <f>LOOKUP(2,1/(Coding!C:C=B80),Coding!H:H)</f>
        <v>23.00</v>
      </c>
      <c r="H80" s="8">
        <f>E80+F80+G80</f>
        <v>87</v>
      </c>
      <c r="I80" s="4" t="str">
        <f>IF(J80&lt;&gt;"Complete","Not Active",IF(H80&gt;=75,"Good",IF(H80&gt;=50,"Satisfactory",IF(H80&gt;=25,"Need Attention","Intervention"))))</f>
        <v>Good</v>
      </c>
      <c r="J80" s="4" t="str">
        <f>IF(COUNTIF(E80:G80,"#N/A")=3,"Not Attempted",IF(OR(ISNA(E80),ISNA(F80),ISNA(G80)),"NotCompleted","Complete"))</f>
        <v>Complete</v>
      </c>
    </row>
    <row r="81" spans="1:10" ht="15.6" x14ac:dyDescent="0.3">
      <c r="A81" s="16" t="s">
        <v>7587</v>
      </c>
      <c r="B81" s="20" t="s">
        <v>184</v>
      </c>
      <c r="C81" s="20" t="s">
        <v>7354</v>
      </c>
      <c r="D81" s="23"/>
      <c r="E81" s="6" t="str">
        <f>LOOKUP(2,1/(MCQ!C:C=B81),MCQ!H:H)</f>
        <v>22.00</v>
      </c>
      <c r="F81" s="6" t="str">
        <f>LOOKUP(2,1/(Debugging!C:C=B81),Debugging!H:H)</f>
        <v>47.00</v>
      </c>
      <c r="G81" s="6" t="str">
        <f>LOOKUP(2,1/(Coding!C:C=B81),Coding!H:H)</f>
        <v>25.00</v>
      </c>
      <c r="H81" s="8">
        <f>E81+F81+G81</f>
        <v>94</v>
      </c>
      <c r="I81" s="4" t="str">
        <f>IF(J81&lt;&gt;"Complete","Not Active",IF(H81&gt;=75,"Good",IF(H81&gt;=50,"Satisfactory",IF(H81&gt;=25,"Need Attention","Intervention"))))</f>
        <v>Good</v>
      </c>
      <c r="J81" s="4" t="str">
        <f>IF(COUNTIF(E81:G81,"#N/A")=3,"Not Attempted",IF(OR(ISNA(E81),ISNA(F81),ISNA(G81)),"NotCompleted","Complete"))</f>
        <v>Complete</v>
      </c>
    </row>
    <row r="82" spans="1:10" ht="15.6" x14ac:dyDescent="0.3">
      <c r="A82" s="16" t="s">
        <v>7587</v>
      </c>
      <c r="B82" s="20" t="s">
        <v>186</v>
      </c>
      <c r="C82" s="20" t="s">
        <v>7355</v>
      </c>
      <c r="D82" s="23"/>
      <c r="E82" s="6" t="str">
        <f>LOOKUP(2,1/(MCQ!C:C=B82),MCQ!H:H)</f>
        <v>21.00</v>
      </c>
      <c r="F82" s="6" t="str">
        <f>LOOKUP(2,1/(Debugging!C:C=B82),Debugging!H:H)</f>
        <v>41.00</v>
      </c>
      <c r="G82" s="6" t="str">
        <f>LOOKUP(2,1/(Coding!C:C=B82),Coding!H:H)</f>
        <v>25.00</v>
      </c>
      <c r="H82" s="8">
        <f>E82+F82+G82</f>
        <v>87</v>
      </c>
      <c r="I82" s="4" t="str">
        <f>IF(J82&lt;&gt;"Complete","Not Active",IF(H82&gt;=75,"Good",IF(H82&gt;=50,"Satisfactory",IF(H82&gt;=25,"Need Attention","Intervention"))))</f>
        <v>Good</v>
      </c>
      <c r="J82" s="4" t="str">
        <f>IF(COUNTIF(E82:G82,"#N/A")=3,"Not Attempted",IF(OR(ISNA(E82),ISNA(F82),ISNA(G82)),"NotCompleted","Complete"))</f>
        <v>Complete</v>
      </c>
    </row>
    <row r="83" spans="1:10" ht="15.6" x14ac:dyDescent="0.3">
      <c r="A83" s="16" t="s">
        <v>7587</v>
      </c>
      <c r="B83" s="20" t="s">
        <v>188</v>
      </c>
      <c r="C83" s="20" t="s">
        <v>7356</v>
      </c>
      <c r="D83" s="23"/>
      <c r="E83" s="6" t="str">
        <f>LOOKUP(2,1/(MCQ!C:C=B83),MCQ!H:H)</f>
        <v>20.00</v>
      </c>
      <c r="F83" s="6" t="str">
        <f>LOOKUP(2,1/(Debugging!C:C=B83),Debugging!H:H)</f>
        <v>42.00</v>
      </c>
      <c r="G83" s="6" t="str">
        <f>LOOKUP(2,1/(Coding!C:C=B83),Coding!H:H)</f>
        <v>17.50</v>
      </c>
      <c r="H83" s="8">
        <f>E83+F83+G83</f>
        <v>79.5</v>
      </c>
      <c r="I83" s="4" t="str">
        <f>IF(J83&lt;&gt;"Complete","Not Active",IF(H83&gt;=75,"Good",IF(H83&gt;=50,"Satisfactory",IF(H83&gt;=25,"Need Attention","Intervention"))))</f>
        <v>Good</v>
      </c>
      <c r="J83" s="4" t="str">
        <f>IF(COUNTIF(E83:G83,"#N/A")=3,"Not Attempted",IF(OR(ISNA(E83),ISNA(F83),ISNA(G83)),"NotCompleted","Complete"))</f>
        <v>Complete</v>
      </c>
    </row>
    <row r="84" spans="1:10" ht="15.6" x14ac:dyDescent="0.3">
      <c r="A84" s="16" t="s">
        <v>7587</v>
      </c>
      <c r="B84" s="20" t="s">
        <v>190</v>
      </c>
      <c r="C84" s="20" t="s">
        <v>7357</v>
      </c>
      <c r="D84" s="23"/>
      <c r="E84" s="6" t="str">
        <f>LOOKUP(2,1/(MCQ!C:C=B84),MCQ!H:H)</f>
        <v>22.00</v>
      </c>
      <c r="F84" s="6" t="str">
        <f>LOOKUP(2,1/(Debugging!C:C=B84),Debugging!H:H)</f>
        <v>36.00</v>
      </c>
      <c r="G84" s="6" t="str">
        <f>LOOKUP(2,1/(Coding!C:C=B84),Coding!H:H)</f>
        <v>23.50</v>
      </c>
      <c r="H84" s="8">
        <f>E84+F84+G84</f>
        <v>81.5</v>
      </c>
      <c r="I84" s="4" t="str">
        <f>IF(J84&lt;&gt;"Complete","Not Active",IF(H84&gt;=75,"Good",IF(H84&gt;=50,"Satisfactory",IF(H84&gt;=25,"Need Attention","Intervention"))))</f>
        <v>Good</v>
      </c>
      <c r="J84" s="4" t="str">
        <f>IF(COUNTIF(E84:G84,"#N/A")=3,"Not Attempted",IF(OR(ISNA(E84),ISNA(F84),ISNA(G84)),"NotCompleted","Complete"))</f>
        <v>Complete</v>
      </c>
    </row>
    <row r="85" spans="1:10" ht="15.6" x14ac:dyDescent="0.3">
      <c r="A85" s="16" t="s">
        <v>7587</v>
      </c>
      <c r="B85" s="20" t="s">
        <v>193</v>
      </c>
      <c r="C85" s="20" t="s">
        <v>7358</v>
      </c>
      <c r="D85" s="23"/>
      <c r="E85" s="6" t="str">
        <f>LOOKUP(2,1/(MCQ!C:C=B85),MCQ!H:H)</f>
        <v>23.00</v>
      </c>
      <c r="F85" s="6" t="str">
        <f>LOOKUP(2,1/(Debugging!C:C=B85),Debugging!H:H)</f>
        <v>36.00</v>
      </c>
      <c r="G85" s="6" t="str">
        <f>LOOKUP(2,1/(Coding!C:C=B85),Coding!H:H)</f>
        <v>25.00</v>
      </c>
      <c r="H85" s="8">
        <f>E85+F85+G85</f>
        <v>84</v>
      </c>
      <c r="I85" s="4" t="str">
        <f>IF(J85&lt;&gt;"Complete","Not Active",IF(H85&gt;=75,"Good",IF(H85&gt;=50,"Satisfactory",IF(H85&gt;=25,"Need Attention","Intervention"))))</f>
        <v>Good</v>
      </c>
      <c r="J85" s="4" t="str">
        <f>IF(COUNTIF(E85:G85,"#N/A")=3,"Not Attempted",IF(OR(ISNA(E85),ISNA(F85),ISNA(G85)),"NotCompleted","Complete"))</f>
        <v>Complete</v>
      </c>
    </row>
    <row r="86" spans="1:10" ht="15.6" x14ac:dyDescent="0.3">
      <c r="A86" s="16" t="s">
        <v>7587</v>
      </c>
      <c r="B86" s="20" t="s">
        <v>195</v>
      </c>
      <c r="C86" s="20" t="s">
        <v>7237</v>
      </c>
      <c r="D86" s="23"/>
      <c r="E86" s="6" t="str">
        <f>LOOKUP(2,1/(MCQ!C:C=B86),MCQ!H:H)</f>
        <v>20.00</v>
      </c>
      <c r="F86" s="6" t="str">
        <f>LOOKUP(2,1/(Debugging!C:C=B86),Debugging!H:H)</f>
        <v>44.00</v>
      </c>
      <c r="G86" s="6" t="str">
        <f>LOOKUP(2,1/(Coding!C:C=B86),Coding!H:H)</f>
        <v>25.00</v>
      </c>
      <c r="H86" s="8">
        <f>E86+F86+G86</f>
        <v>89</v>
      </c>
      <c r="I86" s="4" t="str">
        <f>IF(J86&lt;&gt;"Complete","Not Active",IF(H86&gt;=75,"Good",IF(H86&gt;=50,"Satisfactory",IF(H86&gt;=25,"Need Attention","Intervention"))))</f>
        <v>Good</v>
      </c>
      <c r="J86" s="4" t="str">
        <f>IF(COUNTIF(E86:G86,"#N/A")=3,"Not Attempted",IF(OR(ISNA(E86),ISNA(F86),ISNA(G86)),"NotCompleted","Complete"))</f>
        <v>Complete</v>
      </c>
    </row>
    <row r="87" spans="1:10" ht="15.6" x14ac:dyDescent="0.3">
      <c r="A87" s="16" t="s">
        <v>7587</v>
      </c>
      <c r="B87" s="20" t="s">
        <v>197</v>
      </c>
      <c r="C87" s="20" t="s">
        <v>7359</v>
      </c>
      <c r="D87" s="23"/>
      <c r="E87" s="6" t="str">
        <f>LOOKUP(2,1/(MCQ!C:C=B87),MCQ!H:H)</f>
        <v>23.00</v>
      </c>
      <c r="F87" s="6" t="str">
        <f>LOOKUP(2,1/(Debugging!C:C=B87),Debugging!H:H)</f>
        <v>48.00</v>
      </c>
      <c r="G87" s="6" t="str">
        <f>LOOKUP(2,1/(Coding!C:C=B87),Coding!H:H)</f>
        <v>25.00</v>
      </c>
      <c r="H87" s="8">
        <f>E87+F87+G87</f>
        <v>96</v>
      </c>
      <c r="I87" s="4" t="str">
        <f>IF(J87&lt;&gt;"Complete","Not Active",IF(H87&gt;=75,"Good",IF(H87&gt;=50,"Satisfactory",IF(H87&gt;=25,"Need Attention","Intervention"))))</f>
        <v>Good</v>
      </c>
      <c r="J87" s="4" t="str">
        <f>IF(COUNTIF(E87:G87,"#N/A")=3,"Not Attempted",IF(OR(ISNA(E87),ISNA(F87),ISNA(G87)),"NotCompleted","Complete"))</f>
        <v>Complete</v>
      </c>
    </row>
    <row r="88" spans="1:10" ht="15.6" x14ac:dyDescent="0.3">
      <c r="A88" s="16" t="s">
        <v>7587</v>
      </c>
      <c r="B88" s="20" t="s">
        <v>199</v>
      </c>
      <c r="C88" s="20" t="s">
        <v>7360</v>
      </c>
      <c r="D88" s="23"/>
      <c r="E88" s="6" t="str">
        <f>LOOKUP(2,1/(MCQ!C:C=B88),MCQ!H:H)</f>
        <v>21.00</v>
      </c>
      <c r="F88" s="6" t="str">
        <f>LOOKUP(2,1/(Debugging!C:C=B88),Debugging!H:H)</f>
        <v>44.00</v>
      </c>
      <c r="G88" s="6" t="str">
        <f>LOOKUP(2,1/(Coding!C:C=B88),Coding!H:H)</f>
        <v>15.50</v>
      </c>
      <c r="H88" s="8">
        <f>E88+F88+G88</f>
        <v>80.5</v>
      </c>
      <c r="I88" s="4" t="str">
        <f>IF(J88&lt;&gt;"Complete","Not Active",IF(H88&gt;=75,"Good",IF(H88&gt;=50,"Satisfactory",IF(H88&gt;=25,"Need Attention","Intervention"))))</f>
        <v>Good</v>
      </c>
      <c r="J88" s="4" t="str">
        <f>IF(COUNTIF(E88:G88,"#N/A")=3,"Not Attempted",IF(OR(ISNA(E88),ISNA(F88),ISNA(G88)),"NotCompleted","Complete"))</f>
        <v>Complete</v>
      </c>
    </row>
    <row r="89" spans="1:10" ht="15.6" x14ac:dyDescent="0.3">
      <c r="A89" s="16" t="s">
        <v>7587</v>
      </c>
      <c r="B89" s="20" t="s">
        <v>201</v>
      </c>
      <c r="C89" s="20" t="s">
        <v>7361</v>
      </c>
      <c r="D89" s="23"/>
      <c r="E89" s="6" t="str">
        <f>LOOKUP(2,1/(MCQ!C:C=B89),MCQ!H:H)</f>
        <v>24.00</v>
      </c>
      <c r="F89" s="6" t="str">
        <f>LOOKUP(2,1/(Debugging!C:C=B89),Debugging!H:H)</f>
        <v>45.00</v>
      </c>
      <c r="G89" s="6" t="str">
        <f>LOOKUP(2,1/(Coding!C:C=B89),Coding!H:H)</f>
        <v>25.00</v>
      </c>
      <c r="H89" s="8">
        <f>E89+F89+G89</f>
        <v>94</v>
      </c>
      <c r="I89" s="4" t="str">
        <f>IF(J89&lt;&gt;"Complete","Not Active",IF(H89&gt;=75,"Good",IF(H89&gt;=50,"Satisfactory",IF(H89&gt;=25,"Need Attention","Intervention"))))</f>
        <v>Good</v>
      </c>
      <c r="J89" s="4" t="str">
        <f>IF(COUNTIF(E89:G89,"#N/A")=3,"Not Attempted",IF(OR(ISNA(E89),ISNA(F89),ISNA(G89)),"NotCompleted","Complete"))</f>
        <v>Complete</v>
      </c>
    </row>
    <row r="90" spans="1:10" ht="15.6" x14ac:dyDescent="0.3">
      <c r="A90" s="16" t="s">
        <v>7587</v>
      </c>
      <c r="B90" s="20" t="s">
        <v>203</v>
      </c>
      <c r="C90" s="20" t="s">
        <v>7362</v>
      </c>
      <c r="D90" s="23"/>
      <c r="E90" s="6" t="str">
        <f>LOOKUP(2,1/(MCQ!C:C=B90),MCQ!H:H)</f>
        <v>24.00</v>
      </c>
      <c r="F90" s="6" t="str">
        <f>LOOKUP(2,1/(Debugging!C:C=B90),Debugging!H:H)</f>
        <v>49.00</v>
      </c>
      <c r="G90" s="6" t="str">
        <f>LOOKUP(2,1/(Coding!C:C=B90),Coding!H:H)</f>
        <v>25.00</v>
      </c>
      <c r="H90" s="8">
        <f>E90+F90+G90</f>
        <v>98</v>
      </c>
      <c r="I90" s="4" t="str">
        <f>IF(J90&lt;&gt;"Complete","Not Active",IF(H90&gt;=75,"Good",IF(H90&gt;=50,"Satisfactory",IF(H90&gt;=25,"Need Attention","Intervention"))))</f>
        <v>Good</v>
      </c>
      <c r="J90" s="4" t="str">
        <f>IF(COUNTIF(E90:G90,"#N/A")=3,"Not Attempted",IF(OR(ISNA(E90),ISNA(F90),ISNA(G90)),"NotCompleted","Complete"))</f>
        <v>Complete</v>
      </c>
    </row>
    <row r="91" spans="1:10" ht="15.6" x14ac:dyDescent="0.3">
      <c r="A91" s="16" t="s">
        <v>7587</v>
      </c>
      <c r="B91" s="20" t="s">
        <v>205</v>
      </c>
      <c r="C91" s="20" t="s">
        <v>7363</v>
      </c>
      <c r="D91" s="23"/>
      <c r="E91" s="6" t="str">
        <f>LOOKUP(2,1/(MCQ!C:C=B91),MCQ!H:H)</f>
        <v>21.00</v>
      </c>
      <c r="F91" s="6" t="str">
        <f>LOOKUP(2,1/(Debugging!C:C=B91),Debugging!H:H)</f>
        <v>48.00</v>
      </c>
      <c r="G91" s="6" t="str">
        <f>LOOKUP(2,1/(Coding!C:C=B91),Coding!H:H)</f>
        <v>23.50</v>
      </c>
      <c r="H91" s="8">
        <f>E91+F91+G91</f>
        <v>92.5</v>
      </c>
      <c r="I91" s="4" t="str">
        <f>IF(J91&lt;&gt;"Complete","Not Active",IF(H91&gt;=75,"Good",IF(H91&gt;=50,"Satisfactory",IF(H91&gt;=25,"Need Attention","Intervention"))))</f>
        <v>Good</v>
      </c>
      <c r="J91" s="4" t="str">
        <f>IF(COUNTIF(E91:G91,"#N/A")=3,"Not Attempted",IF(OR(ISNA(E91),ISNA(F91),ISNA(G91)),"NotCompleted","Complete"))</f>
        <v>Complete</v>
      </c>
    </row>
    <row r="92" spans="1:10" ht="15.6" x14ac:dyDescent="0.3">
      <c r="A92" s="16" t="s">
        <v>7587</v>
      </c>
      <c r="B92" s="20" t="s">
        <v>207</v>
      </c>
      <c r="C92" s="20" t="s">
        <v>7364</v>
      </c>
      <c r="D92" s="23"/>
      <c r="E92" s="6" t="str">
        <f>LOOKUP(2,1/(MCQ!C:C=B92),MCQ!H:H)</f>
        <v>25.00</v>
      </c>
      <c r="F92" s="6" t="str">
        <f>LOOKUP(2,1/(Debugging!C:C=B92),Debugging!H:H)</f>
        <v>47.00</v>
      </c>
      <c r="G92" s="6" t="str">
        <f>LOOKUP(2,1/(Coding!C:C=B92),Coding!H:H)</f>
        <v>25.00</v>
      </c>
      <c r="H92" s="8">
        <f>E92+F92+G92</f>
        <v>97</v>
      </c>
      <c r="I92" s="4" t="str">
        <f>IF(J92&lt;&gt;"Complete","Not Active",IF(H92&gt;=75,"Good",IF(H92&gt;=50,"Satisfactory",IF(H92&gt;=25,"Need Attention","Intervention"))))</f>
        <v>Good</v>
      </c>
      <c r="J92" s="4" t="str">
        <f>IF(COUNTIF(E92:G92,"#N/A")=3,"Not Attempted",IF(OR(ISNA(E92),ISNA(F92),ISNA(G92)),"NotCompleted","Complete"))</f>
        <v>Complete</v>
      </c>
    </row>
    <row r="93" spans="1:10" ht="15.6" x14ac:dyDescent="0.3">
      <c r="A93" s="16" t="s">
        <v>7587</v>
      </c>
      <c r="B93" s="20" t="s">
        <v>209</v>
      </c>
      <c r="C93" s="20" t="s">
        <v>7365</v>
      </c>
      <c r="D93" s="23"/>
      <c r="E93" s="6" t="str">
        <f>LOOKUP(2,1/(MCQ!C:C=B93),MCQ!H:H)</f>
        <v>20.00</v>
      </c>
      <c r="F93" s="6" t="str">
        <f>LOOKUP(2,1/(Debugging!C:C=B93),Debugging!H:H)</f>
        <v>34.00</v>
      </c>
      <c r="G93" s="6" t="str">
        <f>LOOKUP(2,1/(Coding!C:C=B93),Coding!H:H)</f>
        <v>24.00</v>
      </c>
      <c r="H93" s="8">
        <f>E93+F93+G93</f>
        <v>78</v>
      </c>
      <c r="I93" s="4" t="str">
        <f>IF(J93&lt;&gt;"Complete","Not Active",IF(H93&gt;=75,"Good",IF(H93&gt;=50,"Satisfactory",IF(H93&gt;=25,"Need Attention","Intervention"))))</f>
        <v>Good</v>
      </c>
      <c r="J93" s="4" t="str">
        <f>IF(COUNTIF(E93:G93,"#N/A")=3,"Not Attempted",IF(OR(ISNA(E93),ISNA(F93),ISNA(G93)),"NotCompleted","Complete"))</f>
        <v>Complete</v>
      </c>
    </row>
    <row r="94" spans="1:10" ht="15.6" x14ac:dyDescent="0.3">
      <c r="A94" s="16" t="s">
        <v>7587</v>
      </c>
      <c r="B94" s="20" t="s">
        <v>211</v>
      </c>
      <c r="C94" s="20" t="s">
        <v>7366</v>
      </c>
      <c r="D94" s="23"/>
      <c r="E94" s="6" t="str">
        <f>LOOKUP(2,1/(MCQ!C:C=B94),MCQ!H:H)</f>
        <v>25.00</v>
      </c>
      <c r="F94" s="6" t="str">
        <f>LOOKUP(2,1/(Debugging!C:C=B94),Debugging!H:H)</f>
        <v>48.00</v>
      </c>
      <c r="G94" s="6" t="str">
        <f>LOOKUP(2,1/(Coding!C:C=B94),Coding!H:H)</f>
        <v>21.00</v>
      </c>
      <c r="H94" s="8">
        <f>E94+F94+G94</f>
        <v>94</v>
      </c>
      <c r="I94" s="4" t="str">
        <f>IF(J94&lt;&gt;"Complete","Not Active",IF(H94&gt;=75,"Good",IF(H94&gt;=50,"Satisfactory",IF(H94&gt;=25,"Need Attention","Intervention"))))</f>
        <v>Good</v>
      </c>
      <c r="J94" s="4" t="str">
        <f>IF(COUNTIF(E94:G94,"#N/A")=3,"Not Attempted",IF(OR(ISNA(E94),ISNA(F94),ISNA(G94)),"NotCompleted","Complete"))</f>
        <v>Complete</v>
      </c>
    </row>
    <row r="95" spans="1:10" ht="15.6" x14ac:dyDescent="0.3">
      <c r="A95" s="16" t="s">
        <v>7587</v>
      </c>
      <c r="B95" s="20" t="s">
        <v>213</v>
      </c>
      <c r="C95" s="20" t="s">
        <v>7367</v>
      </c>
      <c r="D95" s="23"/>
      <c r="E95" s="6" t="str">
        <f>LOOKUP(2,1/(MCQ!C:C=B95),MCQ!H:H)</f>
        <v>23.00</v>
      </c>
      <c r="F95" s="6" t="str">
        <f>LOOKUP(2,1/(Debugging!C:C=B95),Debugging!H:H)</f>
        <v>35.00</v>
      </c>
      <c r="G95" s="6" t="str">
        <f>LOOKUP(2,1/(Coding!C:C=B95),Coding!H:H)</f>
        <v>25.00</v>
      </c>
      <c r="H95" s="8">
        <f>E95+F95+G95</f>
        <v>83</v>
      </c>
      <c r="I95" s="4" t="str">
        <f>IF(J95&lt;&gt;"Complete","Not Active",IF(H95&gt;=75,"Good",IF(H95&gt;=50,"Satisfactory",IF(H95&gt;=25,"Need Attention","Intervention"))))</f>
        <v>Good</v>
      </c>
      <c r="J95" s="4" t="str">
        <f>IF(COUNTIF(E95:G95,"#N/A")=3,"Not Attempted",IF(OR(ISNA(E95),ISNA(F95),ISNA(G95)),"NotCompleted","Complete"))</f>
        <v>Complete</v>
      </c>
    </row>
    <row r="96" spans="1:10" ht="15.6" x14ac:dyDescent="0.3">
      <c r="A96" s="16" t="s">
        <v>7587</v>
      </c>
      <c r="B96" s="20" t="s">
        <v>215</v>
      </c>
      <c r="C96" s="20" t="s">
        <v>7368</v>
      </c>
      <c r="D96" s="23"/>
      <c r="E96" s="6" t="str">
        <f>LOOKUP(2,1/(MCQ!C:C=B96),MCQ!H:H)</f>
        <v>25.00</v>
      </c>
      <c r="F96" s="6" t="str">
        <f>LOOKUP(2,1/(Debugging!C:C=B96),Debugging!H:H)</f>
        <v>46.00</v>
      </c>
      <c r="G96" s="6" t="str">
        <f>LOOKUP(2,1/(Coding!C:C=B96),Coding!H:H)</f>
        <v>25.00</v>
      </c>
      <c r="H96" s="8">
        <f>E96+F96+G96</f>
        <v>96</v>
      </c>
      <c r="I96" s="4" t="str">
        <f>IF(J96&lt;&gt;"Complete","Not Active",IF(H96&gt;=75,"Good",IF(H96&gt;=50,"Satisfactory",IF(H96&gt;=25,"Need Attention","Intervention"))))</f>
        <v>Good</v>
      </c>
      <c r="J96" s="4" t="str">
        <f>IF(COUNTIF(E96:G96,"#N/A")=3,"Not Attempted",IF(OR(ISNA(E96),ISNA(F96),ISNA(G96)),"NotCompleted","Complete"))</f>
        <v>Complete</v>
      </c>
    </row>
    <row r="97" spans="1:10" ht="15.6" x14ac:dyDescent="0.3">
      <c r="A97" s="16" t="s">
        <v>7587</v>
      </c>
      <c r="B97" s="20" t="s">
        <v>217</v>
      </c>
      <c r="C97" s="20" t="s">
        <v>7369</v>
      </c>
      <c r="D97" s="23"/>
      <c r="E97" s="6" t="str">
        <f>LOOKUP(2,1/(MCQ!C:C=B97),MCQ!H:H)</f>
        <v>19.00</v>
      </c>
      <c r="F97" s="6" t="str">
        <f>LOOKUP(2,1/(Debugging!C:C=B97),Debugging!H:H)</f>
        <v>33.00</v>
      </c>
      <c r="G97" s="6" t="str">
        <f>LOOKUP(2,1/(Coding!C:C=B97),Coding!H:H)</f>
        <v>23.50</v>
      </c>
      <c r="H97" s="8">
        <f>E97+F97+G97</f>
        <v>75.5</v>
      </c>
      <c r="I97" s="4" t="str">
        <f>IF(J97&lt;&gt;"Complete","Not Active",IF(H97&gt;=75,"Good",IF(H97&gt;=50,"Satisfactory",IF(H97&gt;=25,"Need Attention","Intervention"))))</f>
        <v>Good</v>
      </c>
      <c r="J97" s="4" t="str">
        <f>IF(COUNTIF(E97:G97,"#N/A")=3,"Not Attempted",IF(OR(ISNA(E97),ISNA(F97),ISNA(G97)),"NotCompleted","Complete"))</f>
        <v>Complete</v>
      </c>
    </row>
    <row r="98" spans="1:10" ht="15.6" x14ac:dyDescent="0.3">
      <c r="A98" s="16" t="s">
        <v>7587</v>
      </c>
      <c r="B98" s="20" t="s">
        <v>219</v>
      </c>
      <c r="C98" s="20" t="s">
        <v>7370</v>
      </c>
      <c r="D98" s="23"/>
      <c r="E98" s="6" t="str">
        <f>LOOKUP(2,1/(MCQ!C:C=B98),MCQ!H:H)</f>
        <v>21.00</v>
      </c>
      <c r="F98" s="6" t="str">
        <f>LOOKUP(2,1/(Debugging!C:C=B98),Debugging!H:H)</f>
        <v>46.00</v>
      </c>
      <c r="G98" s="6" t="str">
        <f>LOOKUP(2,1/(Coding!C:C=B98),Coding!H:H)</f>
        <v>25.00</v>
      </c>
      <c r="H98" s="8">
        <f>E98+F98+G98</f>
        <v>92</v>
      </c>
      <c r="I98" s="4" t="str">
        <f>IF(J98&lt;&gt;"Complete","Not Active",IF(H98&gt;=75,"Good",IF(H98&gt;=50,"Satisfactory",IF(H98&gt;=25,"Need Attention","Intervention"))))</f>
        <v>Good</v>
      </c>
      <c r="J98" s="4" t="str">
        <f>IF(COUNTIF(E98:G98,"#N/A")=3,"Not Attempted",IF(OR(ISNA(E98),ISNA(F98),ISNA(G98)),"NotCompleted","Complete"))</f>
        <v>Complete</v>
      </c>
    </row>
    <row r="99" spans="1:10" ht="15.6" x14ac:dyDescent="0.3">
      <c r="A99" s="16" t="s">
        <v>7587</v>
      </c>
      <c r="B99" s="20" t="s">
        <v>222</v>
      </c>
      <c r="C99" s="20" t="s">
        <v>7371</v>
      </c>
      <c r="D99" s="23"/>
      <c r="E99" s="6" t="str">
        <f>LOOKUP(2,1/(MCQ!C:C=B99),MCQ!H:H)</f>
        <v>19.00</v>
      </c>
      <c r="F99" s="6" t="str">
        <f>LOOKUP(2,1/(Debugging!C:C=B99),Debugging!H:H)</f>
        <v>33.00</v>
      </c>
      <c r="G99" s="6" t="str">
        <f>LOOKUP(2,1/(Coding!C:C=B99),Coding!H:H)</f>
        <v>15.50</v>
      </c>
      <c r="H99" s="8">
        <f>E99+F99+G99</f>
        <v>67.5</v>
      </c>
      <c r="I99" s="4" t="str">
        <f>IF(J99&lt;&gt;"Complete","Not Active",IF(H99&gt;=75,"Good",IF(H99&gt;=50,"Satisfactory",IF(H99&gt;=25,"Need Attention","Intervention"))))</f>
        <v>Satisfactory</v>
      </c>
      <c r="J99" s="4" t="str">
        <f>IF(COUNTIF(E99:G99,"#N/A")=3,"Not Attempted",IF(OR(ISNA(E99),ISNA(F99),ISNA(G99)),"NotCompleted","Complete"))</f>
        <v>Complete</v>
      </c>
    </row>
    <row r="100" spans="1:10" ht="15.6" x14ac:dyDescent="0.3">
      <c r="A100" s="16" t="s">
        <v>7587</v>
      </c>
      <c r="B100" s="20" t="s">
        <v>224</v>
      </c>
      <c r="C100" s="20" t="s">
        <v>7372</v>
      </c>
      <c r="D100" s="23"/>
      <c r="E100" s="6" t="str">
        <f>LOOKUP(2,1/(MCQ!C:C=B100),MCQ!H:H)</f>
        <v>23.00</v>
      </c>
      <c r="F100" s="6" t="str">
        <f>LOOKUP(2,1/(Debugging!C:C=B100),Debugging!H:H)</f>
        <v>42.00</v>
      </c>
      <c r="G100" s="6" t="str">
        <f>LOOKUP(2,1/(Coding!C:C=B100),Coding!H:H)</f>
        <v>25.00</v>
      </c>
      <c r="H100" s="8">
        <f>E100+F100+G100</f>
        <v>90</v>
      </c>
      <c r="I100" s="4" t="str">
        <f>IF(J100&lt;&gt;"Complete","Not Active",IF(H100&gt;=75,"Good",IF(H100&gt;=50,"Satisfactory",IF(H100&gt;=25,"Need Attention","Intervention"))))</f>
        <v>Good</v>
      </c>
      <c r="J100" s="4" t="str">
        <f>IF(COUNTIF(E100:G100,"#N/A")=3,"Not Attempted",IF(OR(ISNA(E100),ISNA(F100),ISNA(G100)),"NotCompleted","Complete"))</f>
        <v>Complete</v>
      </c>
    </row>
    <row r="101" spans="1:10" ht="15.6" x14ac:dyDescent="0.3">
      <c r="A101" s="16" t="s">
        <v>7587</v>
      </c>
      <c r="B101" s="20" t="s">
        <v>226</v>
      </c>
      <c r="C101" s="20" t="s">
        <v>7373</v>
      </c>
      <c r="D101" s="23"/>
      <c r="E101" s="6" t="str">
        <f>LOOKUP(2,1/(MCQ!C:C=B101),MCQ!H:H)</f>
        <v>24.00</v>
      </c>
      <c r="F101" s="6" t="str">
        <f>LOOKUP(2,1/(Debugging!C:C=B101),Debugging!H:H)</f>
        <v>39.00</v>
      </c>
      <c r="G101" s="6" t="str">
        <f>LOOKUP(2,1/(Coding!C:C=B101),Coding!H:H)</f>
        <v>25.00</v>
      </c>
      <c r="H101" s="8">
        <f>E101+F101+G101</f>
        <v>88</v>
      </c>
      <c r="I101" s="4" t="str">
        <f>IF(J101&lt;&gt;"Complete","Not Active",IF(H101&gt;=75,"Good",IF(H101&gt;=50,"Satisfactory",IF(H101&gt;=25,"Need Attention","Intervention"))))</f>
        <v>Good</v>
      </c>
      <c r="J101" s="4" t="str">
        <f>IF(COUNTIF(E101:G101,"#N/A")=3,"Not Attempted",IF(OR(ISNA(E101),ISNA(F101),ISNA(G101)),"NotCompleted","Complete"))</f>
        <v>Complete</v>
      </c>
    </row>
    <row r="102" spans="1:10" ht="15.6" x14ac:dyDescent="0.3">
      <c r="A102" s="16" t="s">
        <v>7587</v>
      </c>
      <c r="B102" s="20" t="s">
        <v>229</v>
      </c>
      <c r="C102" s="20" t="s">
        <v>7374</v>
      </c>
      <c r="D102" s="23"/>
      <c r="E102" s="6" t="str">
        <f>LOOKUP(2,1/(MCQ!C:C=B102),MCQ!H:H)</f>
        <v>20.00</v>
      </c>
      <c r="F102" s="6" t="str">
        <f>LOOKUP(2,1/(Debugging!C:C=B102),Debugging!H:H)</f>
        <v>40.00</v>
      </c>
      <c r="G102" s="6" t="str">
        <f>LOOKUP(2,1/(Coding!C:C=B102),Coding!H:H)</f>
        <v>25.00</v>
      </c>
      <c r="H102" s="8">
        <f>E102+F102+G102</f>
        <v>85</v>
      </c>
      <c r="I102" s="4" t="str">
        <f>IF(J102&lt;&gt;"Complete","Not Active",IF(H102&gt;=75,"Good",IF(H102&gt;=50,"Satisfactory",IF(H102&gt;=25,"Need Attention","Intervention"))))</f>
        <v>Good</v>
      </c>
      <c r="J102" s="4" t="str">
        <f>IF(COUNTIF(E102:G102,"#N/A")=3,"Not Attempted",IF(OR(ISNA(E102),ISNA(F102),ISNA(G102)),"NotCompleted","Complete"))</f>
        <v>Complete</v>
      </c>
    </row>
    <row r="103" spans="1:10" ht="15.6" x14ac:dyDescent="0.3">
      <c r="A103" s="16" t="s">
        <v>7587</v>
      </c>
      <c r="B103" s="20" t="s">
        <v>231</v>
      </c>
      <c r="C103" s="20" t="s">
        <v>7375</v>
      </c>
      <c r="D103" s="23"/>
      <c r="E103" s="6" t="str">
        <f>LOOKUP(2,1/(MCQ!C:C=B103),MCQ!H:H)</f>
        <v>25.00</v>
      </c>
      <c r="F103" s="6" t="str">
        <f>LOOKUP(2,1/(Debugging!C:C=B103),Debugging!H:H)</f>
        <v>46.00</v>
      </c>
      <c r="G103" s="6" t="str">
        <f>LOOKUP(2,1/(Coding!C:C=B103),Coding!H:H)</f>
        <v>25.00</v>
      </c>
      <c r="H103" s="8">
        <f>E103+F103+G103</f>
        <v>96</v>
      </c>
      <c r="I103" s="4" t="str">
        <f>IF(J103&lt;&gt;"Complete","Not Active",IF(H103&gt;=75,"Good",IF(H103&gt;=50,"Satisfactory",IF(H103&gt;=25,"Need Attention","Intervention"))))</f>
        <v>Good</v>
      </c>
      <c r="J103" s="4" t="str">
        <f>IF(COUNTIF(E103:G103,"#N/A")=3,"Not Attempted",IF(OR(ISNA(E103),ISNA(F103),ISNA(G103)),"NotCompleted","Complete"))</f>
        <v>Complete</v>
      </c>
    </row>
    <row r="104" spans="1:10" ht="15.6" x14ac:dyDescent="0.3">
      <c r="A104" s="16" t="s">
        <v>7587</v>
      </c>
      <c r="B104" s="20" t="s">
        <v>233</v>
      </c>
      <c r="C104" s="20" t="s">
        <v>7376</v>
      </c>
      <c r="D104" s="23"/>
      <c r="E104" s="6" t="str">
        <f>LOOKUP(2,1/(MCQ!C:C=B104),MCQ!H:H)</f>
        <v>24.00</v>
      </c>
      <c r="F104" s="6" t="str">
        <f>LOOKUP(2,1/(Debugging!C:C=B104),Debugging!H:H)</f>
        <v>49.00</v>
      </c>
      <c r="G104" s="6" t="str">
        <f>LOOKUP(2,1/(Coding!C:C=B104),Coding!H:H)</f>
        <v>25.00</v>
      </c>
      <c r="H104" s="8">
        <f>E104+F104+G104</f>
        <v>98</v>
      </c>
      <c r="I104" s="4" t="str">
        <f>IF(J104&lt;&gt;"Complete","Not Active",IF(H104&gt;=75,"Good",IF(H104&gt;=50,"Satisfactory",IF(H104&gt;=25,"Need Attention","Intervention"))))</f>
        <v>Good</v>
      </c>
      <c r="J104" s="4" t="str">
        <f>IF(COUNTIF(E104:G104,"#N/A")=3,"Not Attempted",IF(OR(ISNA(E104),ISNA(F104),ISNA(G104)),"NotCompleted","Complete"))</f>
        <v>Complete</v>
      </c>
    </row>
    <row r="105" spans="1:10" ht="15.6" x14ac:dyDescent="0.3">
      <c r="A105" s="16" t="s">
        <v>7587</v>
      </c>
      <c r="B105" s="20" t="s">
        <v>235</v>
      </c>
      <c r="C105" s="20" t="s">
        <v>7377</v>
      </c>
      <c r="D105" s="23"/>
      <c r="E105" s="6" t="str">
        <f>LOOKUP(2,1/(MCQ!C:C=B105),MCQ!H:H)</f>
        <v>24.00</v>
      </c>
      <c r="F105" s="6" t="str">
        <f>LOOKUP(2,1/(Debugging!C:C=B105),Debugging!H:H)</f>
        <v>48.00</v>
      </c>
      <c r="G105" s="6" t="str">
        <f>LOOKUP(2,1/(Coding!C:C=B105),Coding!H:H)</f>
        <v>25.00</v>
      </c>
      <c r="H105" s="8">
        <f>E105+F105+G105</f>
        <v>97</v>
      </c>
      <c r="I105" s="4" t="str">
        <f>IF(J105&lt;&gt;"Complete","Not Active",IF(H105&gt;=75,"Good",IF(H105&gt;=50,"Satisfactory",IF(H105&gt;=25,"Need Attention","Intervention"))))</f>
        <v>Good</v>
      </c>
      <c r="J105" s="4" t="str">
        <f>IF(COUNTIF(E105:G105,"#N/A")=3,"Not Attempted",IF(OR(ISNA(E105),ISNA(F105),ISNA(G105)),"NotCompleted","Complete"))</f>
        <v>Complete</v>
      </c>
    </row>
    <row r="106" spans="1:10" ht="15.6" x14ac:dyDescent="0.3">
      <c r="A106" s="16" t="s">
        <v>7587</v>
      </c>
      <c r="B106" s="20" t="s">
        <v>237</v>
      </c>
      <c r="C106" s="20" t="s">
        <v>7378</v>
      </c>
      <c r="D106" s="23"/>
      <c r="E106" s="6" t="str">
        <f>LOOKUP(2,1/(MCQ!C:C=B106),MCQ!H:H)</f>
        <v>21.00</v>
      </c>
      <c r="F106" s="6" t="str">
        <f>LOOKUP(2,1/(Debugging!C:C=B106),Debugging!H:H)</f>
        <v>48.00</v>
      </c>
      <c r="G106" s="6" t="str">
        <f>LOOKUP(2,1/(Coding!C:C=B106),Coding!H:H)</f>
        <v>25.00</v>
      </c>
      <c r="H106" s="8">
        <f>E106+F106+G106</f>
        <v>94</v>
      </c>
      <c r="I106" s="4" t="str">
        <f>IF(J106&lt;&gt;"Complete","Not Active",IF(H106&gt;=75,"Good",IF(H106&gt;=50,"Satisfactory",IF(H106&gt;=25,"Need Attention","Intervention"))))</f>
        <v>Good</v>
      </c>
      <c r="J106" s="4" t="str">
        <f>IF(COUNTIF(E106:G106,"#N/A")=3,"Not Attempted",IF(OR(ISNA(E106),ISNA(F106),ISNA(G106)),"NotCompleted","Complete"))</f>
        <v>Complete</v>
      </c>
    </row>
    <row r="107" spans="1:10" ht="15.6" x14ac:dyDescent="0.3">
      <c r="A107" s="16" t="s">
        <v>7587</v>
      </c>
      <c r="B107" s="20" t="s">
        <v>239</v>
      </c>
      <c r="C107" s="20" t="s">
        <v>7379</v>
      </c>
      <c r="D107" s="23"/>
      <c r="E107" s="6" t="str">
        <f>LOOKUP(2,1/(MCQ!C:C=B107),MCQ!H:H)</f>
        <v>20.00</v>
      </c>
      <c r="F107" s="6" t="str">
        <f>LOOKUP(2,1/(Debugging!C:C=B107),Debugging!H:H)</f>
        <v>44.00</v>
      </c>
      <c r="G107" s="6" t="str">
        <f>LOOKUP(2,1/(Coding!C:C=B107),Coding!H:H)</f>
        <v>20.50</v>
      </c>
      <c r="H107" s="8">
        <f>E107+F107+G107</f>
        <v>84.5</v>
      </c>
      <c r="I107" s="4" t="str">
        <f>IF(J107&lt;&gt;"Complete","Not Active",IF(H107&gt;=75,"Good",IF(H107&gt;=50,"Satisfactory",IF(H107&gt;=25,"Need Attention","Intervention"))))</f>
        <v>Good</v>
      </c>
      <c r="J107" s="4" t="str">
        <f>IF(COUNTIF(E107:G107,"#N/A")=3,"Not Attempted",IF(OR(ISNA(E107),ISNA(F107),ISNA(G107)),"NotCompleted","Complete"))</f>
        <v>Complete</v>
      </c>
    </row>
    <row r="108" spans="1:10" ht="15.6" x14ac:dyDescent="0.3">
      <c r="A108" s="16" t="s">
        <v>7587</v>
      </c>
      <c r="B108" s="20" t="s">
        <v>5980</v>
      </c>
      <c r="C108" s="20" t="s">
        <v>7380</v>
      </c>
      <c r="D108" s="23"/>
      <c r="E108" s="6" t="str">
        <f>LOOKUP(2,1/(MCQ!C:C=B108),MCQ!H:H)</f>
        <v>19.00</v>
      </c>
      <c r="F108" s="6" t="str">
        <f>LOOKUP(2,1/(Debugging!C:C=B108),Debugging!H:H)</f>
        <v>36.00</v>
      </c>
      <c r="G108" s="6" t="e">
        <f>LOOKUP(2,1/(Coding!C:C=B108),Coding!H:H)</f>
        <v>#N/A</v>
      </c>
      <c r="H108" s="8" t="e">
        <f>E108+F108+G108</f>
        <v>#N/A</v>
      </c>
      <c r="I108" s="4" t="str">
        <f>IF(J108&lt;&gt;"Complete","Not Active",IF(H108&gt;=75,"Good",IF(H108&gt;=50,"Satisfactory",IF(H108&gt;=25,"Need Attention","Intervention"))))</f>
        <v>Not Active</v>
      </c>
      <c r="J108" s="4" t="str">
        <f>IF(COUNTIF(E108:G108,"#N/A")=3,"Not Attempted",IF(OR(ISNA(E108),ISNA(F108),ISNA(G108)),"NotCompleted","Complete"))</f>
        <v>NotCompleted</v>
      </c>
    </row>
    <row r="109" spans="1:10" ht="15.6" x14ac:dyDescent="0.3">
      <c r="A109" s="16" t="s">
        <v>7587</v>
      </c>
      <c r="B109" s="20" t="s">
        <v>241</v>
      </c>
      <c r="C109" s="20" t="s">
        <v>7381</v>
      </c>
      <c r="D109" s="23"/>
      <c r="E109" s="6" t="str">
        <f>LOOKUP(2,1/(MCQ!C:C=B109),MCQ!H:H)</f>
        <v>25.00</v>
      </c>
      <c r="F109" s="6" t="str">
        <f>LOOKUP(2,1/(Debugging!C:C=B109),Debugging!H:H)</f>
        <v>39.00</v>
      </c>
      <c r="G109" s="6" t="str">
        <f>LOOKUP(2,1/(Coding!C:C=B109),Coding!H:H)</f>
        <v>21.50</v>
      </c>
      <c r="H109" s="8">
        <f>E109+F109+G109</f>
        <v>85.5</v>
      </c>
      <c r="I109" s="4" t="str">
        <f>IF(J109&lt;&gt;"Complete","Not Active",IF(H109&gt;=75,"Good",IF(H109&gt;=50,"Satisfactory",IF(H109&gt;=25,"Need Attention","Intervention"))))</f>
        <v>Good</v>
      </c>
      <c r="J109" s="4" t="str">
        <f>IF(COUNTIF(E109:G109,"#N/A")=3,"Not Attempted",IF(OR(ISNA(E109),ISNA(F109),ISNA(G109)),"NotCompleted","Complete"))</f>
        <v>Complete</v>
      </c>
    </row>
    <row r="110" spans="1:10" ht="15.6" x14ac:dyDescent="0.3">
      <c r="A110" s="16" t="s">
        <v>7587</v>
      </c>
      <c r="B110" s="20" t="s">
        <v>243</v>
      </c>
      <c r="C110" s="20" t="s">
        <v>7382</v>
      </c>
      <c r="D110" s="23"/>
      <c r="E110" s="6" t="str">
        <f>LOOKUP(2,1/(MCQ!C:C=B110),MCQ!H:H)</f>
        <v>23.00</v>
      </c>
      <c r="F110" s="6" t="str">
        <f>LOOKUP(2,1/(Debugging!C:C=B110),Debugging!H:H)</f>
        <v>47.00</v>
      </c>
      <c r="G110" s="6" t="str">
        <f>LOOKUP(2,1/(Coding!C:C=B110),Coding!H:H)</f>
        <v>25.00</v>
      </c>
      <c r="H110" s="8">
        <f>E110+F110+G110</f>
        <v>95</v>
      </c>
      <c r="I110" s="4" t="str">
        <f>IF(J110&lt;&gt;"Complete","Not Active",IF(H110&gt;=75,"Good",IF(H110&gt;=50,"Satisfactory",IF(H110&gt;=25,"Need Attention","Intervention"))))</f>
        <v>Good</v>
      </c>
      <c r="J110" s="4" t="str">
        <f>IF(COUNTIF(E110:G110,"#N/A")=3,"Not Attempted",IF(OR(ISNA(E110),ISNA(F110),ISNA(G110)),"NotCompleted","Complete"))</f>
        <v>Complete</v>
      </c>
    </row>
    <row r="111" spans="1:10" ht="15.6" x14ac:dyDescent="0.3">
      <c r="A111" s="16" t="s">
        <v>7587</v>
      </c>
      <c r="B111" s="20" t="s">
        <v>245</v>
      </c>
      <c r="C111" s="20" t="s">
        <v>7383</v>
      </c>
      <c r="D111" s="23"/>
      <c r="E111" s="6" t="str">
        <f>LOOKUP(2,1/(MCQ!C:C=B111),MCQ!H:H)</f>
        <v>23.00</v>
      </c>
      <c r="F111" s="6" t="str">
        <f>LOOKUP(2,1/(Debugging!C:C=B111),Debugging!H:H)</f>
        <v>35.00</v>
      </c>
      <c r="G111" s="6" t="str">
        <f>LOOKUP(2,1/(Coding!C:C=B111),Coding!H:H)</f>
        <v>25.00</v>
      </c>
      <c r="H111" s="8">
        <f>E111+F111+G111</f>
        <v>83</v>
      </c>
      <c r="I111" s="4" t="str">
        <f>IF(J111&lt;&gt;"Complete","Not Active",IF(H111&gt;=75,"Good",IF(H111&gt;=50,"Satisfactory",IF(H111&gt;=25,"Need Attention","Intervention"))))</f>
        <v>Good</v>
      </c>
      <c r="J111" s="4" t="str">
        <f>IF(COUNTIF(E111:G111,"#N/A")=3,"Not Attempted",IF(OR(ISNA(E111),ISNA(F111),ISNA(G111)),"NotCompleted","Complete"))</f>
        <v>Complete</v>
      </c>
    </row>
    <row r="112" spans="1:10" ht="15.6" x14ac:dyDescent="0.3">
      <c r="A112" s="16" t="s">
        <v>7587</v>
      </c>
      <c r="B112" s="20" t="s">
        <v>247</v>
      </c>
      <c r="C112" s="20" t="s">
        <v>7384</v>
      </c>
      <c r="D112" s="23"/>
      <c r="E112" s="6" t="str">
        <f>LOOKUP(2,1/(MCQ!C:C=B112),MCQ!H:H)</f>
        <v>22.00</v>
      </c>
      <c r="F112" s="6" t="str">
        <f>LOOKUP(2,1/(Debugging!C:C=B112),Debugging!H:H)</f>
        <v>42.00</v>
      </c>
      <c r="G112" s="6" t="str">
        <f>LOOKUP(2,1/(Coding!C:C=B112),Coding!H:H)</f>
        <v>21.00</v>
      </c>
      <c r="H112" s="8">
        <f>E112+F112+G112</f>
        <v>85</v>
      </c>
      <c r="I112" s="4" t="str">
        <f>IF(J112&lt;&gt;"Complete","Not Active",IF(H112&gt;=75,"Good",IF(H112&gt;=50,"Satisfactory",IF(H112&gt;=25,"Need Attention","Intervention"))))</f>
        <v>Good</v>
      </c>
      <c r="J112" s="4" t="str">
        <f>IF(COUNTIF(E112:G112,"#N/A")=3,"Not Attempted",IF(OR(ISNA(E112),ISNA(F112),ISNA(G112)),"NotCompleted","Complete"))</f>
        <v>Complete</v>
      </c>
    </row>
    <row r="113" spans="1:10" ht="15.6" x14ac:dyDescent="0.3">
      <c r="A113" s="16" t="s">
        <v>7587</v>
      </c>
      <c r="B113" s="20" t="s">
        <v>249</v>
      </c>
      <c r="C113" s="20" t="s">
        <v>7385</v>
      </c>
      <c r="D113" s="23"/>
      <c r="E113" s="6" t="str">
        <f>LOOKUP(2,1/(MCQ!C:C=B113),MCQ!H:H)</f>
        <v>23.00</v>
      </c>
      <c r="F113" s="6" t="str">
        <f>LOOKUP(2,1/(Debugging!C:C=B113),Debugging!H:H)</f>
        <v>46.00</v>
      </c>
      <c r="G113" s="6" t="str">
        <f>LOOKUP(2,1/(Coding!C:C=B113),Coding!H:H)</f>
        <v>23.50</v>
      </c>
      <c r="H113" s="8">
        <f>E113+F113+G113</f>
        <v>92.5</v>
      </c>
      <c r="I113" s="4" t="str">
        <f>IF(J113&lt;&gt;"Complete","Not Active",IF(H113&gt;=75,"Good",IF(H113&gt;=50,"Satisfactory",IF(H113&gt;=25,"Need Attention","Intervention"))))</f>
        <v>Good</v>
      </c>
      <c r="J113" s="4" t="str">
        <f>IF(COUNTIF(E113:G113,"#N/A")=3,"Not Attempted",IF(OR(ISNA(E113),ISNA(F113),ISNA(G113)),"NotCompleted","Complete"))</f>
        <v>Complete</v>
      </c>
    </row>
    <row r="114" spans="1:10" ht="15.6" x14ac:dyDescent="0.3">
      <c r="A114" s="16" t="s">
        <v>7587</v>
      </c>
      <c r="B114" s="20" t="s">
        <v>251</v>
      </c>
      <c r="C114" s="20" t="s">
        <v>7386</v>
      </c>
      <c r="D114" s="23"/>
      <c r="E114" s="6" t="str">
        <f>LOOKUP(2,1/(MCQ!C:C=B114),MCQ!H:H)</f>
        <v>23.00</v>
      </c>
      <c r="F114" s="6" t="str">
        <f>LOOKUP(2,1/(Debugging!C:C=B114),Debugging!H:H)</f>
        <v>49.00</v>
      </c>
      <c r="G114" s="6" t="str">
        <f>LOOKUP(2,1/(Coding!C:C=B114),Coding!H:H)</f>
        <v>25.00</v>
      </c>
      <c r="H114" s="8">
        <f>E114+F114+G114</f>
        <v>97</v>
      </c>
      <c r="I114" s="4" t="str">
        <f>IF(J114&lt;&gt;"Complete","Not Active",IF(H114&gt;=75,"Good",IF(H114&gt;=50,"Satisfactory",IF(H114&gt;=25,"Need Attention","Intervention"))))</f>
        <v>Good</v>
      </c>
      <c r="J114" s="4" t="str">
        <f>IF(COUNTIF(E114:G114,"#N/A")=3,"Not Attempted",IF(OR(ISNA(E114),ISNA(F114),ISNA(G114)),"NotCompleted","Complete"))</f>
        <v>Complete</v>
      </c>
    </row>
    <row r="115" spans="1:10" ht="15.6" x14ac:dyDescent="0.3">
      <c r="A115" s="16" t="s">
        <v>7587</v>
      </c>
      <c r="B115" s="20" t="s">
        <v>253</v>
      </c>
      <c r="C115" s="20" t="s">
        <v>7387</v>
      </c>
      <c r="D115" s="23"/>
      <c r="E115" s="6" t="str">
        <f>LOOKUP(2,1/(MCQ!C:C=B115),MCQ!H:H)</f>
        <v>22.00</v>
      </c>
      <c r="F115" s="6" t="str">
        <f>LOOKUP(2,1/(Debugging!C:C=B115),Debugging!H:H)</f>
        <v>36.00</v>
      </c>
      <c r="G115" s="6" t="str">
        <f>LOOKUP(2,1/(Coding!C:C=B115),Coding!H:H)</f>
        <v>24.00</v>
      </c>
      <c r="H115" s="8">
        <f>E115+F115+G115</f>
        <v>82</v>
      </c>
      <c r="I115" s="4" t="str">
        <f>IF(J115&lt;&gt;"Complete","Not Active",IF(H115&gt;=75,"Good",IF(H115&gt;=50,"Satisfactory",IF(H115&gt;=25,"Need Attention","Intervention"))))</f>
        <v>Good</v>
      </c>
      <c r="J115" s="4" t="str">
        <f>IF(COUNTIF(E115:G115,"#N/A")=3,"Not Attempted",IF(OR(ISNA(E115),ISNA(F115),ISNA(G115)),"NotCompleted","Complete"))</f>
        <v>Complete</v>
      </c>
    </row>
    <row r="116" spans="1:10" ht="15.6" x14ac:dyDescent="0.3">
      <c r="A116" s="16" t="s">
        <v>7587</v>
      </c>
      <c r="B116" s="20" t="s">
        <v>255</v>
      </c>
      <c r="C116" s="20" t="s">
        <v>7388</v>
      </c>
      <c r="D116" s="23"/>
      <c r="E116" s="6" t="str">
        <f>LOOKUP(2,1/(MCQ!C:C=B116),MCQ!H:H)</f>
        <v>25.00</v>
      </c>
      <c r="F116" s="6" t="str">
        <f>LOOKUP(2,1/(Debugging!C:C=B116),Debugging!H:H)</f>
        <v>36.00</v>
      </c>
      <c r="G116" s="6" t="str">
        <f>LOOKUP(2,1/(Coding!C:C=B116),Coding!H:H)</f>
        <v>24.00</v>
      </c>
      <c r="H116" s="8">
        <f>E116+F116+G116</f>
        <v>85</v>
      </c>
      <c r="I116" s="4" t="str">
        <f>IF(J116&lt;&gt;"Complete","Not Active",IF(H116&gt;=75,"Good",IF(H116&gt;=50,"Satisfactory",IF(H116&gt;=25,"Need Attention","Intervention"))))</f>
        <v>Good</v>
      </c>
      <c r="J116" s="4" t="str">
        <f>IF(COUNTIF(E116:G116,"#N/A")=3,"Not Attempted",IF(OR(ISNA(E116),ISNA(F116),ISNA(G116)),"NotCompleted","Complete"))</f>
        <v>Complete</v>
      </c>
    </row>
    <row r="117" spans="1:10" ht="15.6" x14ac:dyDescent="0.3">
      <c r="A117" s="16" t="s">
        <v>7587</v>
      </c>
      <c r="B117" s="20" t="s">
        <v>257</v>
      </c>
      <c r="C117" s="20" t="s">
        <v>7389</v>
      </c>
      <c r="D117" s="23"/>
      <c r="E117" s="6" t="str">
        <f>LOOKUP(2,1/(MCQ!C:C=B117),MCQ!H:H)</f>
        <v>19.00</v>
      </c>
      <c r="F117" s="6" t="str">
        <f>LOOKUP(2,1/(Debugging!C:C=B117),Debugging!H:H)</f>
        <v>24.00</v>
      </c>
      <c r="G117" s="6" t="str">
        <f>LOOKUP(2,1/(Coding!C:C=B117),Coding!H:H)</f>
        <v>25.00</v>
      </c>
      <c r="H117" s="8">
        <f>E117+F117+G117</f>
        <v>68</v>
      </c>
      <c r="I117" s="4" t="str">
        <f>IF(J117&lt;&gt;"Complete","Not Active",IF(H117&gt;=75,"Good",IF(H117&gt;=50,"Satisfactory",IF(H117&gt;=25,"Need Attention","Intervention"))))</f>
        <v>Satisfactory</v>
      </c>
      <c r="J117" s="4" t="str">
        <f>IF(COUNTIF(E117:G117,"#N/A")=3,"Not Attempted",IF(OR(ISNA(E117),ISNA(F117),ISNA(G117)),"NotCompleted","Complete"))</f>
        <v>Complete</v>
      </c>
    </row>
    <row r="118" spans="1:10" ht="15.6" x14ac:dyDescent="0.3">
      <c r="A118" s="16" t="s">
        <v>7587</v>
      </c>
      <c r="B118" s="20" t="s">
        <v>259</v>
      </c>
      <c r="C118" s="20" t="s">
        <v>7390</v>
      </c>
      <c r="D118" s="23"/>
      <c r="E118" s="6" t="str">
        <f>LOOKUP(2,1/(MCQ!C:C=B118),MCQ!H:H)</f>
        <v>20.00</v>
      </c>
      <c r="F118" s="6" t="str">
        <f>LOOKUP(2,1/(Debugging!C:C=B118),Debugging!H:H)</f>
        <v>43.00</v>
      </c>
      <c r="G118" s="6" t="str">
        <f>LOOKUP(2,1/(Coding!C:C=B118),Coding!H:H)</f>
        <v>23.50</v>
      </c>
      <c r="H118" s="8">
        <f>E118+F118+G118</f>
        <v>86.5</v>
      </c>
      <c r="I118" s="4" t="str">
        <f>IF(J118&lt;&gt;"Complete","Not Active",IF(H118&gt;=75,"Good",IF(H118&gt;=50,"Satisfactory",IF(H118&gt;=25,"Need Attention","Intervention"))))</f>
        <v>Good</v>
      </c>
      <c r="J118" s="4" t="str">
        <f>IF(COUNTIF(E118:G118,"#N/A")=3,"Not Attempted",IF(OR(ISNA(E118),ISNA(F118),ISNA(G118)),"NotCompleted","Complete"))</f>
        <v>Complete</v>
      </c>
    </row>
    <row r="119" spans="1:10" ht="15.6" x14ac:dyDescent="0.3">
      <c r="A119" s="16" t="s">
        <v>7587</v>
      </c>
      <c r="B119" s="20" t="s">
        <v>260</v>
      </c>
      <c r="C119" s="20" t="s">
        <v>7391</v>
      </c>
      <c r="D119" s="23"/>
      <c r="E119" s="6" t="str">
        <f>LOOKUP(2,1/(MCQ!C:C=B119),MCQ!H:H)</f>
        <v>24.00</v>
      </c>
      <c r="F119" s="6" t="str">
        <f>LOOKUP(2,1/(Debugging!C:C=B119),Debugging!H:H)</f>
        <v>50.00</v>
      </c>
      <c r="G119" s="6" t="str">
        <f>LOOKUP(2,1/(Coding!C:C=B119),Coding!H:H)</f>
        <v>25.00</v>
      </c>
      <c r="H119" s="8">
        <f>E119+F119+G119</f>
        <v>99</v>
      </c>
      <c r="I119" s="4" t="str">
        <f>IF(J119&lt;&gt;"Complete","Not Active",IF(H119&gt;=75,"Good",IF(H119&gt;=50,"Satisfactory",IF(H119&gt;=25,"Need Attention","Intervention"))))</f>
        <v>Good</v>
      </c>
      <c r="J119" s="4" t="str">
        <f>IF(COUNTIF(E119:G119,"#N/A")=3,"Not Attempted",IF(OR(ISNA(E119),ISNA(F119),ISNA(G119)),"NotCompleted","Complete"))</f>
        <v>Complete</v>
      </c>
    </row>
    <row r="120" spans="1:10" ht="15.6" x14ac:dyDescent="0.3">
      <c r="A120" s="16" t="s">
        <v>7587</v>
      </c>
      <c r="B120" s="20" t="s">
        <v>262</v>
      </c>
      <c r="C120" s="20" t="s">
        <v>7392</v>
      </c>
      <c r="D120" s="23"/>
      <c r="E120" s="6" t="str">
        <f>LOOKUP(2,1/(MCQ!C:C=B120),MCQ!H:H)</f>
        <v>23.00</v>
      </c>
      <c r="F120" s="6" t="str">
        <f>LOOKUP(2,1/(Debugging!C:C=B120),Debugging!H:H)</f>
        <v>46.00</v>
      </c>
      <c r="G120" s="6" t="str">
        <f>LOOKUP(2,1/(Coding!C:C=B120),Coding!H:H)</f>
        <v>25.00</v>
      </c>
      <c r="H120" s="8">
        <f>E120+F120+G120</f>
        <v>94</v>
      </c>
      <c r="I120" s="4" t="str">
        <f>IF(J120&lt;&gt;"Complete","Not Active",IF(H120&gt;=75,"Good",IF(H120&gt;=50,"Satisfactory",IF(H120&gt;=25,"Need Attention","Intervention"))))</f>
        <v>Good</v>
      </c>
      <c r="J120" s="4" t="str">
        <f>IF(COUNTIF(E120:G120,"#N/A")=3,"Not Attempted",IF(OR(ISNA(E120),ISNA(F120),ISNA(G120)),"NotCompleted","Complete"))</f>
        <v>Complete</v>
      </c>
    </row>
    <row r="121" spans="1:10" ht="15.6" x14ac:dyDescent="0.3">
      <c r="A121" s="16" t="s">
        <v>7587</v>
      </c>
      <c r="B121" s="20" t="s">
        <v>264</v>
      </c>
      <c r="C121" s="20" t="s">
        <v>7393</v>
      </c>
      <c r="D121" s="23"/>
      <c r="E121" s="6" t="str">
        <f>LOOKUP(2,1/(MCQ!C:C=B121),MCQ!H:H)</f>
        <v>24.00</v>
      </c>
      <c r="F121" s="6" t="str">
        <f>LOOKUP(2,1/(Debugging!C:C=B121),Debugging!H:H)</f>
        <v>48.00</v>
      </c>
      <c r="G121" s="6" t="str">
        <f>LOOKUP(2,1/(Coding!C:C=B121),Coding!H:H)</f>
        <v>19.50</v>
      </c>
      <c r="H121" s="8">
        <f>E121+F121+G121</f>
        <v>91.5</v>
      </c>
      <c r="I121" s="4" t="str">
        <f>IF(J121&lt;&gt;"Complete","Not Active",IF(H121&gt;=75,"Good",IF(H121&gt;=50,"Satisfactory",IF(H121&gt;=25,"Need Attention","Intervention"))))</f>
        <v>Good</v>
      </c>
      <c r="J121" s="4" t="str">
        <f>IF(COUNTIF(E121:G121,"#N/A")=3,"Not Attempted",IF(OR(ISNA(E121),ISNA(F121),ISNA(G121)),"NotCompleted","Complete"))</f>
        <v>Complete</v>
      </c>
    </row>
    <row r="122" spans="1:10" ht="15.6" x14ac:dyDescent="0.3">
      <c r="A122" s="18" t="s">
        <v>7587</v>
      </c>
      <c r="B122" s="20" t="s">
        <v>266</v>
      </c>
      <c r="C122" s="21" t="s">
        <v>7502</v>
      </c>
      <c r="D122" s="23"/>
      <c r="E122" s="6" t="str">
        <f>LOOKUP(2,1/(MCQ!C:C=B122),MCQ!H:H)</f>
        <v>21.00</v>
      </c>
      <c r="F122" s="6" t="str">
        <f>LOOKUP(2,1/(Debugging!C:C=B122),Debugging!H:H)</f>
        <v>0.00</v>
      </c>
      <c r="G122" s="6" t="str">
        <f>LOOKUP(2,1/(Coding!C:C=B122),Coding!H:H)</f>
        <v>23.50</v>
      </c>
      <c r="H122" s="8">
        <f>E122+F122+G122</f>
        <v>44.5</v>
      </c>
      <c r="I122" s="4" t="str">
        <f>IF(J122&lt;&gt;"Complete","Not Active",IF(H122&gt;=75,"Good",IF(H122&gt;=50,"Satisfactory",IF(H122&gt;=25,"Need Attention","Intervention"))))</f>
        <v>Need Attention</v>
      </c>
      <c r="J122" s="4" t="str">
        <f>IF(COUNTIF(E122:G122,"#N/A")=3,"Not Attempted",IF(OR(ISNA(E122),ISNA(F122),ISNA(G122)),"NotCompleted","Complete"))</f>
        <v>Complete</v>
      </c>
    </row>
    <row r="123" spans="1:10" ht="15.6" x14ac:dyDescent="0.3">
      <c r="A123" s="18" t="s">
        <v>7587</v>
      </c>
      <c r="B123" s="20" t="s">
        <v>268</v>
      </c>
      <c r="C123" s="21" t="s">
        <v>7503</v>
      </c>
      <c r="D123" s="23"/>
      <c r="E123" s="6" t="str">
        <f>LOOKUP(2,1/(MCQ!C:C=B123),MCQ!H:H)</f>
        <v>22.00</v>
      </c>
      <c r="F123" s="6" t="str">
        <f>LOOKUP(2,1/(Debugging!C:C=B123),Debugging!H:H)</f>
        <v>49.00</v>
      </c>
      <c r="G123" s="6" t="str">
        <f>LOOKUP(2,1/(Coding!C:C=B123),Coding!H:H)</f>
        <v>23.50</v>
      </c>
      <c r="H123" s="8">
        <f>E123+F123+G123</f>
        <v>94.5</v>
      </c>
      <c r="I123" s="4" t="str">
        <f>IF(J123&lt;&gt;"Complete","Not Active",IF(H123&gt;=75,"Good",IF(H123&gt;=50,"Satisfactory",IF(H123&gt;=25,"Need Attention","Intervention"))))</f>
        <v>Good</v>
      </c>
      <c r="J123" s="4" t="str">
        <f>IF(COUNTIF(E123:G123,"#N/A")=3,"Not Attempted",IF(OR(ISNA(E123),ISNA(F123),ISNA(G123)),"NotCompleted","Complete"))</f>
        <v>Complete</v>
      </c>
    </row>
    <row r="124" spans="1:10" ht="15.6" x14ac:dyDescent="0.3">
      <c r="A124" s="18" t="s">
        <v>7587</v>
      </c>
      <c r="B124" s="20" t="s">
        <v>270</v>
      </c>
      <c r="C124" s="21" t="s">
        <v>7504</v>
      </c>
      <c r="D124" s="23"/>
      <c r="E124" s="6" t="str">
        <f>LOOKUP(2,1/(MCQ!C:C=B124),MCQ!H:H)</f>
        <v>23.00</v>
      </c>
      <c r="F124" s="6" t="str">
        <f>LOOKUP(2,1/(Debugging!C:C=B124),Debugging!H:H)</f>
        <v>41.00</v>
      </c>
      <c r="G124" s="6" t="str">
        <f>LOOKUP(2,1/(Coding!C:C=B124),Coding!H:H)</f>
        <v>23.50</v>
      </c>
      <c r="H124" s="8">
        <f>E124+F124+G124</f>
        <v>87.5</v>
      </c>
      <c r="I124" s="4" t="str">
        <f>IF(J124&lt;&gt;"Complete","Not Active",IF(H124&gt;=75,"Good",IF(H124&gt;=50,"Satisfactory",IF(H124&gt;=25,"Need Attention","Intervention"))))</f>
        <v>Good</v>
      </c>
      <c r="J124" s="4" t="str">
        <f>IF(COUNTIF(E124:G124,"#N/A")=3,"Not Attempted",IF(OR(ISNA(E124),ISNA(F124),ISNA(G124)),"NotCompleted","Complete"))</f>
        <v>Complete</v>
      </c>
    </row>
    <row r="125" spans="1:10" ht="15.6" x14ac:dyDescent="0.3">
      <c r="A125" s="18" t="s">
        <v>7587</v>
      </c>
      <c r="B125" s="20" t="s">
        <v>272</v>
      </c>
      <c r="C125" s="21" t="s">
        <v>7505</v>
      </c>
      <c r="D125" s="23"/>
      <c r="E125" s="6" t="str">
        <f>LOOKUP(2,1/(MCQ!C:C=B125),MCQ!H:H)</f>
        <v>25.00</v>
      </c>
      <c r="F125" s="6" t="str">
        <f>LOOKUP(2,1/(Debugging!C:C=B125),Debugging!H:H)</f>
        <v>40.00</v>
      </c>
      <c r="G125" s="6" t="str">
        <f>LOOKUP(2,1/(Coding!C:C=B125),Coding!H:H)</f>
        <v>25.00</v>
      </c>
      <c r="H125" s="8">
        <f>E125+F125+G125</f>
        <v>90</v>
      </c>
      <c r="I125" s="4" t="str">
        <f>IF(J125&lt;&gt;"Complete","Not Active",IF(H125&gt;=75,"Good",IF(H125&gt;=50,"Satisfactory",IF(H125&gt;=25,"Need Attention","Intervention"))))</f>
        <v>Good</v>
      </c>
      <c r="J125" s="4" t="str">
        <f>IF(COUNTIF(E125:G125,"#N/A")=3,"Not Attempted",IF(OR(ISNA(E125),ISNA(F125),ISNA(G125)),"NotCompleted","Complete"))</f>
        <v>Complete</v>
      </c>
    </row>
    <row r="126" spans="1:10" ht="15.6" x14ac:dyDescent="0.3">
      <c r="A126" s="18" t="s">
        <v>7587</v>
      </c>
      <c r="B126" s="20" t="s">
        <v>274</v>
      </c>
      <c r="C126" s="21" t="s">
        <v>7506</v>
      </c>
      <c r="D126" s="23"/>
      <c r="E126" s="6" t="str">
        <f>LOOKUP(2,1/(MCQ!C:C=B126),MCQ!H:H)</f>
        <v>25.00</v>
      </c>
      <c r="F126" s="6" t="str">
        <f>LOOKUP(2,1/(Debugging!C:C=B126),Debugging!H:H)</f>
        <v>25.00</v>
      </c>
      <c r="G126" s="6" t="str">
        <f>LOOKUP(2,1/(Coding!C:C=B126),Coding!H:H)</f>
        <v>25.00</v>
      </c>
      <c r="H126" s="8">
        <f>E126+F126+G126</f>
        <v>75</v>
      </c>
      <c r="I126" s="4" t="str">
        <f>IF(J126&lt;&gt;"Complete","Not Active",IF(H126&gt;=75,"Good",IF(H126&gt;=50,"Satisfactory",IF(H126&gt;=25,"Need Attention","Intervention"))))</f>
        <v>Good</v>
      </c>
      <c r="J126" s="4" t="str">
        <f>IF(COUNTIF(E126:G126,"#N/A")=3,"Not Attempted",IF(OR(ISNA(E126),ISNA(F126),ISNA(G126)),"NotCompleted","Complete"))</f>
        <v>Complete</v>
      </c>
    </row>
    <row r="127" spans="1:10" ht="15.6" x14ac:dyDescent="0.3">
      <c r="A127" s="18" t="s">
        <v>7587</v>
      </c>
      <c r="B127" s="20" t="s">
        <v>276</v>
      </c>
      <c r="C127" s="21" t="s">
        <v>7507</v>
      </c>
      <c r="D127" s="23"/>
      <c r="E127" s="6" t="str">
        <f>LOOKUP(2,1/(MCQ!C:C=B127),MCQ!H:H)</f>
        <v>21.00</v>
      </c>
      <c r="F127" s="6" t="str">
        <f>LOOKUP(2,1/(Debugging!C:C=B127),Debugging!H:H)</f>
        <v>44.00</v>
      </c>
      <c r="G127" s="6" t="str">
        <f>LOOKUP(2,1/(Coding!C:C=B127),Coding!H:H)</f>
        <v>25.00</v>
      </c>
      <c r="H127" s="8">
        <f>E127+F127+G127</f>
        <v>90</v>
      </c>
      <c r="I127" s="4" t="str">
        <f>IF(J127&lt;&gt;"Complete","Not Active",IF(H127&gt;=75,"Good",IF(H127&gt;=50,"Satisfactory",IF(H127&gt;=25,"Need Attention","Intervention"))))</f>
        <v>Good</v>
      </c>
      <c r="J127" s="4" t="str">
        <f>IF(COUNTIF(E127:G127,"#N/A")=3,"Not Attempted",IF(OR(ISNA(E127),ISNA(F127),ISNA(G127)),"NotCompleted","Complete"))</f>
        <v>Complete</v>
      </c>
    </row>
    <row r="128" spans="1:10" ht="15.6" x14ac:dyDescent="0.3">
      <c r="A128" s="18" t="s">
        <v>7587</v>
      </c>
      <c r="B128" s="20" t="s">
        <v>278</v>
      </c>
      <c r="C128" s="21" t="s">
        <v>7508</v>
      </c>
      <c r="D128" s="23"/>
      <c r="E128" s="6" t="str">
        <f>LOOKUP(2,1/(MCQ!C:C=B128),MCQ!H:H)</f>
        <v>22.00</v>
      </c>
      <c r="F128" s="6" t="str">
        <f>LOOKUP(2,1/(Debugging!C:C=B128),Debugging!H:H)</f>
        <v>38.00</v>
      </c>
      <c r="G128" s="6" t="str">
        <f>LOOKUP(2,1/(Coding!C:C=B128),Coding!H:H)</f>
        <v>23.50</v>
      </c>
      <c r="H128" s="8">
        <f>E128+F128+G128</f>
        <v>83.5</v>
      </c>
      <c r="I128" s="4" t="str">
        <f>IF(J128&lt;&gt;"Complete","Not Active",IF(H128&gt;=75,"Good",IF(H128&gt;=50,"Satisfactory",IF(H128&gt;=25,"Need Attention","Intervention"))))</f>
        <v>Good</v>
      </c>
      <c r="J128" s="4" t="str">
        <f>IF(COUNTIF(E128:G128,"#N/A")=3,"Not Attempted",IF(OR(ISNA(E128),ISNA(F128),ISNA(G128)),"NotCompleted","Complete"))</f>
        <v>Complete</v>
      </c>
    </row>
    <row r="129" spans="1:10" ht="15.6" x14ac:dyDescent="0.3">
      <c r="A129" s="18" t="s">
        <v>7587</v>
      </c>
      <c r="B129" s="20" t="s">
        <v>281</v>
      </c>
      <c r="C129" s="21" t="s">
        <v>7509</v>
      </c>
      <c r="D129" s="23"/>
      <c r="E129" s="6" t="str">
        <f>LOOKUP(2,1/(MCQ!C:C=B129),MCQ!H:H)</f>
        <v>23.00</v>
      </c>
      <c r="F129" s="6" t="str">
        <f>LOOKUP(2,1/(Debugging!C:C=B129),Debugging!H:H)</f>
        <v>46.00</v>
      </c>
      <c r="G129" s="6" t="str">
        <f>LOOKUP(2,1/(Coding!C:C=B129),Coding!H:H)</f>
        <v>25.00</v>
      </c>
      <c r="H129" s="8">
        <f>E129+F129+G129</f>
        <v>94</v>
      </c>
      <c r="I129" s="4" t="str">
        <f>IF(J129&lt;&gt;"Complete","Not Active",IF(H129&gt;=75,"Good",IF(H129&gt;=50,"Satisfactory",IF(H129&gt;=25,"Need Attention","Intervention"))))</f>
        <v>Good</v>
      </c>
      <c r="J129" s="4" t="str">
        <f>IF(COUNTIF(E129:G129,"#N/A")=3,"Not Attempted",IF(OR(ISNA(E129),ISNA(F129),ISNA(G129)),"NotCompleted","Complete"))</f>
        <v>Complete</v>
      </c>
    </row>
    <row r="130" spans="1:10" ht="15.6" x14ac:dyDescent="0.3">
      <c r="A130" s="18" t="s">
        <v>7587</v>
      </c>
      <c r="B130" s="20" t="s">
        <v>283</v>
      </c>
      <c r="C130" s="21" t="s">
        <v>7510</v>
      </c>
      <c r="D130" s="23"/>
      <c r="E130" s="6" t="str">
        <f>LOOKUP(2,1/(MCQ!C:C=B130),MCQ!H:H)</f>
        <v>24.00</v>
      </c>
      <c r="F130" s="6" t="str">
        <f>LOOKUP(2,1/(Debugging!C:C=B130),Debugging!H:H)</f>
        <v>36.00</v>
      </c>
      <c r="G130" s="6" t="str">
        <f>LOOKUP(2,1/(Coding!C:C=B130),Coding!H:H)</f>
        <v>25.00</v>
      </c>
      <c r="H130" s="8">
        <f>E130+F130+G130</f>
        <v>85</v>
      </c>
      <c r="I130" s="4" t="str">
        <f>IF(J130&lt;&gt;"Complete","Not Active",IF(H130&gt;=75,"Good",IF(H130&gt;=50,"Satisfactory",IF(H130&gt;=25,"Need Attention","Intervention"))))</f>
        <v>Good</v>
      </c>
      <c r="J130" s="4" t="str">
        <f>IF(COUNTIF(E130:G130,"#N/A")=3,"Not Attempted",IF(OR(ISNA(E130),ISNA(F130),ISNA(G130)),"NotCompleted","Complete"))</f>
        <v>Complete</v>
      </c>
    </row>
    <row r="131" spans="1:10" ht="15.6" x14ac:dyDescent="0.3">
      <c r="A131" s="16" t="s">
        <v>7586</v>
      </c>
      <c r="B131" s="20" t="s">
        <v>6494</v>
      </c>
      <c r="C131" s="20" t="s">
        <v>7248</v>
      </c>
      <c r="D131" s="2" t="s">
        <v>8</v>
      </c>
      <c r="E131" s="6" t="e">
        <f>LOOKUP(2,1/(MCQ!C:C=B131),MCQ!H:H)</f>
        <v>#N/A</v>
      </c>
      <c r="F131" s="6" t="e">
        <f>LOOKUP(2,1/(Debugging!C:C=B131),Debugging!H:H)</f>
        <v>#N/A</v>
      </c>
      <c r="G131" s="6" t="e">
        <f>LOOKUP(2,1/(Coding!C:C=B131),Coding!H:H)</f>
        <v>#N/A</v>
      </c>
      <c r="H131" s="8" t="e">
        <f>E131+F131+G131</f>
        <v>#N/A</v>
      </c>
      <c r="I131" s="4" t="str">
        <f>IF(J131&lt;&gt;"Complete","Not Active",IF(H131&gt;=75,"Good",IF(H131&gt;=50,"Satisfactory",IF(H131&gt;=25,"Need Attention","Intervention"))))</f>
        <v>Not Active</v>
      </c>
      <c r="J131" s="4" t="str">
        <f>IF(COUNTIF(E131:G131,"#N/A")=3,"Not Attempted",IF(OR(ISNA(E131),ISNA(F131),ISNA(G131)),"NotCompleted","Complete"))</f>
        <v>Not Attempted</v>
      </c>
    </row>
    <row r="132" spans="1:10" ht="15.6" x14ac:dyDescent="0.3">
      <c r="A132" s="16" t="s">
        <v>7586</v>
      </c>
      <c r="B132" s="20" t="s">
        <v>6495</v>
      </c>
      <c r="C132" s="20" t="s">
        <v>7249</v>
      </c>
      <c r="D132" s="2" t="s">
        <v>8</v>
      </c>
      <c r="E132" s="6" t="e">
        <f>LOOKUP(2,1/(MCQ!C:C=B132),MCQ!H:H)</f>
        <v>#N/A</v>
      </c>
      <c r="F132" s="6" t="e">
        <f>LOOKUP(2,1/(Debugging!C:C=B132),Debugging!H:H)</f>
        <v>#N/A</v>
      </c>
      <c r="G132" s="6" t="e">
        <f>LOOKUP(2,1/(Coding!C:C=B132),Coding!H:H)</f>
        <v>#N/A</v>
      </c>
      <c r="H132" s="8" t="e">
        <f>E132+F132+G132</f>
        <v>#N/A</v>
      </c>
      <c r="I132" s="4" t="str">
        <f>IF(J132&lt;&gt;"Complete","Not Active",IF(H132&gt;=75,"Good",IF(H132&gt;=50,"Satisfactory",IF(H132&gt;=25,"Need Attention","Intervention"))))</f>
        <v>Not Active</v>
      </c>
      <c r="J132" s="4" t="str">
        <f>IF(COUNTIF(E132:G132,"#N/A")=3,"Not Attempted",IF(OR(ISNA(E132),ISNA(F132),ISNA(G132)),"NotCompleted","Complete"))</f>
        <v>Not Attempted</v>
      </c>
    </row>
    <row r="133" spans="1:10" ht="15.6" x14ac:dyDescent="0.3">
      <c r="A133" s="16" t="s">
        <v>7586</v>
      </c>
      <c r="B133" s="20" t="s">
        <v>6496</v>
      </c>
      <c r="C133" s="20" t="s">
        <v>7250</v>
      </c>
      <c r="D133" s="2" t="s">
        <v>42</v>
      </c>
      <c r="E133" s="6" t="e">
        <f>LOOKUP(2,1/(MCQ!C:C=B133),MCQ!H:H)</f>
        <v>#N/A</v>
      </c>
      <c r="F133" s="6" t="e">
        <f>LOOKUP(2,1/(Debugging!C:C=B133),Debugging!H:H)</f>
        <v>#N/A</v>
      </c>
      <c r="G133" s="6" t="e">
        <f>LOOKUP(2,1/(Coding!C:C=B133),Coding!H:H)</f>
        <v>#N/A</v>
      </c>
      <c r="H133" s="8" t="e">
        <f>E133+F133+G133</f>
        <v>#N/A</v>
      </c>
      <c r="I133" s="4" t="str">
        <f>IF(J133&lt;&gt;"Complete","Not Active",IF(H133&gt;=75,"Good",IF(H133&gt;=50,"Satisfactory",IF(H133&gt;=25,"Need Attention","Intervention"))))</f>
        <v>Not Active</v>
      </c>
      <c r="J133" s="4" t="str">
        <f>IF(COUNTIF(E133:G133,"#N/A")=3,"Not Attempted",IF(OR(ISNA(E133),ISNA(F133),ISNA(G133)),"NotCompleted","Complete"))</f>
        <v>Not Attempted</v>
      </c>
    </row>
    <row r="134" spans="1:10" ht="15.6" x14ac:dyDescent="0.3">
      <c r="A134" s="16" t="s">
        <v>7586</v>
      </c>
      <c r="B134" s="20" t="s">
        <v>5615</v>
      </c>
      <c r="C134" s="20" t="s">
        <v>7251</v>
      </c>
      <c r="D134" s="2" t="s">
        <v>11</v>
      </c>
      <c r="E134" s="6" t="str">
        <f>LOOKUP(2,1/(MCQ!C:C=B134),MCQ!H:H)</f>
        <v>24.00</v>
      </c>
      <c r="F134" s="6" t="e">
        <f>LOOKUP(2,1/(Debugging!C:C=B134),Debugging!H:H)</f>
        <v>#N/A</v>
      </c>
      <c r="G134" s="6" t="e">
        <f>LOOKUP(2,1/(Coding!C:C=B134),Coding!H:H)</f>
        <v>#N/A</v>
      </c>
      <c r="H134" s="8" t="e">
        <f>E134+F134+G134</f>
        <v>#N/A</v>
      </c>
      <c r="I134" s="4" t="str">
        <f>IF(J134&lt;&gt;"Complete","Not Active",IF(H134&gt;=75,"Good",IF(H134&gt;=50,"Satisfactory",IF(H134&gt;=25,"Need Attention","Intervention"))))</f>
        <v>Not Active</v>
      </c>
      <c r="J134" s="4" t="str">
        <f>IF(COUNTIF(E134:G134,"#N/A")=3,"Not Attempted",IF(OR(ISNA(E134),ISNA(F134),ISNA(G134)),"NotCompleted","Complete"))</f>
        <v>NotCompleted</v>
      </c>
    </row>
    <row r="135" spans="1:10" ht="15.6" x14ac:dyDescent="0.3">
      <c r="A135" s="16" t="s">
        <v>7586</v>
      </c>
      <c r="B135" s="20" t="s">
        <v>5679</v>
      </c>
      <c r="C135" s="20" t="s">
        <v>7252</v>
      </c>
      <c r="D135" s="2" t="s">
        <v>8</v>
      </c>
      <c r="E135" s="6" t="str">
        <f>LOOKUP(2,1/(MCQ!C:C=B135),MCQ!H:H)</f>
        <v>23.00</v>
      </c>
      <c r="F135" s="6" t="e">
        <f>LOOKUP(2,1/(Debugging!C:C=B135),Debugging!H:H)</f>
        <v>#N/A</v>
      </c>
      <c r="G135" s="6" t="e">
        <f>LOOKUP(2,1/(Coding!C:C=B135),Coding!H:H)</f>
        <v>#N/A</v>
      </c>
      <c r="H135" s="8" t="e">
        <f>E135+F135+G135</f>
        <v>#N/A</v>
      </c>
      <c r="I135" s="4" t="str">
        <f>IF(J135&lt;&gt;"Complete","Not Active",IF(H135&gt;=75,"Good",IF(H135&gt;=50,"Satisfactory",IF(H135&gt;=25,"Need Attention","Intervention"))))</f>
        <v>Not Active</v>
      </c>
      <c r="J135" s="4" t="str">
        <f>IF(COUNTIF(E135:G135,"#N/A")=3,"Not Attempted",IF(OR(ISNA(E135),ISNA(F135),ISNA(G135)),"NotCompleted","Complete"))</f>
        <v>NotCompleted</v>
      </c>
    </row>
    <row r="136" spans="1:10" ht="15.6" x14ac:dyDescent="0.3">
      <c r="A136" s="16" t="s">
        <v>7586</v>
      </c>
      <c r="B136" s="20" t="s">
        <v>5731</v>
      </c>
      <c r="C136" s="20" t="s">
        <v>7253</v>
      </c>
      <c r="D136" s="2" t="s">
        <v>8</v>
      </c>
      <c r="E136" s="6" t="str">
        <f>LOOKUP(2,1/(MCQ!C:C=B136),MCQ!H:H)</f>
        <v>23.00</v>
      </c>
      <c r="F136" s="6" t="e">
        <f>LOOKUP(2,1/(Debugging!C:C=B136),Debugging!H:H)</f>
        <v>#N/A</v>
      </c>
      <c r="G136" s="6" t="e">
        <f>LOOKUP(2,1/(Coding!C:C=B136),Coding!H:H)</f>
        <v>#N/A</v>
      </c>
      <c r="H136" s="8" t="e">
        <f>E136+F136+G136</f>
        <v>#N/A</v>
      </c>
      <c r="I136" s="4" t="str">
        <f>IF(J136&lt;&gt;"Complete","Not Active",IF(H136&gt;=75,"Good",IF(H136&gt;=50,"Satisfactory",IF(H136&gt;=25,"Need Attention","Intervention"))))</f>
        <v>Not Active</v>
      </c>
      <c r="J136" s="4" t="str">
        <f>IF(COUNTIF(E136:G136,"#N/A")=3,"Not Attempted",IF(OR(ISNA(E136),ISNA(F136),ISNA(G136)),"NotCompleted","Complete"))</f>
        <v>NotCompleted</v>
      </c>
    </row>
    <row r="137" spans="1:10" ht="15.6" x14ac:dyDescent="0.3">
      <c r="A137" s="16" t="s">
        <v>7586</v>
      </c>
      <c r="B137" s="20" t="s">
        <v>6497</v>
      </c>
      <c r="C137" s="20" t="s">
        <v>7254</v>
      </c>
      <c r="D137" s="2" t="s">
        <v>8</v>
      </c>
      <c r="E137" s="6" t="e">
        <f>LOOKUP(2,1/(MCQ!C:C=B137),MCQ!H:H)</f>
        <v>#N/A</v>
      </c>
      <c r="F137" s="6" t="e">
        <f>LOOKUP(2,1/(Debugging!C:C=B137),Debugging!H:H)</f>
        <v>#N/A</v>
      </c>
      <c r="G137" s="6" t="e">
        <f>LOOKUP(2,1/(Coding!C:C=B137),Coding!H:H)</f>
        <v>#N/A</v>
      </c>
      <c r="H137" s="8" t="e">
        <f>E137+F137+G137</f>
        <v>#N/A</v>
      </c>
      <c r="I137" s="4" t="str">
        <f>IF(J137&lt;&gt;"Complete","Not Active",IF(H137&gt;=75,"Good",IF(H137&gt;=50,"Satisfactory",IF(H137&gt;=25,"Need Attention","Intervention"))))</f>
        <v>Not Active</v>
      </c>
      <c r="J137" s="4" t="str">
        <f>IF(COUNTIF(E137:G137,"#N/A")=3,"Not Attempted",IF(OR(ISNA(E137),ISNA(F137),ISNA(G137)),"NotCompleted","Complete"))</f>
        <v>Not Attempted</v>
      </c>
    </row>
    <row r="138" spans="1:10" ht="15.6" x14ac:dyDescent="0.3">
      <c r="A138" s="16" t="s">
        <v>7586</v>
      </c>
      <c r="B138" s="20" t="s">
        <v>285</v>
      </c>
      <c r="C138" s="20" t="s">
        <v>7255</v>
      </c>
      <c r="D138" s="2" t="s">
        <v>25</v>
      </c>
      <c r="E138" s="6" t="str">
        <f>LOOKUP(2,1/(MCQ!C:C=B138),MCQ!H:H)</f>
        <v>13.00</v>
      </c>
      <c r="F138" s="6" t="e">
        <f>LOOKUP(2,1/(Debugging!C:C=B138),Debugging!H:H)</f>
        <v>#N/A</v>
      </c>
      <c r="G138" s="6" t="e">
        <f>LOOKUP(2,1/(Coding!C:C=B138),Coding!H:H)</f>
        <v>#N/A</v>
      </c>
      <c r="H138" s="8" t="e">
        <f>E138+F138+G138</f>
        <v>#N/A</v>
      </c>
      <c r="I138" s="4" t="str">
        <f>IF(J138&lt;&gt;"Complete","Not Active",IF(H138&gt;=75,"Good",IF(H138&gt;=50,"Satisfactory",IF(H138&gt;=25,"Need Attention","Intervention"))))</f>
        <v>Not Active</v>
      </c>
      <c r="J138" s="4" t="str">
        <f>IF(COUNTIF(E138:G138,"#N/A")=3,"Not Attempted",IF(OR(ISNA(E138),ISNA(F138),ISNA(G138)),"NotCompleted","Complete"))</f>
        <v>NotCompleted</v>
      </c>
    </row>
    <row r="139" spans="1:10" ht="15.6" x14ac:dyDescent="0.3">
      <c r="A139" s="16" t="s">
        <v>7586</v>
      </c>
      <c r="B139" s="20" t="s">
        <v>6498</v>
      </c>
      <c r="C139" s="20" t="s">
        <v>7256</v>
      </c>
      <c r="D139" s="2" t="s">
        <v>25</v>
      </c>
      <c r="E139" s="6" t="e">
        <f>LOOKUP(2,1/(MCQ!C:C=B139),MCQ!H:H)</f>
        <v>#N/A</v>
      </c>
      <c r="F139" s="6" t="e">
        <f>LOOKUP(2,1/(Debugging!C:C=B139),Debugging!H:H)</f>
        <v>#N/A</v>
      </c>
      <c r="G139" s="6" t="e">
        <f>LOOKUP(2,1/(Coding!C:C=B139),Coding!H:H)</f>
        <v>#N/A</v>
      </c>
      <c r="H139" s="8" t="e">
        <f>E139+F139+G139</f>
        <v>#N/A</v>
      </c>
      <c r="I139" s="4" t="str">
        <f>IF(J139&lt;&gt;"Complete","Not Active",IF(H139&gt;=75,"Good",IF(H139&gt;=50,"Satisfactory",IF(H139&gt;=25,"Need Attention","Intervention"))))</f>
        <v>Not Active</v>
      </c>
      <c r="J139" s="4" t="str">
        <f>IF(COUNTIF(E139:G139,"#N/A")=3,"Not Attempted",IF(OR(ISNA(E139),ISNA(F139),ISNA(G139)),"NotCompleted","Complete"))</f>
        <v>Not Attempted</v>
      </c>
    </row>
    <row r="140" spans="1:10" ht="15.6" x14ac:dyDescent="0.3">
      <c r="A140" s="16" t="s">
        <v>7586</v>
      </c>
      <c r="B140" s="20" t="s">
        <v>6499</v>
      </c>
      <c r="C140" s="20" t="s">
        <v>7257</v>
      </c>
      <c r="D140" s="2" t="s">
        <v>31</v>
      </c>
      <c r="E140" s="6" t="e">
        <f>LOOKUP(2,1/(MCQ!C:C=B140),MCQ!H:H)</f>
        <v>#N/A</v>
      </c>
      <c r="F140" s="6" t="e">
        <f>LOOKUP(2,1/(Debugging!C:C=B140),Debugging!H:H)</f>
        <v>#N/A</v>
      </c>
      <c r="G140" s="6" t="e">
        <f>LOOKUP(2,1/(Coding!C:C=B140),Coding!H:H)</f>
        <v>#N/A</v>
      </c>
      <c r="H140" s="8" t="e">
        <f>E140+F140+G140</f>
        <v>#N/A</v>
      </c>
      <c r="I140" s="4" t="str">
        <f>IF(J140&lt;&gt;"Complete","Not Active",IF(H140&gt;=75,"Good",IF(H140&gt;=50,"Satisfactory",IF(H140&gt;=25,"Need Attention","Intervention"))))</f>
        <v>Not Active</v>
      </c>
      <c r="J140" s="4" t="str">
        <f>IF(COUNTIF(E140:G140,"#N/A")=3,"Not Attempted",IF(OR(ISNA(E140),ISNA(F140),ISNA(G140)),"NotCompleted","Complete"))</f>
        <v>Not Attempted</v>
      </c>
    </row>
    <row r="141" spans="1:10" ht="15.6" x14ac:dyDescent="0.3">
      <c r="A141" s="16" t="s">
        <v>7586</v>
      </c>
      <c r="B141" s="20" t="s">
        <v>5748</v>
      </c>
      <c r="C141" s="20" t="s">
        <v>7258</v>
      </c>
      <c r="D141" s="2" t="s">
        <v>25</v>
      </c>
      <c r="E141" s="6" t="str">
        <f>LOOKUP(2,1/(MCQ!C:C=B141),MCQ!H:H)</f>
        <v>23.00</v>
      </c>
      <c r="F141" s="6" t="e">
        <f>LOOKUP(2,1/(Debugging!C:C=B141),Debugging!H:H)</f>
        <v>#N/A</v>
      </c>
      <c r="G141" s="6" t="e">
        <f>LOOKUP(2,1/(Coding!C:C=B141),Coding!H:H)</f>
        <v>#N/A</v>
      </c>
      <c r="H141" s="8" t="e">
        <f>E141+F141+G141</f>
        <v>#N/A</v>
      </c>
      <c r="I141" s="4" t="str">
        <f>IF(J141&lt;&gt;"Complete","Not Active",IF(H141&gt;=75,"Good",IF(H141&gt;=50,"Satisfactory",IF(H141&gt;=25,"Need Attention","Intervention"))))</f>
        <v>Not Active</v>
      </c>
      <c r="J141" s="4" t="str">
        <f>IF(COUNTIF(E141:G141,"#N/A")=3,"Not Attempted",IF(OR(ISNA(E141),ISNA(F141),ISNA(G141)),"NotCompleted","Complete"))</f>
        <v>NotCompleted</v>
      </c>
    </row>
    <row r="142" spans="1:10" ht="15.6" x14ac:dyDescent="0.3">
      <c r="A142" s="16" t="s">
        <v>7586</v>
      </c>
      <c r="B142" s="20" t="s">
        <v>6500</v>
      </c>
      <c r="C142" s="20" t="s">
        <v>7259</v>
      </c>
      <c r="D142" s="2" t="s">
        <v>31</v>
      </c>
      <c r="E142" s="6" t="e">
        <f>LOOKUP(2,1/(MCQ!C:C=B142),MCQ!H:H)</f>
        <v>#N/A</v>
      </c>
      <c r="F142" s="6" t="e">
        <f>LOOKUP(2,1/(Coding!B:B=A142),Coding!G:G)</f>
        <v>#N/A</v>
      </c>
      <c r="G142" s="6" t="e">
        <f>LOOKUP(2,1/(Coding!C:C=B142),Coding!H:H)</f>
        <v>#N/A</v>
      </c>
      <c r="H142" s="8" t="e">
        <f>E142+F142+G142</f>
        <v>#N/A</v>
      </c>
      <c r="I142" s="4" t="str">
        <f>IF(J142&lt;&gt;"Complete","Not Active",IF(H142&gt;=75,"Good",IF(H142&gt;=50,"Satisfactory",IF(H142&gt;=25,"Need Attention","Intervention"))))</f>
        <v>Not Active</v>
      </c>
      <c r="J142" s="4" t="str">
        <f>IF(COUNTIF(E142:G142,"#N/A")=3,"Not Attempted",IF(OR(ISNA(E142),ISNA(F142),ISNA(G142)),"NotCompleted","Complete"))</f>
        <v>Not Attempted</v>
      </c>
    </row>
    <row r="143" spans="1:10" ht="15.6" x14ac:dyDescent="0.3">
      <c r="A143" s="16" t="s">
        <v>7586</v>
      </c>
      <c r="B143" s="20" t="s">
        <v>6501</v>
      </c>
      <c r="C143" s="20" t="s">
        <v>7260</v>
      </c>
      <c r="D143" s="2" t="s">
        <v>31</v>
      </c>
      <c r="E143" s="6" t="e">
        <f>LOOKUP(2,1/(MCQ!C:C=B143),MCQ!H:H)</f>
        <v>#N/A</v>
      </c>
      <c r="F143" s="6" t="e">
        <f>LOOKUP(2,1/(Debugging!C:C=B143),Debugging!H:H)</f>
        <v>#N/A</v>
      </c>
      <c r="G143" s="6" t="e">
        <f>LOOKUP(2,1/(Coding!C:C=B143),Coding!H:H)</f>
        <v>#N/A</v>
      </c>
      <c r="H143" s="8" t="e">
        <f>E143+F143+G143</f>
        <v>#N/A</v>
      </c>
      <c r="I143" s="4" t="str">
        <f>IF(J143&lt;&gt;"Complete","Not Active",IF(H143&gt;=75,"Good",IF(H143&gt;=50,"Satisfactory",IF(H143&gt;=25,"Need Attention","Intervention"))))</f>
        <v>Not Active</v>
      </c>
      <c r="J143" s="4" t="str">
        <f>IF(COUNTIF(E143:G143,"#N/A")=3,"Not Attempted",IF(OR(ISNA(E143),ISNA(F143),ISNA(G143)),"NotCompleted","Complete"))</f>
        <v>Not Attempted</v>
      </c>
    </row>
    <row r="144" spans="1:10" ht="15.6" x14ac:dyDescent="0.3">
      <c r="A144" s="16" t="s">
        <v>7586</v>
      </c>
      <c r="B144" s="20" t="s">
        <v>5783</v>
      </c>
      <c r="C144" s="20" t="s">
        <v>7261</v>
      </c>
      <c r="D144" s="2" t="s">
        <v>31</v>
      </c>
      <c r="E144" s="6" t="str">
        <f>LOOKUP(2,1/(MCQ!C:C=B144),MCQ!H:H)</f>
        <v>25.00</v>
      </c>
      <c r="F144" s="6" t="e">
        <f>LOOKUP(2,1/(Debugging!C:C=B144),Debugging!H:H)</f>
        <v>#N/A</v>
      </c>
      <c r="G144" s="6" t="e">
        <f>LOOKUP(2,1/(Coding!C:C=B144),Coding!H:H)</f>
        <v>#N/A</v>
      </c>
      <c r="H144" s="8" t="e">
        <f>E144+F144+G144</f>
        <v>#N/A</v>
      </c>
      <c r="I144" s="4" t="str">
        <f>IF(J144&lt;&gt;"Complete","Not Active",IF(H144&gt;=75,"Good",IF(H144&gt;=50,"Satisfactory",IF(H144&gt;=25,"Need Attention","Intervention"))))</f>
        <v>Not Active</v>
      </c>
      <c r="J144" s="4" t="str">
        <f>IF(COUNTIF(E144:G144,"#N/A")=3,"Not Attempted",IF(OR(ISNA(E144),ISNA(F144),ISNA(G144)),"NotCompleted","Complete"))</f>
        <v>NotCompleted</v>
      </c>
    </row>
    <row r="145" spans="1:10" ht="15.6" x14ac:dyDescent="0.3">
      <c r="A145" s="16" t="s">
        <v>7586</v>
      </c>
      <c r="B145" s="20" t="s">
        <v>5800</v>
      </c>
      <c r="C145" s="20" t="s">
        <v>7262</v>
      </c>
      <c r="D145" s="2" t="s">
        <v>49</v>
      </c>
      <c r="E145" s="6" t="str">
        <f>LOOKUP(2,1/(MCQ!C:C=B145),MCQ!H:H)</f>
        <v>2.00</v>
      </c>
      <c r="F145" s="6" t="e">
        <f>LOOKUP(2,1/(Debugging!C:C=B145),Debugging!H:H)</f>
        <v>#N/A</v>
      </c>
      <c r="G145" s="6" t="e">
        <f>LOOKUP(2,1/(Coding!C:C=B145),Coding!H:H)</f>
        <v>#N/A</v>
      </c>
      <c r="H145" s="8" t="e">
        <f>E145+F145+G145</f>
        <v>#N/A</v>
      </c>
      <c r="I145" s="4" t="str">
        <f>IF(J145&lt;&gt;"Complete","Not Active",IF(H145&gt;=75,"Good",IF(H145&gt;=50,"Satisfactory",IF(H145&gt;=25,"Need Attention","Intervention"))))</f>
        <v>Not Active</v>
      </c>
      <c r="J145" s="4" t="str">
        <f>IF(COUNTIF(E145:G145,"#N/A")=3,"Not Attempted",IF(OR(ISNA(E145),ISNA(F145),ISNA(G145)),"NotCompleted","Complete"))</f>
        <v>NotCompleted</v>
      </c>
    </row>
    <row r="146" spans="1:10" ht="15.6" x14ac:dyDescent="0.3">
      <c r="A146" s="16" t="s">
        <v>7586</v>
      </c>
      <c r="B146" s="20" t="s">
        <v>287</v>
      </c>
      <c r="C146" s="20" t="s">
        <v>7263</v>
      </c>
      <c r="D146" s="2" t="s">
        <v>8</v>
      </c>
      <c r="E146" s="6" t="str">
        <f>LOOKUP(2,1/(MCQ!C:C=B146),MCQ!H:H)</f>
        <v>24.00</v>
      </c>
      <c r="F146" s="6" t="e">
        <f>LOOKUP(2,1/(Debugging!C:C=B146),Debugging!H:H)</f>
        <v>#N/A</v>
      </c>
      <c r="G146" s="6" t="e">
        <v>#N/A</v>
      </c>
      <c r="H146" s="8" t="e">
        <f>E146+F146+G146</f>
        <v>#N/A</v>
      </c>
      <c r="I146" s="4" t="str">
        <f>IF(J146&lt;&gt;"Complete","Not Active",IF(H146&gt;=75,"Good",IF(H146&gt;=50,"Satisfactory",IF(H146&gt;=25,"Need Attention","Intervention"))))</f>
        <v>Not Active</v>
      </c>
      <c r="J146" s="4" t="str">
        <f>IF(COUNTIF(E146:G146,"#N/A")=3,"Not Attempted",IF(OR(ISNA(E146),ISNA(F146),ISNA(G146)),"NotCompleted","Complete"))</f>
        <v>NotCompleted</v>
      </c>
    </row>
    <row r="147" spans="1:10" ht="15.6" x14ac:dyDescent="0.3">
      <c r="A147" s="16" t="s">
        <v>7586</v>
      </c>
      <c r="B147" s="20" t="s">
        <v>6502</v>
      </c>
      <c r="C147" s="20" t="s">
        <v>7264</v>
      </c>
      <c r="D147" s="2" t="s">
        <v>31</v>
      </c>
      <c r="E147" s="6" t="e">
        <f>LOOKUP(2,1/(MCQ!C:C=B147),MCQ!H:H)</f>
        <v>#N/A</v>
      </c>
      <c r="F147" s="6" t="e">
        <f>LOOKUP(2,1/(Debugging!C:C=B147),Debugging!H:H)</f>
        <v>#N/A</v>
      </c>
      <c r="G147" s="6" t="e">
        <f>LOOKUP(2,1/(Coding!C:C=B147),Coding!H:H)</f>
        <v>#N/A</v>
      </c>
      <c r="H147" s="8" t="e">
        <f>E147+F147+G147</f>
        <v>#N/A</v>
      </c>
      <c r="I147" s="4" t="str">
        <f>IF(J147&lt;&gt;"Complete","Not Active",IF(H147&gt;=75,"Good",IF(H147&gt;=50,"Satisfactory",IF(H147&gt;=25,"Need Attention","Intervention"))))</f>
        <v>Not Active</v>
      </c>
      <c r="J147" s="4" t="str">
        <f>IF(COUNTIF(E147:G147,"#N/A")=3,"Not Attempted",IF(OR(ISNA(E147),ISNA(F147),ISNA(G147)),"NotCompleted","Complete"))</f>
        <v>Not Attempted</v>
      </c>
    </row>
    <row r="148" spans="1:10" ht="15.6" x14ac:dyDescent="0.3">
      <c r="A148" s="16" t="s">
        <v>7586</v>
      </c>
      <c r="B148" s="20" t="s">
        <v>6503</v>
      </c>
      <c r="C148" s="20" t="s">
        <v>7265</v>
      </c>
      <c r="D148" s="2" t="s">
        <v>8</v>
      </c>
      <c r="E148" s="6" t="e">
        <f>LOOKUP(2,1/(MCQ!C:C=B148),MCQ!H:H)</f>
        <v>#N/A</v>
      </c>
      <c r="F148" s="6" t="e">
        <f>LOOKUP(2,1/(Debugging!C:C=B148),Debugging!H:H)</f>
        <v>#N/A</v>
      </c>
      <c r="G148" s="6" t="e">
        <f>LOOKUP(2,1/(Coding!C:C=B148),Coding!H:H)</f>
        <v>#N/A</v>
      </c>
      <c r="H148" s="8" t="e">
        <f>E148+F148+G148</f>
        <v>#N/A</v>
      </c>
      <c r="I148" s="4" t="str">
        <f>IF(J148&lt;&gt;"Complete","Not Active",IF(H148&gt;=75,"Good",IF(H148&gt;=50,"Satisfactory",IF(H148&gt;=25,"Need Attention","Intervention"))))</f>
        <v>Not Active</v>
      </c>
      <c r="J148" s="4" t="str">
        <f>IF(COUNTIF(E148:G148,"#N/A")=3,"Not Attempted",IF(OR(ISNA(E148),ISNA(F148),ISNA(G148)),"NotCompleted","Complete"))</f>
        <v>Not Attempted</v>
      </c>
    </row>
    <row r="149" spans="1:10" ht="15.6" x14ac:dyDescent="0.3">
      <c r="A149" s="16" t="s">
        <v>7586</v>
      </c>
      <c r="B149" s="20" t="s">
        <v>289</v>
      </c>
      <c r="C149" s="20" t="s">
        <v>7266</v>
      </c>
      <c r="D149" s="2" t="s">
        <v>19</v>
      </c>
      <c r="E149" s="6" t="str">
        <f>LOOKUP(2,1/(MCQ!C:C=B149),MCQ!H:H)</f>
        <v>22.00</v>
      </c>
      <c r="F149" s="6" t="e">
        <f>LOOKUP(2,1/(Debugging!C:C=B149),Debugging!H:H)</f>
        <v>#N/A</v>
      </c>
      <c r="G149" s="6" t="str">
        <f>LOOKUP(2,1/(Coding!C:C=B149),Coding!H:H)</f>
        <v>23.50</v>
      </c>
      <c r="H149" s="8" t="e">
        <f>E149+F149+G149</f>
        <v>#N/A</v>
      </c>
      <c r="I149" s="4" t="str">
        <f>IF(J149&lt;&gt;"Complete","Not Active",IF(H149&gt;=75,"Good",IF(H149&gt;=50,"Satisfactory",IF(H149&gt;=25,"Need Attention","Intervention"))))</f>
        <v>Not Active</v>
      </c>
      <c r="J149" s="4" t="str">
        <f>IF(COUNTIF(E149:G149,"#N/A")=3,"Not Attempted",IF(OR(ISNA(E149),ISNA(F149),ISNA(G149)),"NotCompleted","Complete"))</f>
        <v>NotCompleted</v>
      </c>
    </row>
    <row r="150" spans="1:10" ht="15.6" x14ac:dyDescent="0.3">
      <c r="A150" s="16" t="s">
        <v>7586</v>
      </c>
      <c r="B150" s="20" t="s">
        <v>5846</v>
      </c>
      <c r="C150" s="20" t="s">
        <v>7267</v>
      </c>
      <c r="D150" s="2" t="s">
        <v>49</v>
      </c>
      <c r="E150" s="6" t="str">
        <f>LOOKUP(2,1/(MCQ!C:C=B150),MCQ!H:H)</f>
        <v>22.00</v>
      </c>
      <c r="F150" s="6" t="e">
        <f>LOOKUP(2,1/(Debugging!C:C=B150),Debugging!H:H)</f>
        <v>#N/A</v>
      </c>
      <c r="G150" s="6" t="e">
        <f>LOOKUP(2,1/(Coding!C:C=B150),Coding!H:H)</f>
        <v>#N/A</v>
      </c>
      <c r="H150" s="8" t="e">
        <f>E150+F150+G150</f>
        <v>#N/A</v>
      </c>
      <c r="I150" s="4" t="str">
        <f>IF(J150&lt;&gt;"Complete","Not Active",IF(H150&gt;=75,"Good",IF(H150&gt;=50,"Satisfactory",IF(H150&gt;=25,"Need Attention","Intervention"))))</f>
        <v>Not Active</v>
      </c>
      <c r="J150" s="4" t="str">
        <f>IF(COUNTIF(E150:G150,"#N/A")=3,"Not Attempted",IF(OR(ISNA(E150),ISNA(F150),ISNA(G150)),"NotCompleted","Complete"))</f>
        <v>NotCompleted</v>
      </c>
    </row>
    <row r="151" spans="1:10" ht="15.6" x14ac:dyDescent="0.3">
      <c r="A151" s="16" t="s">
        <v>7586</v>
      </c>
      <c r="B151" s="20" t="s">
        <v>6504</v>
      </c>
      <c r="C151" s="20" t="s">
        <v>7268</v>
      </c>
      <c r="D151" s="2" t="s">
        <v>80</v>
      </c>
      <c r="E151" s="6" t="e">
        <f>LOOKUP(2,1/(MCQ!C:C=B151),MCQ!H:H)</f>
        <v>#N/A</v>
      </c>
      <c r="F151" s="6" t="e">
        <f>LOOKUP(2,1/(Debugging!C:C=B151),Debugging!H:H)</f>
        <v>#N/A</v>
      </c>
      <c r="G151" s="6" t="e">
        <f>LOOKUP(2,1/(Coding!C:C=B151),Coding!H:H)</f>
        <v>#N/A</v>
      </c>
      <c r="H151" s="8" t="e">
        <f>E151+F151+G151</f>
        <v>#N/A</v>
      </c>
      <c r="I151" s="4" t="str">
        <f>IF(J151&lt;&gt;"Complete","Not Active",IF(H151&gt;=75,"Good",IF(H151&gt;=50,"Satisfactory",IF(H151&gt;=25,"Need Attention","Intervention"))))</f>
        <v>Not Active</v>
      </c>
      <c r="J151" s="4" t="str">
        <f>IF(COUNTIF(E151:G151,"#N/A")=3,"Not Attempted",IF(OR(ISNA(E151),ISNA(F151),ISNA(G151)),"NotCompleted","Complete"))</f>
        <v>Not Attempted</v>
      </c>
    </row>
    <row r="152" spans="1:10" ht="15.6" x14ac:dyDescent="0.3">
      <c r="A152" s="16" t="s">
        <v>7586</v>
      </c>
      <c r="B152" s="20" t="s">
        <v>6505</v>
      </c>
      <c r="C152" s="20" t="s">
        <v>7269</v>
      </c>
      <c r="D152" s="2" t="s">
        <v>1370</v>
      </c>
      <c r="E152" s="6" t="e">
        <f>LOOKUP(2,1/(MCQ!C:C=B152),MCQ!H:H)</f>
        <v>#N/A</v>
      </c>
      <c r="F152" s="6" t="e">
        <f>LOOKUP(2,1/(Debugging!C:C=B152),Debugging!H:H)</f>
        <v>#N/A</v>
      </c>
      <c r="G152" s="6" t="e">
        <f>LOOKUP(2,1/(Coding!C:C=B152),Coding!H:H)</f>
        <v>#N/A</v>
      </c>
      <c r="H152" s="8" t="e">
        <f>E152+F152+G152</f>
        <v>#N/A</v>
      </c>
      <c r="I152" s="4" t="str">
        <f>IF(J152&lt;&gt;"Complete","Not Active",IF(H152&gt;=75,"Good",IF(H152&gt;=50,"Satisfactory",IF(H152&gt;=25,"Need Attention","Intervention"))))</f>
        <v>Not Active</v>
      </c>
      <c r="J152" s="4" t="str">
        <f>IF(COUNTIF(E152:G152,"#N/A")=3,"Not Attempted",IF(OR(ISNA(E152),ISNA(F152),ISNA(G152)),"NotCompleted","Complete"))</f>
        <v>Not Attempted</v>
      </c>
    </row>
    <row r="153" spans="1:10" ht="15.6" x14ac:dyDescent="0.3">
      <c r="A153" s="16" t="s">
        <v>7586</v>
      </c>
      <c r="B153" s="20" t="s">
        <v>291</v>
      </c>
      <c r="C153" s="20" t="s">
        <v>7270</v>
      </c>
      <c r="D153" s="2" t="s">
        <v>42</v>
      </c>
      <c r="E153" s="6" t="str">
        <f>LOOKUP(2,1/(MCQ!C:C=B153),MCQ!H:H)</f>
        <v>19.00</v>
      </c>
      <c r="F153" s="6" t="e">
        <f>LOOKUP(2,1/(Debugging!C:C=B153),Debugging!H:H)</f>
        <v>#N/A</v>
      </c>
      <c r="G153" s="6" t="str">
        <f>LOOKUP(2,1/(Coding!C:C=B153),Coding!H:H)</f>
        <v>15.00</v>
      </c>
      <c r="H153" s="8" t="e">
        <f>E153+F153+G153</f>
        <v>#N/A</v>
      </c>
      <c r="I153" s="4" t="str">
        <f>IF(J153&lt;&gt;"Complete","Not Active",IF(H153&gt;=75,"Good",IF(H153&gt;=50,"Satisfactory",IF(H153&gt;=25,"Need Attention","Intervention"))))</f>
        <v>Not Active</v>
      </c>
      <c r="J153" s="4" t="str">
        <f>IF(COUNTIF(E153:G153,"#N/A")=3,"Not Attempted",IF(OR(ISNA(E153),ISNA(F153),ISNA(G153)),"NotCompleted","Complete"))</f>
        <v>NotCompleted</v>
      </c>
    </row>
    <row r="154" spans="1:10" ht="15.6" x14ac:dyDescent="0.3">
      <c r="A154" s="16" t="s">
        <v>7586</v>
      </c>
      <c r="B154" s="20" t="s">
        <v>6506</v>
      </c>
      <c r="C154" s="20" t="s">
        <v>7271</v>
      </c>
      <c r="D154" s="2" t="s">
        <v>8</v>
      </c>
      <c r="E154" s="6" t="e">
        <f>LOOKUP(2,1/(MCQ!C:C=B154),MCQ!H:H)</f>
        <v>#N/A</v>
      </c>
      <c r="F154" s="6" t="e">
        <f>LOOKUP(2,1/(Debugging!C:C=B154),Debugging!H:H)</f>
        <v>#N/A</v>
      </c>
      <c r="G154" s="6" t="e">
        <f>LOOKUP(2,1/(Coding!C:C=B154),Coding!H:H)</f>
        <v>#N/A</v>
      </c>
      <c r="H154" s="8" t="e">
        <f>E154+F154+G154</f>
        <v>#N/A</v>
      </c>
      <c r="I154" s="4" t="str">
        <f>IF(J154&lt;&gt;"Complete","Not Active",IF(H154&gt;=75,"Good",IF(H154&gt;=50,"Satisfactory",IF(H154&gt;=25,"Need Attention","Intervention"))))</f>
        <v>Not Active</v>
      </c>
      <c r="J154" s="4" t="str">
        <f>IF(COUNTIF(E154:G154,"#N/A")=3,"Not Attempted",IF(OR(ISNA(E154),ISNA(F154),ISNA(G154)),"NotCompleted","Complete"))</f>
        <v>Not Attempted</v>
      </c>
    </row>
    <row r="155" spans="1:10" ht="15.6" x14ac:dyDescent="0.3">
      <c r="A155" s="16" t="s">
        <v>7586</v>
      </c>
      <c r="B155" s="20" t="s">
        <v>5925</v>
      </c>
      <c r="C155" s="20" t="s">
        <v>7272</v>
      </c>
      <c r="D155" s="2" t="s">
        <v>19</v>
      </c>
      <c r="E155" s="6" t="str">
        <f>LOOKUP(2,1/(MCQ!C:C=B155),MCQ!H:H)</f>
        <v>24.00</v>
      </c>
      <c r="F155" s="6" t="e">
        <f>LOOKUP(2,1/(Debugging!C:C=B155),Debugging!H:H)</f>
        <v>#N/A</v>
      </c>
      <c r="G155" s="6" t="e">
        <f>LOOKUP(2,1/(Coding!C:C=B155),Coding!H:H)</f>
        <v>#N/A</v>
      </c>
      <c r="H155" s="8" t="e">
        <f>E155+F155+G155</f>
        <v>#N/A</v>
      </c>
      <c r="I155" s="4" t="str">
        <f>IF(J155&lt;&gt;"Complete","Not Active",IF(H155&gt;=75,"Good",IF(H155&gt;=50,"Satisfactory",IF(H155&gt;=25,"Need Attention","Intervention"))))</f>
        <v>Not Active</v>
      </c>
      <c r="J155" s="4" t="str">
        <f>IF(COUNTIF(E155:G155,"#N/A")=3,"Not Attempted",IF(OR(ISNA(E155),ISNA(F155),ISNA(G155)),"NotCompleted","Complete"))</f>
        <v>NotCompleted</v>
      </c>
    </row>
    <row r="156" spans="1:10" ht="15.6" x14ac:dyDescent="0.3">
      <c r="A156" s="16" t="s">
        <v>7586</v>
      </c>
      <c r="B156" s="20" t="s">
        <v>6507</v>
      </c>
      <c r="C156" s="20" t="s">
        <v>7273</v>
      </c>
      <c r="D156" s="2" t="s">
        <v>123</v>
      </c>
      <c r="E156" s="6" t="e">
        <f>LOOKUP(2,1/(MCQ!C:C=B156),MCQ!H:H)</f>
        <v>#N/A</v>
      </c>
      <c r="F156" s="6" t="e">
        <f>LOOKUP(2,1/(Debugging!C:C=B156),Debugging!H:H)</f>
        <v>#N/A</v>
      </c>
      <c r="G156" s="6" t="e">
        <f>LOOKUP(2,1/(Coding!C:C=B156),Coding!H:H)</f>
        <v>#N/A</v>
      </c>
      <c r="H156" s="8" t="e">
        <f>E156+F156+G156</f>
        <v>#N/A</v>
      </c>
      <c r="I156" s="4" t="str">
        <f>IF(J156&lt;&gt;"Complete","Not Active",IF(H156&gt;=75,"Good",IF(H156&gt;=50,"Satisfactory",IF(H156&gt;=25,"Need Attention","Intervention"))))</f>
        <v>Not Active</v>
      </c>
      <c r="J156" s="4" t="str">
        <f>IF(COUNTIF(E156:G156,"#N/A")=3,"Not Attempted",IF(OR(ISNA(E156),ISNA(F156),ISNA(G156)),"NotCompleted","Complete"))</f>
        <v>Not Attempted</v>
      </c>
    </row>
    <row r="157" spans="1:10" ht="15.6" x14ac:dyDescent="0.3">
      <c r="A157" s="16" t="s">
        <v>7586</v>
      </c>
      <c r="B157" s="20" t="s">
        <v>6508</v>
      </c>
      <c r="C157" s="20" t="s">
        <v>7274</v>
      </c>
      <c r="D157" s="23"/>
      <c r="E157" s="6" t="e">
        <f>LOOKUP(2,1/(MCQ!C:C=B157),MCQ!H:H)</f>
        <v>#N/A</v>
      </c>
      <c r="F157" s="6" t="e">
        <f>LOOKUP(2,1/(Debugging!C:C=B157),Debugging!H:H)</f>
        <v>#N/A</v>
      </c>
      <c r="G157" s="6" t="e">
        <f>LOOKUP(2,1/(Coding!C:C=B157),Coding!H:H)</f>
        <v>#N/A</v>
      </c>
      <c r="H157" s="8" t="e">
        <f>E157+F157+G157</f>
        <v>#N/A</v>
      </c>
      <c r="I157" s="4" t="str">
        <f>IF(J157&lt;&gt;"Complete","Not Active",IF(H157&gt;=75,"Good",IF(H157&gt;=50,"Satisfactory",IF(H157&gt;=25,"Need Attention","Intervention"))))</f>
        <v>Not Active</v>
      </c>
      <c r="J157" s="4" t="str">
        <f>IF(COUNTIF(E157:G157,"#N/A")=3,"Not Attempted",IF(OR(ISNA(E157),ISNA(F157),ISNA(G157)),"NotCompleted","Complete"))</f>
        <v>Not Attempted</v>
      </c>
    </row>
    <row r="158" spans="1:10" ht="15.6" x14ac:dyDescent="0.3">
      <c r="A158" s="16" t="s">
        <v>7586</v>
      </c>
      <c r="B158" s="20" t="s">
        <v>6509</v>
      </c>
      <c r="C158" s="20" t="s">
        <v>7275</v>
      </c>
      <c r="D158" s="23"/>
      <c r="E158" s="6" t="e">
        <f>LOOKUP(2,1/(MCQ!C:C=B158),MCQ!H:H)</f>
        <v>#N/A</v>
      </c>
      <c r="F158" s="6" t="e">
        <f>LOOKUP(2,1/(Debugging!C:C=B158),Debugging!H:H)</f>
        <v>#N/A</v>
      </c>
      <c r="G158" s="6" t="e">
        <f>LOOKUP(2,1/(Coding!C:C=B158),Coding!H:H)</f>
        <v>#N/A</v>
      </c>
      <c r="H158" s="8" t="e">
        <f>E158+F158+G158</f>
        <v>#N/A</v>
      </c>
      <c r="I158" s="4" t="str">
        <f>IF(J158&lt;&gt;"Complete","Not Active",IF(H158&gt;=75,"Good",IF(H158&gt;=50,"Satisfactory",IF(H158&gt;=25,"Need Attention","Intervention"))))</f>
        <v>Not Active</v>
      </c>
      <c r="J158" s="4" t="str">
        <f>IF(COUNTIF(E158:G158,"#N/A")=3,"Not Attempted",IF(OR(ISNA(E158),ISNA(F158),ISNA(G158)),"NotCompleted","Complete"))</f>
        <v>Not Attempted</v>
      </c>
    </row>
    <row r="159" spans="1:10" ht="15.6" x14ac:dyDescent="0.3">
      <c r="A159" s="16" t="s">
        <v>7586</v>
      </c>
      <c r="B159" s="20" t="s">
        <v>6510</v>
      </c>
      <c r="C159" s="20" t="s">
        <v>7276</v>
      </c>
      <c r="D159" s="23"/>
      <c r="E159" s="6" t="e">
        <f>LOOKUP(2,1/(MCQ!C:C=B159),MCQ!H:H)</f>
        <v>#N/A</v>
      </c>
      <c r="F159" s="6" t="e">
        <f>LOOKUP(2,1/(Debugging!C:C=B159),Debugging!H:H)</f>
        <v>#N/A</v>
      </c>
      <c r="G159" s="6" t="e">
        <f>LOOKUP(2,1/(Coding!C:C=B159),Coding!H:H)</f>
        <v>#N/A</v>
      </c>
      <c r="H159" s="8" t="e">
        <f>E159+F159+G159</f>
        <v>#N/A</v>
      </c>
      <c r="I159" s="4" t="str">
        <f>IF(J159&lt;&gt;"Complete","Not Active",IF(H159&gt;=75,"Good",IF(H159&gt;=50,"Satisfactory",IF(H159&gt;=25,"Need Attention","Intervention"))))</f>
        <v>Not Active</v>
      </c>
      <c r="J159" s="4" t="str">
        <f>IF(COUNTIF(E159:G159,"#N/A")=3,"Not Attempted",IF(OR(ISNA(E159),ISNA(F159),ISNA(G159)),"NotCompleted","Complete"))</f>
        <v>Not Attempted</v>
      </c>
    </row>
    <row r="160" spans="1:10" ht="15.6" x14ac:dyDescent="0.3">
      <c r="A160" s="16" t="s">
        <v>7586</v>
      </c>
      <c r="B160" s="20" t="s">
        <v>6511</v>
      </c>
      <c r="C160" s="20" t="s">
        <v>7277</v>
      </c>
      <c r="D160" s="23"/>
      <c r="E160" s="6" t="e">
        <f>LOOKUP(2,1/(MCQ!C:C=B160),MCQ!H:H)</f>
        <v>#N/A</v>
      </c>
      <c r="F160" s="6" t="e">
        <f>LOOKUP(2,1/(Debugging!C:C=B160),Debugging!H:H)</f>
        <v>#N/A</v>
      </c>
      <c r="G160" s="6" t="e">
        <f>LOOKUP(2,1/(Coding!C:C=B160),Coding!H:H)</f>
        <v>#N/A</v>
      </c>
      <c r="H160" s="8" t="e">
        <f>E160+F160+G160</f>
        <v>#N/A</v>
      </c>
      <c r="I160" s="4" t="str">
        <f>IF(J160&lt;&gt;"Complete","Not Active",IF(H160&gt;=75,"Good",IF(H160&gt;=50,"Satisfactory",IF(H160&gt;=25,"Need Attention","Intervention"))))</f>
        <v>Not Active</v>
      </c>
      <c r="J160" s="4" t="str">
        <f>IF(COUNTIF(E160:G160,"#N/A")=3,"Not Attempted",IF(OR(ISNA(E160),ISNA(F160),ISNA(G160)),"NotCompleted","Complete"))</f>
        <v>Not Attempted</v>
      </c>
    </row>
    <row r="161" spans="1:10" ht="15.6" x14ac:dyDescent="0.3">
      <c r="A161" s="18" t="s">
        <v>5485</v>
      </c>
      <c r="B161" s="20" t="s">
        <v>6574</v>
      </c>
      <c r="C161" s="21" t="s">
        <v>7413</v>
      </c>
      <c r="D161" s="23"/>
      <c r="E161" s="6" t="e">
        <f>LOOKUP(2,1/(MCQ!C:C=B161),MCQ!H:H)</f>
        <v>#N/A</v>
      </c>
      <c r="F161" s="6" t="e">
        <f>LOOKUP(2,1/(Debugging!C:C=B161),Debugging!H:H)</f>
        <v>#N/A</v>
      </c>
      <c r="G161" s="6" t="e">
        <f>LOOKUP(2,1/(Coding!C:C=B161),Coding!H:H)</f>
        <v>#N/A</v>
      </c>
      <c r="H161" s="8" t="e">
        <f>E161+F161+G161</f>
        <v>#N/A</v>
      </c>
      <c r="I161" s="4" t="str">
        <f>IF(J161&lt;&gt;"Complete","Not Active",IF(H161&gt;=75,"Good",IF(H161&gt;=50,"Satisfactory",IF(H161&gt;=25,"Need Attention","Intervention"))))</f>
        <v>Not Active</v>
      </c>
      <c r="J161" s="4" t="str">
        <f>IF(COUNTIF(E161:G161,"#N/A")=3,"Not Attempted",IF(OR(ISNA(E161),ISNA(F161),ISNA(G161)),"NotCompleted","Complete"))</f>
        <v>Not Attempted</v>
      </c>
    </row>
    <row r="162" spans="1:10" ht="15.6" x14ac:dyDescent="0.3">
      <c r="A162" s="18" t="s">
        <v>5485</v>
      </c>
      <c r="B162" s="20" t="s">
        <v>6575</v>
      </c>
      <c r="C162" s="21" t="s">
        <v>7498</v>
      </c>
      <c r="D162" s="23"/>
      <c r="E162" s="6" t="e">
        <f>LOOKUP(2,1/(MCQ!C:C=B162),MCQ!H:H)</f>
        <v>#N/A</v>
      </c>
      <c r="F162" s="6" t="e">
        <f>LOOKUP(2,1/(Debugging!C:C=B162),Debugging!H:H)</f>
        <v>#N/A</v>
      </c>
      <c r="G162" s="6" t="e">
        <f>LOOKUP(2,1/(Coding!C:C=B162),Coding!H:H)</f>
        <v>#N/A</v>
      </c>
      <c r="H162" s="8" t="e">
        <f>E162+F162+G162</f>
        <v>#N/A</v>
      </c>
      <c r="I162" s="4" t="str">
        <f>IF(J162&lt;&gt;"Complete","Not Active",IF(H162&gt;=75,"Good",IF(H162&gt;=50,"Satisfactory",IF(H162&gt;=25,"Need Attention","Intervention"))))</f>
        <v>Not Active</v>
      </c>
      <c r="J162" s="4" t="str">
        <f>IF(COUNTIF(E162:G162,"#N/A")=3,"Not Attempted",IF(OR(ISNA(E162),ISNA(F162),ISNA(G162)),"NotCompleted","Complete"))</f>
        <v>Not Attempted</v>
      </c>
    </row>
    <row r="163" spans="1:10" ht="15.6" x14ac:dyDescent="0.3">
      <c r="A163" s="18" t="s">
        <v>5485</v>
      </c>
      <c r="B163" s="20" t="s">
        <v>6576</v>
      </c>
      <c r="C163" s="21" t="s">
        <v>7499</v>
      </c>
      <c r="D163" s="23"/>
      <c r="E163" s="6" t="e">
        <f>LOOKUP(2,1/(MCQ!C:C=B163),MCQ!H:H)</f>
        <v>#N/A</v>
      </c>
      <c r="F163" s="6" t="e">
        <f>LOOKUP(2,1/(Debugging!C:C=B163),Debugging!H:H)</f>
        <v>#N/A</v>
      </c>
      <c r="G163" s="6" t="e">
        <f>LOOKUP(2,1/(Coding!C:C=B163),Coding!H:H)</f>
        <v>#N/A</v>
      </c>
      <c r="H163" s="8" t="e">
        <f>E163+F163+G163</f>
        <v>#N/A</v>
      </c>
      <c r="I163" s="4" t="str">
        <f>IF(J163&lt;&gt;"Complete","Not Active",IF(H163&gt;=75,"Good",IF(H163&gt;=50,"Satisfactory",IF(H163&gt;=25,"Need Attention","Intervention"))))</f>
        <v>Not Active</v>
      </c>
      <c r="J163" s="4" t="str">
        <f>IF(COUNTIF(E163:G163,"#N/A")=3,"Not Attempted",IF(OR(ISNA(E163),ISNA(F163),ISNA(G163)),"NotCompleted","Complete"))</f>
        <v>Not Attempted</v>
      </c>
    </row>
    <row r="164" spans="1:10" ht="15.6" x14ac:dyDescent="0.3">
      <c r="A164" s="16" t="s">
        <v>5486</v>
      </c>
      <c r="B164" s="20" t="s">
        <v>294</v>
      </c>
      <c r="C164" s="20" t="s">
        <v>7129</v>
      </c>
      <c r="D164" s="2" t="s">
        <v>1095</v>
      </c>
      <c r="E164" s="6" t="str">
        <f>LOOKUP(2,1/(MCQ!C:C=B164),MCQ!H:H)</f>
        <v>13.00</v>
      </c>
      <c r="F164" s="6" t="str">
        <f>LOOKUP(2,1/(Debugging!C:C=B164),Debugging!H:H)</f>
        <v>18.00</v>
      </c>
      <c r="G164" s="6" t="e">
        <f>LOOKUP(2,1/(Coding!C:C=B164),Coding!H:H)</f>
        <v>#N/A</v>
      </c>
      <c r="H164" s="8" t="e">
        <f>E164+F164+G164</f>
        <v>#N/A</v>
      </c>
      <c r="I164" s="4" t="str">
        <f>IF(J164&lt;&gt;"Complete","Not Active",IF(H164&gt;=75,"Good",IF(H164&gt;=50,"Satisfactory",IF(H164&gt;=25,"Need Attention","Intervention"))))</f>
        <v>Not Active</v>
      </c>
      <c r="J164" s="4" t="str">
        <f>IF(COUNTIF(E164:G164,"#N/A")=3,"Not Attempted",IF(OR(ISNA(E164),ISNA(F164),ISNA(G164)),"NotCompleted","Complete"))</f>
        <v>NotCompleted</v>
      </c>
    </row>
    <row r="165" spans="1:10" ht="15.6" x14ac:dyDescent="0.3">
      <c r="A165" s="16" t="s">
        <v>5486</v>
      </c>
      <c r="B165" s="20" t="s">
        <v>296</v>
      </c>
      <c r="C165" s="20" t="s">
        <v>7130</v>
      </c>
      <c r="D165" s="2" t="s">
        <v>8</v>
      </c>
      <c r="E165" s="6" t="str">
        <f>LOOKUP(2,1/(MCQ!C:C=B165),MCQ!H:H)</f>
        <v>22.00</v>
      </c>
      <c r="F165" s="6" t="str">
        <f>LOOKUP(2,1/(Debugging!C:C=B165),Debugging!H:H)</f>
        <v>36.00</v>
      </c>
      <c r="G165" s="6" t="str">
        <f>LOOKUP(2,1/(Coding!C:C=B165),Coding!H:H)</f>
        <v>25.00</v>
      </c>
      <c r="H165" s="8">
        <f>E165+F165+G165</f>
        <v>83</v>
      </c>
      <c r="I165" s="4" t="str">
        <f>IF(J165&lt;&gt;"Complete","Not Active",IF(H165&gt;=75,"Good",IF(H165&gt;=50,"Satisfactory",IF(H165&gt;=25,"Need Attention","Intervention"))))</f>
        <v>Good</v>
      </c>
      <c r="J165" s="4" t="str">
        <f>IF(COUNTIF(E165:G165,"#N/A")=3,"Not Attempted",IF(OR(ISNA(E165),ISNA(F165),ISNA(G165)),"NotCompleted","Complete"))</f>
        <v>Complete</v>
      </c>
    </row>
    <row r="166" spans="1:10" ht="15.6" x14ac:dyDescent="0.3">
      <c r="A166" s="16" t="s">
        <v>5486</v>
      </c>
      <c r="B166" s="20" t="s">
        <v>298</v>
      </c>
      <c r="C166" s="20" t="s">
        <v>7131</v>
      </c>
      <c r="D166" s="2" t="s">
        <v>8</v>
      </c>
      <c r="E166" s="6" t="str">
        <f>LOOKUP(2,1/(MCQ!C:C=B166),MCQ!H:H)</f>
        <v>1.00</v>
      </c>
      <c r="F166" s="6" t="str">
        <f>LOOKUP(2,1/(Debugging!C:C=B166),Debugging!H:H)</f>
        <v>25.00</v>
      </c>
      <c r="G166" s="6" t="str">
        <f>LOOKUP(2,1/(Coding!C:C=B166),Coding!H:H)</f>
        <v>22.00</v>
      </c>
      <c r="H166" s="8">
        <f>E166+F166+G166</f>
        <v>48</v>
      </c>
      <c r="I166" s="4" t="str">
        <f>IF(J166&lt;&gt;"Complete","Not Active",IF(H166&gt;=75,"Good",IF(H166&gt;=50,"Satisfactory",IF(H166&gt;=25,"Need Attention","Intervention"))))</f>
        <v>Need Attention</v>
      </c>
      <c r="J166" s="4" t="str">
        <f>IF(COUNTIF(E166:G166,"#N/A")=3,"Not Attempted",IF(OR(ISNA(E166),ISNA(F166),ISNA(G166)),"NotCompleted","Complete"))</f>
        <v>Complete</v>
      </c>
    </row>
    <row r="167" spans="1:10" ht="15.6" x14ac:dyDescent="0.3">
      <c r="A167" s="16" t="s">
        <v>5486</v>
      </c>
      <c r="B167" s="20" t="s">
        <v>300</v>
      </c>
      <c r="C167" s="20" t="s">
        <v>7132</v>
      </c>
      <c r="D167" s="2" t="s">
        <v>28</v>
      </c>
      <c r="E167" s="6" t="str">
        <f>LOOKUP(2,1/(MCQ!C:C=B167),MCQ!H:H)</f>
        <v>22.00</v>
      </c>
      <c r="F167" s="6" t="str">
        <f>LOOKUP(2,1/(Debugging!C:C=B167),Debugging!H:H)</f>
        <v>32.00</v>
      </c>
      <c r="G167" s="6" t="str">
        <f>LOOKUP(2,1/(Coding!C:C=B167),Coding!H:H)</f>
        <v>25.00</v>
      </c>
      <c r="H167" s="8">
        <f>E167+F167+G167</f>
        <v>79</v>
      </c>
      <c r="I167" s="4" t="str">
        <f>IF(J167&lt;&gt;"Complete","Not Active",IF(H167&gt;=75,"Good",IF(H167&gt;=50,"Satisfactory",IF(H167&gt;=25,"Need Attention","Intervention"))))</f>
        <v>Good</v>
      </c>
      <c r="J167" s="4" t="str">
        <f>IF(COUNTIF(E167:G167,"#N/A")=3,"Not Attempted",IF(OR(ISNA(E167),ISNA(F167),ISNA(G167)),"NotCompleted","Complete"))</f>
        <v>Complete</v>
      </c>
    </row>
    <row r="168" spans="1:10" ht="15.6" x14ac:dyDescent="0.3">
      <c r="A168" s="16" t="s">
        <v>5486</v>
      </c>
      <c r="B168" s="20" t="s">
        <v>302</v>
      </c>
      <c r="C168" s="20" t="s">
        <v>7133</v>
      </c>
      <c r="D168" s="2" t="s">
        <v>133</v>
      </c>
      <c r="E168" s="6" t="str">
        <f>LOOKUP(2,1/(MCQ!C:C=B168),MCQ!H:H)</f>
        <v>19.00</v>
      </c>
      <c r="F168" s="6" t="str">
        <f>LOOKUP(2,1/(Debugging!C:C=B168),Debugging!H:H)</f>
        <v>18.00</v>
      </c>
      <c r="G168" s="6" t="str">
        <f>LOOKUP(2,1/(Coding!C:C=B168),Coding!H:H)</f>
        <v>25.00</v>
      </c>
      <c r="H168" s="8">
        <f>E168+F168+G168</f>
        <v>62</v>
      </c>
      <c r="I168" s="4" t="str">
        <f>IF(J168&lt;&gt;"Complete","Not Active",IF(H168&gt;=75,"Good",IF(H168&gt;=50,"Satisfactory",IF(H168&gt;=25,"Need Attention","Intervention"))))</f>
        <v>Satisfactory</v>
      </c>
      <c r="J168" s="4" t="str">
        <f>IF(COUNTIF(E168:G168,"#N/A")=3,"Not Attempted",IF(OR(ISNA(E168),ISNA(F168),ISNA(G168)),"NotCompleted","Complete"))</f>
        <v>Complete</v>
      </c>
    </row>
    <row r="169" spans="1:10" ht="15.6" x14ac:dyDescent="0.3">
      <c r="A169" s="16" t="s">
        <v>5486</v>
      </c>
      <c r="B169" s="20" t="s">
        <v>305</v>
      </c>
      <c r="C169" s="20" t="s">
        <v>7038</v>
      </c>
      <c r="D169" s="2" t="s">
        <v>1106</v>
      </c>
      <c r="E169" s="6" t="str">
        <f>LOOKUP(2,1/(MCQ!C:C=B169),MCQ!H:H)</f>
        <v>24.00</v>
      </c>
      <c r="F169" s="6" t="str">
        <f>LOOKUP(2,1/(Debugging!C:C=B169),Debugging!H:H)</f>
        <v>44.00</v>
      </c>
      <c r="G169" s="6" t="str">
        <f>LOOKUP(2,1/(Coding!C:C=B169),Coding!H:H)</f>
        <v>23.50</v>
      </c>
      <c r="H169" s="8">
        <f>E169+F169+G169</f>
        <v>91.5</v>
      </c>
      <c r="I169" s="4" t="str">
        <f>IF(J169&lt;&gt;"Complete","Not Active",IF(H169&gt;=75,"Good",IF(H169&gt;=50,"Satisfactory",IF(H169&gt;=25,"Need Attention","Intervention"))))</f>
        <v>Good</v>
      </c>
      <c r="J169" s="4" t="str">
        <f>IF(COUNTIF(E169:G169,"#N/A")=3,"Not Attempted",IF(OR(ISNA(E169),ISNA(F169),ISNA(G169)),"NotCompleted","Complete"))</f>
        <v>Complete</v>
      </c>
    </row>
    <row r="170" spans="1:10" ht="15.6" x14ac:dyDescent="0.3">
      <c r="A170" s="16" t="s">
        <v>5486</v>
      </c>
      <c r="B170" s="20" t="s">
        <v>306</v>
      </c>
      <c r="C170" s="20" t="s">
        <v>7134</v>
      </c>
      <c r="D170" s="2" t="s">
        <v>42</v>
      </c>
      <c r="E170" s="6" t="str">
        <f>LOOKUP(2,1/(MCQ!C:C=B170),MCQ!H:H)</f>
        <v>24.00</v>
      </c>
      <c r="F170" s="6" t="e">
        <f>LOOKUP(2,1/(Debugging!C:C=B170),Debugging!H:H)</f>
        <v>#N/A</v>
      </c>
      <c r="G170" s="6" t="str">
        <f>LOOKUP(2,1/(Coding!C:C=B170),Coding!H:H)</f>
        <v>22.00</v>
      </c>
      <c r="H170" s="8" t="e">
        <f>E170+F170+G170</f>
        <v>#N/A</v>
      </c>
      <c r="I170" s="4" t="str">
        <f>IF(J170&lt;&gt;"Complete","Not Active",IF(H170&gt;=75,"Good",IF(H170&gt;=50,"Satisfactory",IF(H170&gt;=25,"Need Attention","Intervention"))))</f>
        <v>Not Active</v>
      </c>
      <c r="J170" s="4" t="str">
        <f>IF(COUNTIF(E170:G170,"#N/A")=3,"Not Attempted",IF(OR(ISNA(E170),ISNA(F170),ISNA(G170)),"NotCompleted","Complete"))</f>
        <v>NotCompleted</v>
      </c>
    </row>
    <row r="171" spans="1:10" ht="15.6" x14ac:dyDescent="0.3">
      <c r="A171" s="16" t="s">
        <v>5486</v>
      </c>
      <c r="B171" s="20" t="s">
        <v>308</v>
      </c>
      <c r="C171" s="20" t="s">
        <v>7135</v>
      </c>
      <c r="D171" s="2" t="s">
        <v>133</v>
      </c>
      <c r="E171" s="6" t="str">
        <f>LOOKUP(2,1/(MCQ!C:C=B171),MCQ!H:H)</f>
        <v>25.00</v>
      </c>
      <c r="F171" s="6" t="e">
        <f>LOOKUP(2,1/(Debugging!C:C=B171),Debugging!H:H)</f>
        <v>#N/A</v>
      </c>
      <c r="G171" s="6" t="str">
        <f>LOOKUP(2,1/(Coding!C:C=B171),Coding!H:H)</f>
        <v>25.00</v>
      </c>
      <c r="H171" s="8" t="e">
        <f>E171+F171+G171</f>
        <v>#N/A</v>
      </c>
      <c r="I171" s="4" t="str">
        <f>IF(J171&lt;&gt;"Complete","Not Active",IF(H171&gt;=75,"Good",IF(H171&gt;=50,"Satisfactory",IF(H171&gt;=25,"Need Attention","Intervention"))))</f>
        <v>Not Active</v>
      </c>
      <c r="J171" s="4" t="str">
        <f>IF(COUNTIF(E171:G171,"#N/A")=3,"Not Attempted",IF(OR(ISNA(E171),ISNA(F171),ISNA(G171)),"NotCompleted","Complete"))</f>
        <v>NotCompleted</v>
      </c>
    </row>
    <row r="172" spans="1:10" ht="15.6" x14ac:dyDescent="0.3">
      <c r="A172" s="16" t="s">
        <v>5486</v>
      </c>
      <c r="B172" s="20" t="s">
        <v>310</v>
      </c>
      <c r="C172" s="20" t="s">
        <v>7136</v>
      </c>
      <c r="D172" s="2" t="s">
        <v>31</v>
      </c>
      <c r="E172" s="6" t="str">
        <f>LOOKUP(2,1/(MCQ!C:C=B172),MCQ!H:H)</f>
        <v>22.00</v>
      </c>
      <c r="F172" s="6" t="str">
        <f>LOOKUP(2,1/(Debugging!C:C=B172),Debugging!H:H)</f>
        <v>14.00</v>
      </c>
      <c r="G172" s="6" t="str">
        <f>LOOKUP(2,1/(Coding!C:C=B172),Coding!H:H)</f>
        <v>25.00</v>
      </c>
      <c r="H172" s="8">
        <f>E172+F172+G172</f>
        <v>61</v>
      </c>
      <c r="I172" s="4" t="str">
        <f>IF(J172&lt;&gt;"Complete","Not Active",IF(H172&gt;=75,"Good",IF(H172&gt;=50,"Satisfactory",IF(H172&gt;=25,"Need Attention","Intervention"))))</f>
        <v>Satisfactory</v>
      </c>
      <c r="J172" s="4" t="str">
        <f>IF(COUNTIF(E172:G172,"#N/A")=3,"Not Attempted",IF(OR(ISNA(E172),ISNA(F172),ISNA(G172)),"NotCompleted","Complete"))</f>
        <v>Complete</v>
      </c>
    </row>
    <row r="173" spans="1:10" ht="15.6" x14ac:dyDescent="0.3">
      <c r="A173" s="16" t="s">
        <v>5486</v>
      </c>
      <c r="B173" s="20" t="s">
        <v>313</v>
      </c>
      <c r="C173" s="20" t="s">
        <v>7137</v>
      </c>
      <c r="D173" s="2" t="s">
        <v>42</v>
      </c>
      <c r="E173" s="6" t="str">
        <f>LOOKUP(2,1/(MCQ!C:C=B173),MCQ!H:H)</f>
        <v>20.00</v>
      </c>
      <c r="F173" s="6" t="str">
        <f>LOOKUP(2,1/(Debugging!C:C=B173),Debugging!H:H)</f>
        <v>31.00</v>
      </c>
      <c r="G173" s="6" t="str">
        <f>LOOKUP(2,1/(Coding!C:C=B173),Coding!H:H)</f>
        <v>25.00</v>
      </c>
      <c r="H173" s="8">
        <f>E173+F173+G173</f>
        <v>76</v>
      </c>
      <c r="I173" s="4" t="str">
        <f>IF(J173&lt;&gt;"Complete","Not Active",IF(H173&gt;=75,"Good",IF(H173&gt;=50,"Satisfactory",IF(H173&gt;=25,"Need Attention","Intervention"))))</f>
        <v>Good</v>
      </c>
      <c r="J173" s="4" t="str">
        <f>IF(COUNTIF(E173:G173,"#N/A")=3,"Not Attempted",IF(OR(ISNA(E173),ISNA(F173),ISNA(G173)),"NotCompleted","Complete"))</f>
        <v>Complete</v>
      </c>
    </row>
    <row r="174" spans="1:10" ht="15.6" x14ac:dyDescent="0.3">
      <c r="A174" s="16" t="s">
        <v>5486</v>
      </c>
      <c r="B174" s="20" t="s">
        <v>315</v>
      </c>
      <c r="C174" s="20" t="s">
        <v>7138</v>
      </c>
      <c r="D174" s="2" t="s">
        <v>25</v>
      </c>
      <c r="E174" s="6" t="str">
        <f>LOOKUP(2,1/(MCQ!C:C=B174),MCQ!H:H)</f>
        <v>10.00</v>
      </c>
      <c r="F174" s="6" t="e">
        <f>LOOKUP(2,1/(Debugging!C:C=B174),Debugging!H:H)</f>
        <v>#N/A</v>
      </c>
      <c r="G174" s="6" t="e">
        <f>LOOKUP(2,1/(Coding!C:C=B174),Coding!H:H)</f>
        <v>#N/A</v>
      </c>
      <c r="H174" s="8" t="e">
        <f>E174+F174+G174</f>
        <v>#N/A</v>
      </c>
      <c r="I174" s="4" t="str">
        <f>IF(J174&lt;&gt;"Complete","Not Active",IF(H174&gt;=75,"Good",IF(H174&gt;=50,"Satisfactory",IF(H174&gt;=25,"Need Attention","Intervention"))))</f>
        <v>Not Active</v>
      </c>
      <c r="J174" s="4" t="str">
        <f>IF(COUNTIF(E174:G174,"#N/A")=3,"Not Attempted",IF(OR(ISNA(E174),ISNA(F174),ISNA(G174)),"NotCompleted","Complete"))</f>
        <v>NotCompleted</v>
      </c>
    </row>
    <row r="175" spans="1:10" ht="15.6" x14ac:dyDescent="0.3">
      <c r="A175" s="16" t="s">
        <v>5486</v>
      </c>
      <c r="B175" s="20" t="s">
        <v>318</v>
      </c>
      <c r="C175" s="20" t="s">
        <v>7139</v>
      </c>
      <c r="D175" s="2" t="s">
        <v>25</v>
      </c>
      <c r="E175" s="6" t="str">
        <f>LOOKUP(2,1/(MCQ!C:C=B175),MCQ!H:H)</f>
        <v>25.00</v>
      </c>
      <c r="F175" s="6" t="str">
        <f>LOOKUP(2,1/(Debugging!C:C=B175),Debugging!H:H)</f>
        <v>48.00</v>
      </c>
      <c r="G175" s="6" t="str">
        <f>LOOKUP(2,1/(Coding!C:C=B175),Coding!H:H)</f>
        <v>25.00</v>
      </c>
      <c r="H175" s="8">
        <f>E175+F175+G175</f>
        <v>98</v>
      </c>
      <c r="I175" s="4" t="str">
        <f>IF(J175&lt;&gt;"Complete","Not Active",IF(H175&gt;=75,"Good",IF(H175&gt;=50,"Satisfactory",IF(H175&gt;=25,"Need Attention","Intervention"))))</f>
        <v>Good</v>
      </c>
      <c r="J175" s="4" t="str">
        <f>IF(COUNTIF(E175:G175,"#N/A")=3,"Not Attempted",IF(OR(ISNA(E175),ISNA(F175),ISNA(G175)),"NotCompleted","Complete"))</f>
        <v>Complete</v>
      </c>
    </row>
    <row r="176" spans="1:10" ht="15.6" x14ac:dyDescent="0.3">
      <c r="A176" s="16" t="s">
        <v>5486</v>
      </c>
      <c r="B176" s="20" t="s">
        <v>320</v>
      </c>
      <c r="C176" s="20" t="s">
        <v>7140</v>
      </c>
      <c r="D176" s="2" t="s">
        <v>8</v>
      </c>
      <c r="E176" s="6" t="str">
        <f>LOOKUP(2,1/(MCQ!C:C=B176),MCQ!H:H)</f>
        <v>25.00</v>
      </c>
      <c r="F176" s="6" t="str">
        <f>LOOKUP(2,1/(Debugging!C:C=B176),Debugging!H:H)</f>
        <v>49.00</v>
      </c>
      <c r="G176" s="6" t="str">
        <f>LOOKUP(2,1/(Coding!C:C=B176),Coding!H:H)</f>
        <v>25.00</v>
      </c>
      <c r="H176" s="8">
        <f>E176+F176+G176</f>
        <v>99</v>
      </c>
      <c r="I176" s="4" t="str">
        <f>IF(J176&lt;&gt;"Complete","Not Active",IF(H176&gt;=75,"Good",IF(H176&gt;=50,"Satisfactory",IF(H176&gt;=25,"Need Attention","Intervention"))))</f>
        <v>Good</v>
      </c>
      <c r="J176" s="4" t="str">
        <f>IF(COUNTIF(E176:G176,"#N/A")=3,"Not Attempted",IF(OR(ISNA(E176),ISNA(F176),ISNA(G176)),"NotCompleted","Complete"))</f>
        <v>Complete</v>
      </c>
    </row>
    <row r="177" spans="1:10" ht="15.6" x14ac:dyDescent="0.3">
      <c r="A177" s="16" t="s">
        <v>5486</v>
      </c>
      <c r="B177" s="20" t="s">
        <v>323</v>
      </c>
      <c r="C177" s="20" t="s">
        <v>7141</v>
      </c>
      <c r="D177" s="2" t="s">
        <v>49</v>
      </c>
      <c r="E177" s="6" t="str">
        <f>LOOKUP(2,1/(MCQ!C:C=B177),MCQ!H:H)</f>
        <v>20.00</v>
      </c>
      <c r="F177" s="6" t="e">
        <f>LOOKUP(2,1/(Debugging!C:C=B177),Debugging!H:H)</f>
        <v>#N/A</v>
      </c>
      <c r="G177" s="6" t="str">
        <f>LOOKUP(2,1/(Coding!C:C=B177),Coding!H:H)</f>
        <v>23.50</v>
      </c>
      <c r="H177" s="8" t="e">
        <f>E177+F177+G177</f>
        <v>#N/A</v>
      </c>
      <c r="I177" s="4" t="str">
        <f>IF(J177&lt;&gt;"Complete","Not Active",IF(H177&gt;=75,"Good",IF(H177&gt;=50,"Satisfactory",IF(H177&gt;=25,"Need Attention","Intervention"))))</f>
        <v>Not Active</v>
      </c>
      <c r="J177" s="4" t="str">
        <f>IF(COUNTIF(E177:G177,"#N/A")=3,"Not Attempted",IF(OR(ISNA(E177),ISNA(F177),ISNA(G177)),"NotCompleted","Complete"))</f>
        <v>NotCompleted</v>
      </c>
    </row>
    <row r="178" spans="1:10" ht="15.6" x14ac:dyDescent="0.3">
      <c r="A178" s="16" t="s">
        <v>5486</v>
      </c>
      <c r="B178" s="20" t="s">
        <v>326</v>
      </c>
      <c r="C178" s="20" t="s">
        <v>7142</v>
      </c>
      <c r="D178" s="2" t="s">
        <v>31</v>
      </c>
      <c r="E178" s="6" t="str">
        <f>LOOKUP(2,1/(MCQ!C:C=B178),MCQ!H:H)</f>
        <v>23.00</v>
      </c>
      <c r="F178" s="6" t="str">
        <f>LOOKUP(2,1/(Debugging!C:C=B178),Debugging!H:H)</f>
        <v>40.00</v>
      </c>
      <c r="G178" s="6" t="str">
        <f>LOOKUP(2,1/(Coding!C:C=B178),Coding!H:H)</f>
        <v>25.00</v>
      </c>
      <c r="H178" s="8">
        <f>E178+F178+G178</f>
        <v>88</v>
      </c>
      <c r="I178" s="4" t="str">
        <f>IF(J178&lt;&gt;"Complete","Not Active",IF(H178&gt;=75,"Good",IF(H178&gt;=50,"Satisfactory",IF(H178&gt;=25,"Need Attention","Intervention"))))</f>
        <v>Good</v>
      </c>
      <c r="J178" s="4" t="str">
        <f>IF(COUNTIF(E178:G178,"#N/A")=3,"Not Attempted",IF(OR(ISNA(E178),ISNA(F178),ISNA(G178)),"NotCompleted","Complete"))</f>
        <v>Complete</v>
      </c>
    </row>
    <row r="179" spans="1:10" ht="15.6" x14ac:dyDescent="0.3">
      <c r="A179" s="16" t="s">
        <v>5486</v>
      </c>
      <c r="B179" s="20" t="s">
        <v>328</v>
      </c>
      <c r="C179" s="20" t="s">
        <v>7143</v>
      </c>
      <c r="D179" s="2" t="s">
        <v>1127</v>
      </c>
      <c r="E179" s="6" t="str">
        <f>LOOKUP(2,1/(MCQ!C:C=B179),MCQ!H:H)</f>
        <v>22.00</v>
      </c>
      <c r="F179" s="6" t="str">
        <f>LOOKUP(2,1/(Debugging!C:C=B179),Debugging!H:H)</f>
        <v>34.00</v>
      </c>
      <c r="G179" s="6" t="str">
        <f>LOOKUP(2,1/(Coding!C:C=B179),Coding!H:H)</f>
        <v>25.00</v>
      </c>
      <c r="H179" s="8">
        <f>E179+F179+G179</f>
        <v>81</v>
      </c>
      <c r="I179" s="4" t="str">
        <f>IF(J179&lt;&gt;"Complete","Not Active",IF(H179&gt;=75,"Good",IF(H179&gt;=50,"Satisfactory",IF(H179&gt;=25,"Need Attention","Intervention"))))</f>
        <v>Good</v>
      </c>
      <c r="J179" s="4" t="str">
        <f>IF(COUNTIF(E179:G179,"#N/A")=3,"Not Attempted",IF(OR(ISNA(E179),ISNA(F179),ISNA(G179)),"NotCompleted","Complete"))</f>
        <v>Complete</v>
      </c>
    </row>
    <row r="180" spans="1:10" ht="15.6" x14ac:dyDescent="0.3">
      <c r="A180" s="16" t="s">
        <v>5486</v>
      </c>
      <c r="B180" s="20" t="s">
        <v>330</v>
      </c>
      <c r="C180" s="20" t="s">
        <v>7144</v>
      </c>
      <c r="D180" s="2" t="s">
        <v>8</v>
      </c>
      <c r="E180" s="6" t="str">
        <f>LOOKUP(2,1/(MCQ!C:C=B180),MCQ!H:H)</f>
        <v>22.00</v>
      </c>
      <c r="F180" s="6" t="str">
        <f>LOOKUP(2,1/(Debugging!C:C=B180),Debugging!H:H)</f>
        <v>48.00</v>
      </c>
      <c r="G180" s="6" t="str">
        <f>LOOKUP(2,1/(Coding!C:C=B180),Coding!H:H)</f>
        <v>10.00</v>
      </c>
      <c r="H180" s="8">
        <f>E180+F180+G180</f>
        <v>80</v>
      </c>
      <c r="I180" s="4" t="str">
        <f>IF(J180&lt;&gt;"Complete","Not Active",IF(H180&gt;=75,"Good",IF(H180&gt;=50,"Satisfactory",IF(H180&gt;=25,"Need Attention","Intervention"))))</f>
        <v>Good</v>
      </c>
      <c r="J180" s="4" t="str">
        <f>IF(COUNTIF(E180:G180,"#N/A")=3,"Not Attempted",IF(OR(ISNA(E180),ISNA(F180),ISNA(G180)),"NotCompleted","Complete"))</f>
        <v>Complete</v>
      </c>
    </row>
    <row r="181" spans="1:10" ht="15.6" x14ac:dyDescent="0.3">
      <c r="A181" s="16" t="s">
        <v>5486</v>
      </c>
      <c r="B181" s="20" t="s">
        <v>332</v>
      </c>
      <c r="C181" s="20" t="s">
        <v>7145</v>
      </c>
      <c r="D181" s="2" t="s">
        <v>126</v>
      </c>
      <c r="E181" s="6" t="str">
        <f>LOOKUP(2,1/(MCQ!C:C=B181),MCQ!H:H)</f>
        <v>22.00</v>
      </c>
      <c r="F181" s="6" t="str">
        <f>LOOKUP(2,1/(Debugging!C:C=B181),Debugging!H:H)</f>
        <v>28.00</v>
      </c>
      <c r="G181" s="6" t="str">
        <f>LOOKUP(2,1/(Coding!C:C=B181),Coding!H:H)</f>
        <v>25.00</v>
      </c>
      <c r="H181" s="8">
        <f>E181+F181+G181</f>
        <v>75</v>
      </c>
      <c r="I181" s="4" t="str">
        <f>IF(J181&lt;&gt;"Complete","Not Active",IF(H181&gt;=75,"Good",IF(H181&gt;=50,"Satisfactory",IF(H181&gt;=25,"Need Attention","Intervention"))))</f>
        <v>Good</v>
      </c>
      <c r="J181" s="4" t="str">
        <f>IF(COUNTIF(E181:G181,"#N/A")=3,"Not Attempted",IF(OR(ISNA(E181),ISNA(F181),ISNA(G181)),"NotCompleted","Complete"))</f>
        <v>Complete</v>
      </c>
    </row>
    <row r="182" spans="1:10" ht="15.6" x14ac:dyDescent="0.3">
      <c r="A182" s="16" t="s">
        <v>5486</v>
      </c>
      <c r="B182" s="20" t="s">
        <v>333</v>
      </c>
      <c r="C182" s="20" t="s">
        <v>7146</v>
      </c>
      <c r="D182" s="2" t="s">
        <v>1134</v>
      </c>
      <c r="E182" s="6" t="str">
        <f>LOOKUP(2,1/(MCQ!C:C=B182),MCQ!H:H)</f>
        <v>15.00</v>
      </c>
      <c r="F182" s="6" t="str">
        <f>LOOKUP(2,1/(Debugging!C:C=B182),Debugging!H:H)</f>
        <v>32.00</v>
      </c>
      <c r="G182" s="6" t="str">
        <f>LOOKUP(2,1/(Coding!C:C=B182),Coding!H:H)</f>
        <v>7.50</v>
      </c>
      <c r="H182" s="8">
        <f>E182+F182+G182</f>
        <v>54.5</v>
      </c>
      <c r="I182" s="4" t="str">
        <f>IF(J182&lt;&gt;"Complete","Not Active",IF(H182&gt;=75,"Good",IF(H182&gt;=50,"Satisfactory",IF(H182&gt;=25,"Need Attention","Intervention"))))</f>
        <v>Satisfactory</v>
      </c>
      <c r="J182" s="4" t="str">
        <f>IF(COUNTIF(E182:G182,"#N/A")=3,"Not Attempted",IF(OR(ISNA(E182),ISNA(F182),ISNA(G182)),"NotCompleted","Complete"))</f>
        <v>Complete</v>
      </c>
    </row>
    <row r="183" spans="1:10" ht="15.6" x14ac:dyDescent="0.3">
      <c r="A183" s="16" t="s">
        <v>5486</v>
      </c>
      <c r="B183" s="20" t="s">
        <v>334</v>
      </c>
      <c r="C183" s="20" t="s">
        <v>7147</v>
      </c>
      <c r="D183" s="2" t="s">
        <v>939</v>
      </c>
      <c r="E183" s="6" t="str">
        <f>LOOKUP(2,1/(MCQ!C:C=B183),MCQ!H:H)</f>
        <v>12.00</v>
      </c>
      <c r="F183" s="6" t="str">
        <f>LOOKUP(2,1/(Debugging!C:C=B183),Debugging!H:H)</f>
        <v>0.00</v>
      </c>
      <c r="G183" s="6" t="e">
        <f>LOOKUP(2,1/(Coding!C:C=B183),Coding!H:H)</f>
        <v>#N/A</v>
      </c>
      <c r="H183" s="8" t="e">
        <f>E183+F183+G183</f>
        <v>#N/A</v>
      </c>
      <c r="I183" s="4" t="str">
        <f>IF(J183&lt;&gt;"Complete","Not Active",IF(H183&gt;=75,"Good",IF(H183&gt;=50,"Satisfactory",IF(H183&gt;=25,"Need Attention","Intervention"))))</f>
        <v>Not Active</v>
      </c>
      <c r="J183" s="4" t="str">
        <f>IF(COUNTIF(E183:G183,"#N/A")=3,"Not Attempted",IF(OR(ISNA(E183),ISNA(F183),ISNA(G183)),"NotCompleted","Complete"))</f>
        <v>NotCompleted</v>
      </c>
    </row>
    <row r="184" spans="1:10" ht="15.6" x14ac:dyDescent="0.3">
      <c r="A184" s="16" t="s">
        <v>5486</v>
      </c>
      <c r="B184" s="20" t="s">
        <v>335</v>
      </c>
      <c r="C184" s="20" t="s">
        <v>7148</v>
      </c>
      <c r="D184" s="2" t="s">
        <v>8</v>
      </c>
      <c r="E184" s="6" t="str">
        <f>LOOKUP(2,1/(MCQ!C:C=B184),MCQ!H:H)</f>
        <v>24.00</v>
      </c>
      <c r="F184" s="6" t="str">
        <f>LOOKUP(2,1/(Debugging!C:C=B184),Debugging!H:H)</f>
        <v>42.00</v>
      </c>
      <c r="G184" s="6" t="str">
        <f>LOOKUP(2,1/(Coding!C:C=B184),Coding!H:H)</f>
        <v>25.00</v>
      </c>
      <c r="H184" s="8">
        <f>E184+F184+G184</f>
        <v>91</v>
      </c>
      <c r="I184" s="4" t="str">
        <f>IF(J184&lt;&gt;"Complete","Not Active",IF(H184&gt;=75,"Good",IF(H184&gt;=50,"Satisfactory",IF(H184&gt;=25,"Need Attention","Intervention"))))</f>
        <v>Good</v>
      </c>
      <c r="J184" s="4" t="str">
        <f>IF(COUNTIF(E184:G184,"#N/A")=3,"Not Attempted",IF(OR(ISNA(E184),ISNA(F184),ISNA(G184)),"NotCompleted","Complete"))</f>
        <v>Complete</v>
      </c>
    </row>
    <row r="185" spans="1:10" ht="15.6" x14ac:dyDescent="0.3">
      <c r="A185" s="16" t="s">
        <v>5486</v>
      </c>
      <c r="B185" s="20" t="s">
        <v>338</v>
      </c>
      <c r="C185" s="20" t="s">
        <v>7149</v>
      </c>
      <c r="D185" s="2" t="s">
        <v>19</v>
      </c>
      <c r="E185" s="6" t="str">
        <f>LOOKUP(2,1/(MCQ!C:C=B185),MCQ!H:H)</f>
        <v>16.00</v>
      </c>
      <c r="F185" s="6" t="str">
        <f>LOOKUP(2,1/(Debugging!C:C=B185),Debugging!H:H)</f>
        <v>15.00</v>
      </c>
      <c r="G185" s="6" t="str">
        <f>LOOKUP(2,1/(Coding!C:C=B185),Coding!H:H)</f>
        <v>25.00</v>
      </c>
      <c r="H185" s="8">
        <f>E185+F185+G185</f>
        <v>56</v>
      </c>
      <c r="I185" s="4" t="str">
        <f>IF(J185&lt;&gt;"Complete","Not Active",IF(H185&gt;=75,"Good",IF(H185&gt;=50,"Satisfactory",IF(H185&gt;=25,"Need Attention","Intervention"))))</f>
        <v>Satisfactory</v>
      </c>
      <c r="J185" s="4" t="str">
        <f>IF(COUNTIF(E185:G185,"#N/A")=3,"Not Attempted",IF(OR(ISNA(E185),ISNA(F185),ISNA(G185)),"NotCompleted","Complete"))</f>
        <v>Complete</v>
      </c>
    </row>
    <row r="186" spans="1:10" ht="15.6" x14ac:dyDescent="0.3">
      <c r="A186" s="16" t="s">
        <v>5486</v>
      </c>
      <c r="B186" s="20" t="s">
        <v>341</v>
      </c>
      <c r="C186" s="20" t="s">
        <v>7150</v>
      </c>
      <c r="D186" s="2" t="s">
        <v>42</v>
      </c>
      <c r="E186" s="6" t="str">
        <f>LOOKUP(2,1/(MCQ!C:C=B186),MCQ!H:H)</f>
        <v>22.00</v>
      </c>
      <c r="F186" s="6" t="str">
        <f>LOOKUP(2,1/(Debugging!C:C=B186),Debugging!H:H)</f>
        <v>36.00</v>
      </c>
      <c r="G186" s="6" t="str">
        <f>LOOKUP(2,1/(Coding!C:C=B186),Coding!H:H)</f>
        <v>23.50</v>
      </c>
      <c r="H186" s="8">
        <f>E186+F186+G186</f>
        <v>81.5</v>
      </c>
      <c r="I186" s="4" t="str">
        <f>IF(J186&lt;&gt;"Complete","Not Active",IF(H186&gt;=75,"Good",IF(H186&gt;=50,"Satisfactory",IF(H186&gt;=25,"Need Attention","Intervention"))))</f>
        <v>Good</v>
      </c>
      <c r="J186" s="4" t="str">
        <f>IF(COUNTIF(E186:G186,"#N/A")=3,"Not Attempted",IF(OR(ISNA(E186),ISNA(F186),ISNA(G186)),"NotCompleted","Complete"))</f>
        <v>Complete</v>
      </c>
    </row>
    <row r="187" spans="1:10" ht="15.6" x14ac:dyDescent="0.3">
      <c r="A187" s="16" t="s">
        <v>5486</v>
      </c>
      <c r="B187" s="20" t="s">
        <v>343</v>
      </c>
      <c r="C187" s="20" t="s">
        <v>7151</v>
      </c>
      <c r="D187" s="2" t="s">
        <v>8</v>
      </c>
      <c r="E187" s="6" t="str">
        <f>LOOKUP(2,1/(MCQ!C:C=B187),MCQ!H:H)</f>
        <v>21.00</v>
      </c>
      <c r="F187" s="6" t="str">
        <f>LOOKUP(2,1/(Debugging!C:C=B187),Debugging!H:H)</f>
        <v>35.00</v>
      </c>
      <c r="G187" s="6" t="str">
        <f>LOOKUP(2,1/(Coding!C:C=B187),Coding!H:H)</f>
        <v>12.00</v>
      </c>
      <c r="H187" s="8">
        <f>E187+F187+G187</f>
        <v>68</v>
      </c>
      <c r="I187" s="4" t="str">
        <f>IF(J187&lt;&gt;"Complete","Not Active",IF(H187&gt;=75,"Good",IF(H187&gt;=50,"Satisfactory",IF(H187&gt;=25,"Need Attention","Intervention"))))</f>
        <v>Satisfactory</v>
      </c>
      <c r="J187" s="4" t="str">
        <f>IF(COUNTIF(E187:G187,"#N/A")=3,"Not Attempted",IF(OR(ISNA(E187),ISNA(F187),ISNA(G187)),"NotCompleted","Complete"))</f>
        <v>Complete</v>
      </c>
    </row>
    <row r="188" spans="1:10" ht="15.6" x14ac:dyDescent="0.3">
      <c r="A188" s="16" t="s">
        <v>5486</v>
      </c>
      <c r="B188" s="20" t="s">
        <v>346</v>
      </c>
      <c r="C188" s="20" t="s">
        <v>7152</v>
      </c>
      <c r="D188" s="2" t="s">
        <v>49</v>
      </c>
      <c r="E188" s="6" t="str">
        <f>LOOKUP(2,1/(MCQ!C:C=B188),MCQ!H:H)</f>
        <v>19.00</v>
      </c>
      <c r="F188" s="6" t="str">
        <f>LOOKUP(2,1/(Debugging!C:C=B188),Debugging!H:H)</f>
        <v>35.00</v>
      </c>
      <c r="G188" s="6" t="str">
        <f>LOOKUP(2,1/(Coding!C:C=B188),Coding!H:H)</f>
        <v>25.00</v>
      </c>
      <c r="H188" s="8">
        <f>E188+F188+G188</f>
        <v>79</v>
      </c>
      <c r="I188" s="4" t="str">
        <f>IF(J188&lt;&gt;"Complete","Not Active",IF(H188&gt;=75,"Good",IF(H188&gt;=50,"Satisfactory",IF(H188&gt;=25,"Need Attention","Intervention"))))</f>
        <v>Good</v>
      </c>
      <c r="J188" s="4" t="str">
        <f>IF(COUNTIF(E188:G188,"#N/A")=3,"Not Attempted",IF(OR(ISNA(E188),ISNA(F188),ISNA(G188)),"NotCompleted","Complete"))</f>
        <v>Complete</v>
      </c>
    </row>
    <row r="189" spans="1:10" ht="15.6" x14ac:dyDescent="0.3">
      <c r="A189" s="16" t="s">
        <v>5486</v>
      </c>
      <c r="B189" s="20" t="s">
        <v>348</v>
      </c>
      <c r="C189" s="20" t="s">
        <v>7153</v>
      </c>
      <c r="D189" s="2" t="s">
        <v>19</v>
      </c>
      <c r="E189" s="6" t="str">
        <f>LOOKUP(2,1/(MCQ!C:C=B189),MCQ!H:H)</f>
        <v>22.00</v>
      </c>
      <c r="F189" s="6" t="str">
        <f>LOOKUP(2,1/(Debugging!C:C=B189),Debugging!H:H)</f>
        <v>44.00</v>
      </c>
      <c r="G189" s="6" t="str">
        <f>LOOKUP(2,1/(Coding!C:C=B189),Coding!H:H)</f>
        <v>25.00</v>
      </c>
      <c r="H189" s="8">
        <f>E189+F189+G189</f>
        <v>91</v>
      </c>
      <c r="I189" s="4" t="str">
        <f>IF(J189&lt;&gt;"Complete","Not Active",IF(H189&gt;=75,"Good",IF(H189&gt;=50,"Satisfactory",IF(H189&gt;=25,"Need Attention","Intervention"))))</f>
        <v>Good</v>
      </c>
      <c r="J189" s="4" t="str">
        <f>IF(COUNTIF(E189:G189,"#N/A")=3,"Not Attempted",IF(OR(ISNA(E189),ISNA(F189),ISNA(G189)),"NotCompleted","Complete"))</f>
        <v>Complete</v>
      </c>
    </row>
    <row r="190" spans="1:10" ht="15.6" x14ac:dyDescent="0.3">
      <c r="A190" s="16" t="s">
        <v>5486</v>
      </c>
      <c r="B190" s="20" t="s">
        <v>351</v>
      </c>
      <c r="C190" s="20" t="s">
        <v>7154</v>
      </c>
      <c r="D190" s="2" t="s">
        <v>794</v>
      </c>
      <c r="E190" s="6" t="str">
        <f>LOOKUP(2,1/(MCQ!C:C=B190),MCQ!H:H)</f>
        <v>24.00</v>
      </c>
      <c r="F190" s="6" t="str">
        <f>LOOKUP(2,1/(Debugging!C:C=B190),Debugging!H:H)</f>
        <v>37.00</v>
      </c>
      <c r="G190" s="6" t="str">
        <f>LOOKUP(2,1/(Coding!C:C=B190),Coding!H:H)</f>
        <v>20.50</v>
      </c>
      <c r="H190" s="8">
        <f>E190+F190+G190</f>
        <v>81.5</v>
      </c>
      <c r="I190" s="4" t="str">
        <f>IF(J190&lt;&gt;"Complete","Not Active",IF(H190&gt;=75,"Good",IF(H190&gt;=50,"Satisfactory",IF(H190&gt;=25,"Need Attention","Intervention"))))</f>
        <v>Good</v>
      </c>
      <c r="J190" s="4" t="str">
        <f>IF(COUNTIF(E190:G190,"#N/A")=3,"Not Attempted",IF(OR(ISNA(E190),ISNA(F190),ISNA(G190)),"NotCompleted","Complete"))</f>
        <v>Complete</v>
      </c>
    </row>
    <row r="191" spans="1:10" ht="15.6" x14ac:dyDescent="0.3">
      <c r="A191" s="16" t="s">
        <v>5486</v>
      </c>
      <c r="B191" s="20" t="s">
        <v>354</v>
      </c>
      <c r="C191" s="20" t="s">
        <v>7155</v>
      </c>
      <c r="D191" s="2" t="s">
        <v>8</v>
      </c>
      <c r="E191" s="6" t="str">
        <f>LOOKUP(2,1/(MCQ!C:C=B191),MCQ!H:H)</f>
        <v>23.00</v>
      </c>
      <c r="F191" s="6" t="str">
        <f>LOOKUP(2,1/(Debugging!C:C=B191),Debugging!H:H)</f>
        <v>45.00</v>
      </c>
      <c r="G191" s="6" t="str">
        <f>LOOKUP(2,1/(Coding!C:C=B191),Coding!H:H)</f>
        <v>25.00</v>
      </c>
      <c r="H191" s="8">
        <f>E191+F191+G191</f>
        <v>93</v>
      </c>
      <c r="I191" s="4" t="str">
        <f>IF(J191&lt;&gt;"Complete","Not Active",IF(H191&gt;=75,"Good",IF(H191&gt;=50,"Satisfactory",IF(H191&gt;=25,"Need Attention","Intervention"))))</f>
        <v>Good</v>
      </c>
      <c r="J191" s="4" t="str">
        <f>IF(COUNTIF(E191:G191,"#N/A")=3,"Not Attempted",IF(OR(ISNA(E191),ISNA(F191),ISNA(G191)),"NotCompleted","Complete"))</f>
        <v>Complete</v>
      </c>
    </row>
    <row r="192" spans="1:10" ht="15.6" x14ac:dyDescent="0.3">
      <c r="A192" s="16" t="s">
        <v>5486</v>
      </c>
      <c r="B192" s="20" t="s">
        <v>356</v>
      </c>
      <c r="C192" s="20" t="s">
        <v>7156</v>
      </c>
      <c r="D192" s="2" t="s">
        <v>25</v>
      </c>
      <c r="E192" s="6" t="str">
        <f>LOOKUP(2,1/(MCQ!C:C=B192),MCQ!H:H)</f>
        <v>8.00</v>
      </c>
      <c r="F192" s="6" t="str">
        <f>LOOKUP(2,1/(Debugging!C:C=B192),Debugging!H:H)</f>
        <v>23.00</v>
      </c>
      <c r="G192" s="6" t="str">
        <f>LOOKUP(2,1/(Coding!C:C=B192),Coding!H:H)</f>
        <v>25.00</v>
      </c>
      <c r="H192" s="8">
        <f>E192+F192+G192</f>
        <v>56</v>
      </c>
      <c r="I192" s="4" t="str">
        <f>IF(J192&lt;&gt;"Complete","Not Active",IF(H192&gt;=75,"Good",IF(H192&gt;=50,"Satisfactory",IF(H192&gt;=25,"Need Attention","Intervention"))))</f>
        <v>Satisfactory</v>
      </c>
      <c r="J192" s="4" t="str">
        <f>IF(COUNTIF(E192:G192,"#N/A")=3,"Not Attempted",IF(OR(ISNA(E192),ISNA(F192),ISNA(G192)),"NotCompleted","Complete"))</f>
        <v>Complete</v>
      </c>
    </row>
    <row r="193" spans="1:10" ht="15.6" x14ac:dyDescent="0.3">
      <c r="A193" s="16" t="s">
        <v>5486</v>
      </c>
      <c r="B193" s="20" t="s">
        <v>358</v>
      </c>
      <c r="C193" s="20" t="s">
        <v>7157</v>
      </c>
      <c r="D193" s="2" t="s">
        <v>170</v>
      </c>
      <c r="E193" s="6" t="str">
        <f>LOOKUP(2,1/(MCQ!C:C=B193),MCQ!H:H)</f>
        <v>22.00</v>
      </c>
      <c r="F193" s="6" t="str">
        <f>LOOKUP(2,1/(Debugging!C:C=B193),Debugging!H:H)</f>
        <v>43.00</v>
      </c>
      <c r="G193" s="6" t="str">
        <f>LOOKUP(2,1/(Coding!C:C=B193),Coding!H:H)</f>
        <v>15.00</v>
      </c>
      <c r="H193" s="8">
        <f>E193+F193+G193</f>
        <v>80</v>
      </c>
      <c r="I193" s="4" t="str">
        <f>IF(J193&lt;&gt;"Complete","Not Active",IF(H193&gt;=75,"Good",IF(H193&gt;=50,"Satisfactory",IF(H193&gt;=25,"Need Attention","Intervention"))))</f>
        <v>Good</v>
      </c>
      <c r="J193" s="4" t="str">
        <f>IF(COUNTIF(E193:G193,"#N/A")=3,"Not Attempted",IF(OR(ISNA(E193),ISNA(F193),ISNA(G193)),"NotCompleted","Complete"))</f>
        <v>Complete</v>
      </c>
    </row>
    <row r="194" spans="1:10" ht="15.6" x14ac:dyDescent="0.3">
      <c r="A194" s="16" t="s">
        <v>5486</v>
      </c>
      <c r="B194" s="20" t="s">
        <v>360</v>
      </c>
      <c r="C194" s="20" t="s">
        <v>7158</v>
      </c>
      <c r="D194" s="2" t="s">
        <v>8</v>
      </c>
      <c r="E194" s="6" t="str">
        <f>LOOKUP(2,1/(MCQ!C:C=B194),MCQ!H:H)</f>
        <v>23.00</v>
      </c>
      <c r="F194" s="6" t="str">
        <f>LOOKUP(2,1/(Debugging!C:C=B194),Debugging!H:H)</f>
        <v>36.00</v>
      </c>
      <c r="G194" s="6" t="str">
        <f>LOOKUP(2,1/(Coding!C:C=B194),Coding!H:H)</f>
        <v>25.00</v>
      </c>
      <c r="H194" s="8">
        <f>E194+F194+G194</f>
        <v>84</v>
      </c>
      <c r="I194" s="4" t="str">
        <f>IF(J194&lt;&gt;"Complete","Not Active",IF(H194&gt;=75,"Good",IF(H194&gt;=50,"Satisfactory",IF(H194&gt;=25,"Need Attention","Intervention"))))</f>
        <v>Good</v>
      </c>
      <c r="J194" s="4" t="str">
        <f>IF(COUNTIF(E194:G194,"#N/A")=3,"Not Attempted",IF(OR(ISNA(E194),ISNA(F194),ISNA(G194)),"NotCompleted","Complete"))</f>
        <v>Complete</v>
      </c>
    </row>
    <row r="195" spans="1:10" ht="15.6" x14ac:dyDescent="0.3">
      <c r="A195" s="16" t="s">
        <v>5486</v>
      </c>
      <c r="B195" s="20" t="s">
        <v>362</v>
      </c>
      <c r="C195" s="20" t="s">
        <v>7159</v>
      </c>
      <c r="D195" s="2" t="s">
        <v>547</v>
      </c>
      <c r="E195" s="6" t="str">
        <f>LOOKUP(2,1/(MCQ!C:C=B195),MCQ!H:H)</f>
        <v>18.00</v>
      </c>
      <c r="F195" s="6" t="str">
        <f>LOOKUP(2,1/(Debugging!C:C=B195),Debugging!H:H)</f>
        <v>40.00</v>
      </c>
      <c r="G195" s="6" t="str">
        <f>LOOKUP(2,1/(Coding!C:C=B195),Coding!H:H)</f>
        <v>13.50</v>
      </c>
      <c r="H195" s="8">
        <f>E195+F195+G195</f>
        <v>71.5</v>
      </c>
      <c r="I195" s="4" t="str">
        <f>IF(J195&lt;&gt;"Complete","Not Active",IF(H195&gt;=75,"Good",IF(H195&gt;=50,"Satisfactory",IF(H195&gt;=25,"Need Attention","Intervention"))))</f>
        <v>Satisfactory</v>
      </c>
      <c r="J195" s="4" t="str">
        <f>IF(COUNTIF(E195:G195,"#N/A")=3,"Not Attempted",IF(OR(ISNA(E195),ISNA(F195),ISNA(G195)),"NotCompleted","Complete"))</f>
        <v>Complete</v>
      </c>
    </row>
    <row r="196" spans="1:10" ht="15.6" x14ac:dyDescent="0.3">
      <c r="A196" s="16" t="s">
        <v>5486</v>
      </c>
      <c r="B196" s="20" t="s">
        <v>364</v>
      </c>
      <c r="C196" s="20" t="s">
        <v>7160</v>
      </c>
      <c r="D196" s="2" t="s">
        <v>8</v>
      </c>
      <c r="E196" s="6" t="str">
        <f>LOOKUP(2,1/(MCQ!C:C=B196),MCQ!H:H)</f>
        <v>17.00</v>
      </c>
      <c r="F196" s="6" t="str">
        <f>LOOKUP(2,1/(Debugging!C:C=B196),Debugging!H:H)</f>
        <v>17.00</v>
      </c>
      <c r="G196" s="6" t="e">
        <v>#N/A</v>
      </c>
      <c r="H196" s="8" t="e">
        <f>E196+F196+G196</f>
        <v>#N/A</v>
      </c>
      <c r="I196" s="4" t="str">
        <f>IF(J196&lt;&gt;"Complete","Not Active",IF(H196&gt;=75,"Good",IF(H196&gt;=50,"Satisfactory",IF(H196&gt;=25,"Need Attention","Intervention"))))</f>
        <v>Not Active</v>
      </c>
      <c r="J196" s="4" t="str">
        <f>IF(COUNTIF(E196:G196,"#N/A")=3,"Not Attempted",IF(OR(ISNA(E196),ISNA(F196),ISNA(G196)),"NotCompleted","Complete"))</f>
        <v>NotCompleted</v>
      </c>
    </row>
    <row r="197" spans="1:10" ht="15.6" x14ac:dyDescent="0.3">
      <c r="A197" s="16" t="s">
        <v>5486</v>
      </c>
      <c r="B197" s="20" t="s">
        <v>367</v>
      </c>
      <c r="C197" s="20" t="s">
        <v>7161</v>
      </c>
      <c r="D197" s="2" t="s">
        <v>16</v>
      </c>
      <c r="E197" s="6" t="str">
        <f>LOOKUP(2,1/(MCQ!C:C=B197),MCQ!H:H)</f>
        <v>25.00</v>
      </c>
      <c r="F197" s="6" t="str">
        <f>LOOKUP(2,1/(Debugging!C:C=B197),Debugging!H:H)</f>
        <v>42.00</v>
      </c>
      <c r="G197" s="6" t="str">
        <f>LOOKUP(2,1/(Coding!C:C=B197),Coding!H:H)</f>
        <v>25.00</v>
      </c>
      <c r="H197" s="8">
        <f>E197+F197+G197</f>
        <v>92</v>
      </c>
      <c r="I197" s="4" t="str">
        <f>IF(J197&lt;&gt;"Complete","Not Active",IF(H197&gt;=75,"Good",IF(H197&gt;=50,"Satisfactory",IF(H197&gt;=25,"Need Attention","Intervention"))))</f>
        <v>Good</v>
      </c>
      <c r="J197" s="4" t="str">
        <f>IF(COUNTIF(E197:G197,"#N/A")=3,"Not Attempted",IF(OR(ISNA(E197),ISNA(F197),ISNA(G197)),"NotCompleted","Complete"))</f>
        <v>Complete</v>
      </c>
    </row>
    <row r="198" spans="1:10" ht="15.6" x14ac:dyDescent="0.3">
      <c r="A198" s="16" t="s">
        <v>5486</v>
      </c>
      <c r="B198" s="20" t="s">
        <v>369</v>
      </c>
      <c r="C198" s="20" t="s">
        <v>7162</v>
      </c>
      <c r="D198" s="2" t="s">
        <v>25</v>
      </c>
      <c r="E198" s="6" t="str">
        <f>LOOKUP(2,1/(MCQ!C:C=B198),MCQ!H:H)</f>
        <v>20.00</v>
      </c>
      <c r="F198" s="6" t="str">
        <f>LOOKUP(2,1/(Debugging!C:C=B198),Debugging!H:H)</f>
        <v>39.00</v>
      </c>
      <c r="G198" s="6" t="str">
        <f>LOOKUP(2,1/(Coding!C:C=B198),Coding!H:H)</f>
        <v>25.00</v>
      </c>
      <c r="H198" s="8">
        <f>E198+F198+G198</f>
        <v>84</v>
      </c>
      <c r="I198" s="4" t="str">
        <f>IF(J198&lt;&gt;"Complete","Not Active",IF(H198&gt;=75,"Good",IF(H198&gt;=50,"Satisfactory",IF(H198&gt;=25,"Need Attention","Intervention"))))</f>
        <v>Good</v>
      </c>
      <c r="J198" s="4" t="str">
        <f>IF(COUNTIF(E198:G198,"#N/A")=3,"Not Attempted",IF(OR(ISNA(E198),ISNA(F198),ISNA(G198)),"NotCompleted","Complete"))</f>
        <v>Complete</v>
      </c>
    </row>
    <row r="199" spans="1:10" ht="15.6" x14ac:dyDescent="0.3">
      <c r="A199" s="16" t="s">
        <v>5486</v>
      </c>
      <c r="B199" s="20" t="s">
        <v>371</v>
      </c>
      <c r="C199" s="20" t="s">
        <v>7163</v>
      </c>
      <c r="D199" s="2" t="s">
        <v>80</v>
      </c>
      <c r="E199" s="6" t="str">
        <f>LOOKUP(2,1/(MCQ!C:C=B199),MCQ!H:H)</f>
        <v>19.00</v>
      </c>
      <c r="F199" s="6" t="str">
        <f>LOOKUP(2,1/(Debugging!C:C=B199),Debugging!H:H)</f>
        <v>22.00</v>
      </c>
      <c r="G199" s="6" t="str">
        <f>LOOKUP(2,1/(Coding!C:C=B199),Coding!H:H)</f>
        <v>25.00</v>
      </c>
      <c r="H199" s="8">
        <f>E199+F199+G199</f>
        <v>66</v>
      </c>
      <c r="I199" s="4" t="str">
        <f>IF(J199&lt;&gt;"Complete","Not Active",IF(H199&gt;=75,"Good",IF(H199&gt;=50,"Satisfactory",IF(H199&gt;=25,"Need Attention","Intervention"))))</f>
        <v>Satisfactory</v>
      </c>
      <c r="J199" s="4" t="str">
        <f>IF(COUNTIF(E199:G199,"#N/A")=3,"Not Attempted",IF(OR(ISNA(E199),ISNA(F199),ISNA(G199)),"NotCompleted","Complete"))</f>
        <v>Complete</v>
      </c>
    </row>
    <row r="200" spans="1:10" ht="15.6" x14ac:dyDescent="0.3">
      <c r="A200" s="16" t="s">
        <v>5486</v>
      </c>
      <c r="B200" s="20" t="s">
        <v>373</v>
      </c>
      <c r="C200" s="20" t="s">
        <v>7164</v>
      </c>
      <c r="D200" s="2" t="s">
        <v>8</v>
      </c>
      <c r="E200" s="6" t="str">
        <f>LOOKUP(2,1/(MCQ!C:C=B200),MCQ!H:H)</f>
        <v>25.00</v>
      </c>
      <c r="F200" s="6" t="str">
        <f>LOOKUP(2,1/(Debugging!C:C=B200),Debugging!H:H)</f>
        <v>47.00</v>
      </c>
      <c r="G200" s="6" t="str">
        <f>LOOKUP(2,1/(Coding!C:C=B200),Coding!H:H)</f>
        <v>25.00</v>
      </c>
      <c r="H200" s="8">
        <f>E200+F200+G200</f>
        <v>97</v>
      </c>
      <c r="I200" s="4" t="str">
        <f>IF(J200&lt;&gt;"Complete","Not Active",IF(H200&gt;=75,"Good",IF(H200&gt;=50,"Satisfactory",IF(H200&gt;=25,"Need Attention","Intervention"))))</f>
        <v>Good</v>
      </c>
      <c r="J200" s="4" t="str">
        <f>IF(COUNTIF(E200:G200,"#N/A")=3,"Not Attempted",IF(OR(ISNA(E200),ISNA(F200),ISNA(G200)),"NotCompleted","Complete"))</f>
        <v>Complete</v>
      </c>
    </row>
    <row r="201" spans="1:10" ht="15.6" x14ac:dyDescent="0.3">
      <c r="A201" s="16" t="s">
        <v>5486</v>
      </c>
      <c r="B201" s="20" t="s">
        <v>376</v>
      </c>
      <c r="C201" s="20" t="s">
        <v>7165</v>
      </c>
      <c r="D201" s="2" t="s">
        <v>16</v>
      </c>
      <c r="E201" s="6" t="str">
        <f>LOOKUP(2,1/(MCQ!C:C=B201),MCQ!H:H)</f>
        <v>17.00</v>
      </c>
      <c r="F201" s="6" t="str">
        <f>LOOKUP(2,1/(Debugging!C:C=B201),Debugging!H:H)</f>
        <v>27.00</v>
      </c>
      <c r="G201" s="6" t="str">
        <f>LOOKUP(2,1/(Coding!C:C=B201),Coding!H:H)</f>
        <v>25.00</v>
      </c>
      <c r="H201" s="8">
        <f>E201+F201+G201</f>
        <v>69</v>
      </c>
      <c r="I201" s="4" t="str">
        <f>IF(J201&lt;&gt;"Complete","Not Active",IF(H201&gt;=75,"Good",IF(H201&gt;=50,"Satisfactory",IF(H201&gt;=25,"Need Attention","Intervention"))))</f>
        <v>Satisfactory</v>
      </c>
      <c r="J201" s="4" t="str">
        <f>IF(COUNTIF(E201:G201,"#N/A")=3,"Not Attempted",IF(OR(ISNA(E201),ISNA(F201),ISNA(G201)),"NotCompleted","Complete"))</f>
        <v>Complete</v>
      </c>
    </row>
    <row r="202" spans="1:10" ht="15.6" x14ac:dyDescent="0.3">
      <c r="A202" s="16" t="s">
        <v>5486</v>
      </c>
      <c r="B202" s="20" t="s">
        <v>378</v>
      </c>
      <c r="C202" s="20" t="s">
        <v>7166</v>
      </c>
      <c r="D202" s="2" t="s">
        <v>42</v>
      </c>
      <c r="E202" s="6" t="str">
        <f>LOOKUP(2,1/(MCQ!C:C=B202),MCQ!H:H)</f>
        <v>22.00</v>
      </c>
      <c r="F202" s="6" t="str">
        <f>LOOKUP(2,1/(Debugging!C:C=B202),Debugging!H:H)</f>
        <v>48.00</v>
      </c>
      <c r="G202" s="6" t="str">
        <f>LOOKUP(2,1/(Coding!C:C=B202),Coding!H:H)</f>
        <v>19.00</v>
      </c>
      <c r="H202" s="8">
        <f>E202+F202+G202</f>
        <v>89</v>
      </c>
      <c r="I202" s="4" t="str">
        <f>IF(J202&lt;&gt;"Complete","Not Active",IF(H202&gt;=75,"Good",IF(H202&gt;=50,"Satisfactory",IF(H202&gt;=25,"Need Attention","Intervention"))))</f>
        <v>Good</v>
      </c>
      <c r="J202" s="4" t="str">
        <f>IF(COUNTIF(E202:G202,"#N/A")=3,"Not Attempted",IF(OR(ISNA(E202),ISNA(F202),ISNA(G202)),"NotCompleted","Complete"))</f>
        <v>Complete</v>
      </c>
    </row>
    <row r="203" spans="1:10" ht="15.6" x14ac:dyDescent="0.3">
      <c r="A203" s="16" t="s">
        <v>5486</v>
      </c>
      <c r="B203" s="20" t="s">
        <v>380</v>
      </c>
      <c r="C203" s="20" t="s">
        <v>7167</v>
      </c>
      <c r="D203" s="2" t="s">
        <v>42</v>
      </c>
      <c r="E203" s="6" t="e">
        <f>LOOKUP(2,1/(Debugging!B:B=A203),Debugging!G:G)</f>
        <v>#N/A</v>
      </c>
      <c r="F203" s="6" t="str">
        <f>LOOKUP(2,1/(Debugging!C:C=B203),Debugging!H:H)</f>
        <v>35.00</v>
      </c>
      <c r="G203" s="6" t="str">
        <f>LOOKUP(2,1/(Coding!C:C=B203),Coding!H:H)</f>
        <v>22.50</v>
      </c>
      <c r="H203" s="8" t="e">
        <f>E203+F203+G203</f>
        <v>#N/A</v>
      </c>
      <c r="I203" s="4" t="str">
        <f>IF(J203&lt;&gt;"Complete","Not Active",IF(H203&gt;=75,"Good",IF(H203&gt;=50,"Satisfactory",IF(H203&gt;=25,"Need Attention","Intervention"))))</f>
        <v>Not Active</v>
      </c>
      <c r="J203" s="4" t="str">
        <f>IF(COUNTIF(E203:G203,"#N/A")=3,"Not Attempted",IF(OR(ISNA(E203),ISNA(F203),ISNA(G203)),"NotCompleted","Complete"))</f>
        <v>NotCompleted</v>
      </c>
    </row>
    <row r="204" spans="1:10" ht="15.6" x14ac:dyDescent="0.3">
      <c r="A204" s="16" t="s">
        <v>5486</v>
      </c>
      <c r="B204" s="20" t="s">
        <v>382</v>
      </c>
      <c r="C204" s="20" t="s">
        <v>7168</v>
      </c>
      <c r="D204" s="2" t="s">
        <v>31</v>
      </c>
      <c r="E204" s="6" t="str">
        <f>LOOKUP(2,1/(MCQ!C:C=B204),MCQ!H:H)</f>
        <v>20.00</v>
      </c>
      <c r="F204" s="6" t="str">
        <f>LOOKUP(2,1/(Debugging!C:C=B204),Debugging!H:H)</f>
        <v>43.00</v>
      </c>
      <c r="G204" s="6" t="str">
        <f>LOOKUP(2,1/(Coding!C:C=B204),Coding!H:H)</f>
        <v>23.00</v>
      </c>
      <c r="H204" s="8">
        <f>E204+F204+G204</f>
        <v>86</v>
      </c>
      <c r="I204" s="4" t="str">
        <f>IF(J204&lt;&gt;"Complete","Not Active",IF(H204&gt;=75,"Good",IF(H204&gt;=50,"Satisfactory",IF(H204&gt;=25,"Need Attention","Intervention"))))</f>
        <v>Good</v>
      </c>
      <c r="J204" s="4" t="str">
        <f>IF(COUNTIF(E204:G204,"#N/A")=3,"Not Attempted",IF(OR(ISNA(E204),ISNA(F204),ISNA(G204)),"NotCompleted","Complete"))</f>
        <v>Complete</v>
      </c>
    </row>
    <row r="205" spans="1:10" ht="15.6" x14ac:dyDescent="0.3">
      <c r="A205" s="16" t="s">
        <v>5486</v>
      </c>
      <c r="B205" s="20" t="s">
        <v>384</v>
      </c>
      <c r="C205" s="20" t="s">
        <v>7169</v>
      </c>
      <c r="D205" s="2" t="s">
        <v>22</v>
      </c>
      <c r="E205" s="6" t="e">
        <f>LOOKUP(2,1/(Debugging!B:B=A205),Debugging!G:G)</f>
        <v>#N/A</v>
      </c>
      <c r="F205" s="6" t="str">
        <f>LOOKUP(2,1/(Debugging!C:C=B205),Debugging!H:H)</f>
        <v>29.00</v>
      </c>
      <c r="G205" s="6" t="str">
        <f>LOOKUP(2,1/(Coding!C:C=B205),Coding!H:H)</f>
        <v>24.00</v>
      </c>
      <c r="H205" s="8" t="e">
        <f>E205+F205+G205</f>
        <v>#N/A</v>
      </c>
      <c r="I205" s="4" t="str">
        <f>IF(J205&lt;&gt;"Complete","Not Active",IF(H205&gt;=75,"Good",IF(H205&gt;=50,"Satisfactory",IF(H205&gt;=25,"Need Attention","Intervention"))))</f>
        <v>Not Active</v>
      </c>
      <c r="J205" s="4" t="str">
        <f>IF(COUNTIF(E205:G205,"#N/A")=3,"Not Attempted",IF(OR(ISNA(E205),ISNA(F205),ISNA(G205)),"NotCompleted","Complete"))</f>
        <v>NotCompleted</v>
      </c>
    </row>
    <row r="206" spans="1:10" ht="15.6" x14ac:dyDescent="0.3">
      <c r="A206" s="16" t="s">
        <v>5486</v>
      </c>
      <c r="B206" s="20" t="s">
        <v>6473</v>
      </c>
      <c r="C206" s="20" t="s">
        <v>7170</v>
      </c>
      <c r="D206" s="2" t="s">
        <v>8</v>
      </c>
      <c r="E206" s="6" t="e">
        <f>LOOKUP(2,1/(MCQ!C:C=B206),MCQ!H:H)</f>
        <v>#N/A</v>
      </c>
      <c r="F206" s="6" t="e">
        <f>LOOKUP(2,1/(Debugging!C:C=B206),Debugging!H:H)</f>
        <v>#N/A</v>
      </c>
      <c r="G206" s="6" t="e">
        <f>LOOKUP(2,1/(Coding!C:C=B206),Coding!H:H)</f>
        <v>#N/A</v>
      </c>
      <c r="H206" s="8" t="e">
        <f>E206+F206+G206</f>
        <v>#N/A</v>
      </c>
      <c r="I206" s="4" t="str">
        <f>IF(J206&lt;&gt;"Complete","Not Active",IF(H206&gt;=75,"Good",IF(H206&gt;=50,"Satisfactory",IF(H206&gt;=25,"Need Attention","Intervention"))))</f>
        <v>Not Active</v>
      </c>
      <c r="J206" s="4" t="str">
        <f>IF(COUNTIF(E206:G206,"#N/A")=3,"Not Attempted",IF(OR(ISNA(E206),ISNA(F206),ISNA(G206)),"NotCompleted","Complete"))</f>
        <v>Not Attempted</v>
      </c>
    </row>
    <row r="207" spans="1:10" ht="15.6" x14ac:dyDescent="0.3">
      <c r="A207" s="16" t="s">
        <v>5486</v>
      </c>
      <c r="B207" s="20" t="s">
        <v>386</v>
      </c>
      <c r="C207" s="20" t="s">
        <v>7171</v>
      </c>
      <c r="D207" s="2" t="s">
        <v>19</v>
      </c>
      <c r="E207" s="6" t="str">
        <f>LOOKUP(2,1/(MCQ!C:C=B207),MCQ!H:H)</f>
        <v>22.00</v>
      </c>
      <c r="F207" s="6" t="e">
        <v>#N/A</v>
      </c>
      <c r="G207" s="6" t="str">
        <f>LOOKUP(2,1/(Coding!C:C=B207),Coding!H:H)</f>
        <v>25.00</v>
      </c>
      <c r="H207" s="8" t="e">
        <f>E207+F207+G207</f>
        <v>#N/A</v>
      </c>
      <c r="I207" s="4" t="str">
        <f>IF(J207&lt;&gt;"Complete","Not Active",IF(H207&gt;=75,"Good",IF(H207&gt;=50,"Satisfactory",IF(H207&gt;=25,"Need Attention","Intervention"))))</f>
        <v>Not Active</v>
      </c>
      <c r="J207" s="4" t="str">
        <f>IF(COUNTIF(E207:G207,"#N/A")=3,"Not Attempted",IF(OR(ISNA(E207),ISNA(F207),ISNA(G207)),"NotCompleted","Complete"))</f>
        <v>NotCompleted</v>
      </c>
    </row>
    <row r="208" spans="1:10" ht="15.6" x14ac:dyDescent="0.3">
      <c r="A208" s="16" t="s">
        <v>5486</v>
      </c>
      <c r="B208" s="20" t="s">
        <v>388</v>
      </c>
      <c r="C208" s="20" t="s">
        <v>7172</v>
      </c>
      <c r="D208" s="2" t="s">
        <v>192</v>
      </c>
      <c r="E208" s="6" t="str">
        <f>LOOKUP(2,1/(MCQ!C:C=B208),MCQ!H:H)</f>
        <v>13.00</v>
      </c>
      <c r="F208" s="6" t="e">
        <f>LOOKUP(2,1/(Debugging!C:C=B208),Debugging!H:H)</f>
        <v>#N/A</v>
      </c>
      <c r="G208" s="6" t="str">
        <f>LOOKUP(2,1/(Coding!C:C=B208),Coding!H:H)</f>
        <v>22.00</v>
      </c>
      <c r="H208" s="8" t="e">
        <f>E208+F208+G208</f>
        <v>#N/A</v>
      </c>
      <c r="I208" s="4" t="str">
        <f>IF(J208&lt;&gt;"Complete","Not Active",IF(H208&gt;=75,"Good",IF(H208&gt;=50,"Satisfactory",IF(H208&gt;=25,"Need Attention","Intervention"))))</f>
        <v>Not Active</v>
      </c>
      <c r="J208" s="4" t="str">
        <f>IF(COUNTIF(E208:G208,"#N/A")=3,"Not Attempted",IF(OR(ISNA(E208),ISNA(F208),ISNA(G208)),"NotCompleted","Complete"))</f>
        <v>NotCompleted</v>
      </c>
    </row>
    <row r="209" spans="1:10" ht="15.6" x14ac:dyDescent="0.3">
      <c r="A209" s="16" t="s">
        <v>5486</v>
      </c>
      <c r="B209" s="20" t="s">
        <v>391</v>
      </c>
      <c r="C209" s="20" t="s">
        <v>7173</v>
      </c>
      <c r="D209" s="2" t="s">
        <v>31</v>
      </c>
      <c r="E209" s="6" t="str">
        <f>LOOKUP(2,1/(MCQ!C:C=B209),MCQ!H:H)</f>
        <v>24.00</v>
      </c>
      <c r="F209" s="6" t="str">
        <f>LOOKUP(2,1/(Debugging!C:C=B209),Debugging!H:H)</f>
        <v>47.00</v>
      </c>
      <c r="G209" s="6" t="str">
        <f>LOOKUP(2,1/(Coding!C:C=B209),Coding!H:H)</f>
        <v>22.50</v>
      </c>
      <c r="H209" s="8">
        <f>E209+F209+G209</f>
        <v>93.5</v>
      </c>
      <c r="I209" s="4" t="str">
        <f>IF(J209&lt;&gt;"Complete","Not Active",IF(H209&gt;=75,"Good",IF(H209&gt;=50,"Satisfactory",IF(H209&gt;=25,"Need Attention","Intervention"))))</f>
        <v>Good</v>
      </c>
      <c r="J209" s="4" t="str">
        <f>IF(COUNTIF(E209:G209,"#N/A")=3,"Not Attempted",IF(OR(ISNA(E209),ISNA(F209),ISNA(G209)),"NotCompleted","Complete"))</f>
        <v>Complete</v>
      </c>
    </row>
    <row r="210" spans="1:10" ht="15.6" x14ac:dyDescent="0.3">
      <c r="A210" s="16" t="s">
        <v>5486</v>
      </c>
      <c r="B210" s="20" t="s">
        <v>393</v>
      </c>
      <c r="C210" s="20" t="s">
        <v>7174</v>
      </c>
      <c r="D210" s="2" t="s">
        <v>28</v>
      </c>
      <c r="E210" s="6" t="str">
        <f>LOOKUP(2,1/(MCQ!C:C=B210),MCQ!H:H)</f>
        <v>21.00</v>
      </c>
      <c r="F210" s="6" t="e">
        <v>#N/A</v>
      </c>
      <c r="G210" s="6" t="str">
        <f>LOOKUP(2,1/(Coding!C:C=B210),Coding!H:H)</f>
        <v>22.50</v>
      </c>
      <c r="H210" s="8" t="e">
        <f>E210+F210+G210</f>
        <v>#N/A</v>
      </c>
      <c r="I210" s="4" t="str">
        <f>IF(J210&lt;&gt;"Complete","Not Active",IF(H210&gt;=75,"Good",IF(H210&gt;=50,"Satisfactory",IF(H210&gt;=25,"Need Attention","Intervention"))))</f>
        <v>Not Active</v>
      </c>
      <c r="J210" s="4" t="str">
        <f>IF(COUNTIF(E210:G210,"#N/A")=3,"Not Attempted",IF(OR(ISNA(E210),ISNA(F210),ISNA(G210)),"NotCompleted","Complete"))</f>
        <v>NotCompleted</v>
      </c>
    </row>
    <row r="211" spans="1:10" ht="15.6" x14ac:dyDescent="0.3">
      <c r="A211" s="16" t="s">
        <v>5486</v>
      </c>
      <c r="B211" s="20" t="s">
        <v>395</v>
      </c>
      <c r="C211" s="20" t="s">
        <v>7175</v>
      </c>
      <c r="D211" s="2" t="s">
        <v>22</v>
      </c>
      <c r="E211" s="6" t="str">
        <f>LOOKUP(2,1/(MCQ!C:C=B211),MCQ!H:H)</f>
        <v>21.00</v>
      </c>
      <c r="F211" s="6" t="e">
        <v>#N/A</v>
      </c>
      <c r="G211" s="6" t="str">
        <f>LOOKUP(2,1/(Coding!C:C=B211),Coding!H:H)</f>
        <v>17.00</v>
      </c>
      <c r="H211" s="8" t="e">
        <f>E211+F211+G211</f>
        <v>#N/A</v>
      </c>
      <c r="I211" s="4" t="str">
        <f>IF(J211&lt;&gt;"Complete","Not Active",IF(H211&gt;=75,"Good",IF(H211&gt;=50,"Satisfactory",IF(H211&gt;=25,"Need Attention","Intervention"))))</f>
        <v>Not Active</v>
      </c>
      <c r="J211" s="4" t="str">
        <f>IF(COUNTIF(E211:G211,"#N/A")=3,"Not Attempted",IF(OR(ISNA(E211),ISNA(F211),ISNA(G211)),"NotCompleted","Complete"))</f>
        <v>NotCompleted</v>
      </c>
    </row>
    <row r="212" spans="1:10" ht="15.6" x14ac:dyDescent="0.3">
      <c r="A212" s="16" t="s">
        <v>5486</v>
      </c>
      <c r="B212" s="20" t="s">
        <v>398</v>
      </c>
      <c r="C212" s="20" t="s">
        <v>7176</v>
      </c>
      <c r="D212" s="2" t="s">
        <v>28</v>
      </c>
      <c r="E212" s="6" t="str">
        <f>LOOKUP(2,1/(MCQ!C:C=B212),MCQ!H:H)</f>
        <v>21.00</v>
      </c>
      <c r="F212" s="6" t="str">
        <f>LOOKUP(2,1/(Debugging!C:C=B212),Debugging!H:H)</f>
        <v>47.00</v>
      </c>
      <c r="G212" s="6" t="str">
        <f>LOOKUP(2,1/(Coding!C:C=B212),Coding!H:H)</f>
        <v>22.00</v>
      </c>
      <c r="H212" s="8">
        <f>E212+F212+G212</f>
        <v>90</v>
      </c>
      <c r="I212" s="4" t="str">
        <f>IF(J212&lt;&gt;"Complete","Not Active",IF(H212&gt;=75,"Good",IF(H212&gt;=50,"Satisfactory",IF(H212&gt;=25,"Need Attention","Intervention"))))</f>
        <v>Good</v>
      </c>
      <c r="J212" s="4" t="str">
        <f>IF(COUNTIF(E212:G212,"#N/A")=3,"Not Attempted",IF(OR(ISNA(E212),ISNA(F212),ISNA(G212)),"NotCompleted","Complete"))</f>
        <v>Complete</v>
      </c>
    </row>
    <row r="213" spans="1:10" ht="15.6" x14ac:dyDescent="0.3">
      <c r="A213" s="16" t="s">
        <v>5486</v>
      </c>
      <c r="B213" s="20" t="s">
        <v>400</v>
      </c>
      <c r="C213" s="20" t="s">
        <v>7177</v>
      </c>
      <c r="D213" s="2" t="s">
        <v>31</v>
      </c>
      <c r="E213" s="6" t="str">
        <f>LOOKUP(2,1/(MCQ!C:C=B213),MCQ!H:H)</f>
        <v>23.00</v>
      </c>
      <c r="F213" s="6" t="str">
        <f>LOOKUP(2,1/(Debugging!C:C=B213),Debugging!H:H)</f>
        <v>43.00</v>
      </c>
      <c r="G213" s="6" t="str">
        <f>LOOKUP(2,1/(Coding!C:C=B213),Coding!H:H)</f>
        <v>25.00</v>
      </c>
      <c r="H213" s="8">
        <f>E213+F213+G213</f>
        <v>91</v>
      </c>
      <c r="I213" s="4" t="str">
        <f>IF(J213&lt;&gt;"Complete","Not Active",IF(H213&gt;=75,"Good",IF(H213&gt;=50,"Satisfactory",IF(H213&gt;=25,"Need Attention","Intervention"))))</f>
        <v>Good</v>
      </c>
      <c r="J213" s="4" t="str">
        <f>IF(COUNTIF(E213:G213,"#N/A")=3,"Not Attempted",IF(OR(ISNA(E213),ISNA(F213),ISNA(G213)),"NotCompleted","Complete"))</f>
        <v>Complete</v>
      </c>
    </row>
    <row r="214" spans="1:10" ht="15.6" x14ac:dyDescent="0.3">
      <c r="A214" s="16" t="s">
        <v>5486</v>
      </c>
      <c r="B214" s="20" t="s">
        <v>402</v>
      </c>
      <c r="C214" s="20" t="s">
        <v>7178</v>
      </c>
      <c r="D214" s="2" t="s">
        <v>25</v>
      </c>
      <c r="E214" s="6" t="str">
        <f>LOOKUP(2,1/(MCQ!C:C=B214),MCQ!H:H)</f>
        <v>25.00</v>
      </c>
      <c r="F214" s="6" t="str">
        <f>LOOKUP(2,1/(Debugging!C:C=B214),Debugging!H:H)</f>
        <v>33.00</v>
      </c>
      <c r="G214" s="6" t="str">
        <f>LOOKUP(2,1/(Coding!C:C=B214),Coding!H:H)</f>
        <v>25.00</v>
      </c>
      <c r="H214" s="8">
        <f>E214+F214+G214</f>
        <v>83</v>
      </c>
      <c r="I214" s="4" t="str">
        <f>IF(J214&lt;&gt;"Complete","Not Active",IF(H214&gt;=75,"Good",IF(H214&gt;=50,"Satisfactory",IF(H214&gt;=25,"Need Attention","Intervention"))))</f>
        <v>Good</v>
      </c>
      <c r="J214" s="4" t="str">
        <f>IF(COUNTIF(E214:G214,"#N/A")=3,"Not Attempted",IF(OR(ISNA(E214),ISNA(F214),ISNA(G214)),"NotCompleted","Complete"))</f>
        <v>Complete</v>
      </c>
    </row>
    <row r="215" spans="1:10" ht="15.6" x14ac:dyDescent="0.3">
      <c r="A215" s="16" t="s">
        <v>5486</v>
      </c>
      <c r="B215" s="20" t="s">
        <v>404</v>
      </c>
      <c r="C215" s="20" t="s">
        <v>7179</v>
      </c>
      <c r="D215" s="2" t="s">
        <v>8</v>
      </c>
      <c r="E215" s="6" t="str">
        <f>LOOKUP(2,1/(MCQ!C:C=B215),MCQ!H:H)</f>
        <v>20.00</v>
      </c>
      <c r="F215" s="6" t="str">
        <f>LOOKUP(2,1/(Debugging!C:C=B215),Debugging!H:H)</f>
        <v>38.00</v>
      </c>
      <c r="G215" s="6" t="str">
        <f>LOOKUP(2,1/(Coding!C:C=B215),Coding!H:H)</f>
        <v>22.50</v>
      </c>
      <c r="H215" s="8">
        <f>E215+F215+G215</f>
        <v>80.5</v>
      </c>
      <c r="I215" s="4" t="str">
        <f>IF(J215&lt;&gt;"Complete","Not Active",IF(H215&gt;=75,"Good",IF(H215&gt;=50,"Satisfactory",IF(H215&gt;=25,"Need Attention","Intervention"))))</f>
        <v>Good</v>
      </c>
      <c r="J215" s="4" t="str">
        <f>IF(COUNTIF(E215:G215,"#N/A")=3,"Not Attempted",IF(OR(ISNA(E215),ISNA(F215),ISNA(G215)),"NotCompleted","Complete"))</f>
        <v>Complete</v>
      </c>
    </row>
    <row r="216" spans="1:10" ht="15.6" x14ac:dyDescent="0.3">
      <c r="A216" s="16" t="s">
        <v>5486</v>
      </c>
      <c r="B216" s="20" t="s">
        <v>406</v>
      </c>
      <c r="C216" s="20" t="s">
        <v>7180</v>
      </c>
      <c r="D216" s="2" t="s">
        <v>42</v>
      </c>
      <c r="E216" s="6" t="str">
        <f>LOOKUP(2,1/(MCQ!C:C=B216),MCQ!H:H)</f>
        <v>22.00</v>
      </c>
      <c r="F216" s="6" t="str">
        <f>LOOKUP(2,1/(Debugging!C:C=B216),Debugging!H:H)</f>
        <v>47.00</v>
      </c>
      <c r="G216" s="6" t="str">
        <f>LOOKUP(2,1/(Coding!C:C=B216),Coding!H:H)</f>
        <v>18.50</v>
      </c>
      <c r="H216" s="8">
        <f>E216+F216+G216</f>
        <v>87.5</v>
      </c>
      <c r="I216" s="4" t="str">
        <f>IF(J216&lt;&gt;"Complete","Not Active",IF(H216&gt;=75,"Good",IF(H216&gt;=50,"Satisfactory",IF(H216&gt;=25,"Need Attention","Intervention"))))</f>
        <v>Good</v>
      </c>
      <c r="J216" s="4" t="str">
        <f>IF(COUNTIF(E216:G216,"#N/A")=3,"Not Attempted",IF(OR(ISNA(E216),ISNA(F216),ISNA(G216)),"NotCompleted","Complete"))</f>
        <v>Complete</v>
      </c>
    </row>
    <row r="217" spans="1:10" ht="15.6" x14ac:dyDescent="0.3">
      <c r="A217" s="16" t="s">
        <v>5486</v>
      </c>
      <c r="B217" s="20" t="s">
        <v>408</v>
      </c>
      <c r="C217" s="20" t="s">
        <v>7181</v>
      </c>
      <c r="D217" s="2" t="s">
        <v>25</v>
      </c>
      <c r="E217" s="6" t="str">
        <f>LOOKUP(2,1/(MCQ!C:C=B217),MCQ!H:H)</f>
        <v>21.00</v>
      </c>
      <c r="F217" s="6" t="str">
        <f>LOOKUP(2,1/(Debugging!C:C=B217),Debugging!H:H)</f>
        <v>26.00</v>
      </c>
      <c r="G217" s="6" t="str">
        <f>LOOKUP(2,1/(Coding!C:C=B217),Coding!H:H)</f>
        <v>24.00</v>
      </c>
      <c r="H217" s="8">
        <f>E217+F217+G217</f>
        <v>71</v>
      </c>
      <c r="I217" s="4" t="str">
        <f>IF(J217&lt;&gt;"Complete","Not Active",IF(H217&gt;=75,"Good",IF(H217&gt;=50,"Satisfactory",IF(H217&gt;=25,"Need Attention","Intervention"))))</f>
        <v>Satisfactory</v>
      </c>
      <c r="J217" s="4" t="str">
        <f>IF(COUNTIF(E217:G217,"#N/A")=3,"Not Attempted",IF(OR(ISNA(E217),ISNA(F217),ISNA(G217)),"NotCompleted","Complete"))</f>
        <v>Complete</v>
      </c>
    </row>
    <row r="218" spans="1:10" ht="15.6" x14ac:dyDescent="0.3">
      <c r="A218" s="16" t="s">
        <v>5486</v>
      </c>
      <c r="B218" s="20" t="s">
        <v>410</v>
      </c>
      <c r="C218" s="20" t="s">
        <v>7182</v>
      </c>
      <c r="D218" s="2" t="s">
        <v>1202</v>
      </c>
      <c r="E218" s="6" t="str">
        <f>LOOKUP(2,1/(MCQ!C:C=B218),MCQ!H:H)</f>
        <v>20.00</v>
      </c>
      <c r="F218" s="6" t="str">
        <f>LOOKUP(2,1/(Debugging!C:C=B218),Debugging!H:H)</f>
        <v>35.00</v>
      </c>
      <c r="G218" s="6" t="str">
        <f>LOOKUP(2,1/(Coding!C:C=B218),Coding!H:H)</f>
        <v>22.00</v>
      </c>
      <c r="H218" s="8">
        <f>E218+F218+G218</f>
        <v>77</v>
      </c>
      <c r="I218" s="4" t="str">
        <f>IF(J218&lt;&gt;"Complete","Not Active",IF(H218&gt;=75,"Good",IF(H218&gt;=50,"Satisfactory",IF(H218&gt;=25,"Need Attention","Intervention"))))</f>
        <v>Good</v>
      </c>
      <c r="J218" s="4" t="str">
        <f>IF(COUNTIF(E218:G218,"#N/A")=3,"Not Attempted",IF(OR(ISNA(E218),ISNA(F218),ISNA(G218)),"NotCompleted","Complete"))</f>
        <v>Complete</v>
      </c>
    </row>
    <row r="219" spans="1:10" ht="15.6" x14ac:dyDescent="0.3">
      <c r="A219" s="16" t="s">
        <v>5486</v>
      </c>
      <c r="B219" s="20" t="s">
        <v>413</v>
      </c>
      <c r="C219" s="20" t="s">
        <v>7183</v>
      </c>
      <c r="D219" s="2" t="s">
        <v>42</v>
      </c>
      <c r="E219" s="6" t="str">
        <f>LOOKUP(2,1/(MCQ!C:C=B219),MCQ!H:H)</f>
        <v>22.00</v>
      </c>
      <c r="F219" s="6" t="str">
        <f>LOOKUP(2,1/(Debugging!C:C=B219),Debugging!H:H)</f>
        <v>36.00</v>
      </c>
      <c r="G219" s="6" t="str">
        <f>LOOKUP(2,1/(Coding!C:C=B219),Coding!H:H)</f>
        <v>23.50</v>
      </c>
      <c r="H219" s="8">
        <f>E219+F219+G219</f>
        <v>81.5</v>
      </c>
      <c r="I219" s="4" t="str">
        <f>IF(J219&lt;&gt;"Complete","Not Active",IF(H219&gt;=75,"Good",IF(H219&gt;=50,"Satisfactory",IF(H219&gt;=25,"Need Attention","Intervention"))))</f>
        <v>Good</v>
      </c>
      <c r="J219" s="4" t="str">
        <f>IF(COUNTIF(E219:G219,"#N/A")=3,"Not Attempted",IF(OR(ISNA(E219),ISNA(F219),ISNA(G219)),"NotCompleted","Complete"))</f>
        <v>Complete</v>
      </c>
    </row>
    <row r="220" spans="1:10" ht="15.6" x14ac:dyDescent="0.3">
      <c r="A220" s="16" t="s">
        <v>5486</v>
      </c>
      <c r="B220" s="20" t="s">
        <v>415</v>
      </c>
      <c r="C220" s="20" t="s">
        <v>7184</v>
      </c>
      <c r="D220" s="2" t="s">
        <v>22</v>
      </c>
      <c r="E220" s="6" t="str">
        <f>LOOKUP(2,1/(MCQ!C:C=B220),MCQ!H:H)</f>
        <v>22.00</v>
      </c>
      <c r="F220" s="6" t="str">
        <f>LOOKUP(2,1/(Debugging!C:C=B220),Debugging!H:H)</f>
        <v>48.00</v>
      </c>
      <c r="G220" s="6" t="str">
        <f>LOOKUP(2,1/(Coding!C:C=B220),Coding!H:H)</f>
        <v>23.50</v>
      </c>
      <c r="H220" s="8">
        <f>E220+F220+G220</f>
        <v>93.5</v>
      </c>
      <c r="I220" s="4" t="str">
        <f>IF(J220&lt;&gt;"Complete","Not Active",IF(H220&gt;=75,"Good",IF(H220&gt;=50,"Satisfactory",IF(H220&gt;=25,"Need Attention","Intervention"))))</f>
        <v>Good</v>
      </c>
      <c r="J220" s="4" t="str">
        <f>IF(COUNTIF(E220:G220,"#N/A")=3,"Not Attempted",IF(OR(ISNA(E220),ISNA(F220),ISNA(G220)),"NotCompleted","Complete"))</f>
        <v>Complete</v>
      </c>
    </row>
    <row r="221" spans="1:10" ht="15.6" x14ac:dyDescent="0.3">
      <c r="A221" s="16" t="s">
        <v>5486</v>
      </c>
      <c r="B221" s="20" t="s">
        <v>417</v>
      </c>
      <c r="C221" s="20" t="s">
        <v>7185</v>
      </c>
      <c r="D221" s="2" t="s">
        <v>133</v>
      </c>
      <c r="E221" s="6" t="str">
        <f>LOOKUP(2,1/(MCQ!C:C=B221),MCQ!H:H)</f>
        <v>20.00</v>
      </c>
      <c r="F221" s="6" t="str">
        <f>LOOKUP(2,1/(Debugging!C:C=B221),Debugging!H:H)</f>
        <v>29.00</v>
      </c>
      <c r="G221" s="6" t="str">
        <f>LOOKUP(2,1/(Coding!C:C=B221),Coding!H:H)</f>
        <v>0.00</v>
      </c>
      <c r="H221" s="8">
        <f>E221+F221+G221</f>
        <v>49</v>
      </c>
      <c r="I221" s="4" t="str">
        <f>IF(J221&lt;&gt;"Complete","Not Active",IF(H221&gt;=75,"Good",IF(H221&gt;=50,"Satisfactory",IF(H221&gt;=25,"Need Attention","Intervention"))))</f>
        <v>Need Attention</v>
      </c>
      <c r="J221" s="4" t="str">
        <f>IF(COUNTIF(E221:G221,"#N/A")=3,"Not Attempted",IF(OR(ISNA(E221),ISNA(F221),ISNA(G221)),"NotCompleted","Complete"))</f>
        <v>Complete</v>
      </c>
    </row>
    <row r="222" spans="1:10" ht="15.6" x14ac:dyDescent="0.3">
      <c r="A222" s="16" t="s">
        <v>5486</v>
      </c>
      <c r="B222" s="20" t="s">
        <v>419</v>
      </c>
      <c r="C222" s="20" t="s">
        <v>7186</v>
      </c>
      <c r="D222" s="2" t="s">
        <v>8</v>
      </c>
      <c r="E222" s="6" t="str">
        <f>LOOKUP(2,1/(MCQ!C:C=B222),MCQ!H:H)</f>
        <v>24.00</v>
      </c>
      <c r="F222" s="6" t="str">
        <f>LOOKUP(2,1/(Debugging!C:C=B222),Debugging!H:H)</f>
        <v>29.00</v>
      </c>
      <c r="G222" s="6" t="str">
        <f>LOOKUP(2,1/(Coding!C:C=B222),Coding!H:H)</f>
        <v>21.00</v>
      </c>
      <c r="H222" s="8">
        <f>E222+F222+G222</f>
        <v>74</v>
      </c>
      <c r="I222" s="4" t="str">
        <f>IF(J222&lt;&gt;"Complete","Not Active",IF(H222&gt;=75,"Good",IF(H222&gt;=50,"Satisfactory",IF(H222&gt;=25,"Need Attention","Intervention"))))</f>
        <v>Satisfactory</v>
      </c>
      <c r="J222" s="4" t="str">
        <f>IF(COUNTIF(E222:G222,"#N/A")=3,"Not Attempted",IF(OR(ISNA(E222),ISNA(F222),ISNA(G222)),"NotCompleted","Complete"))</f>
        <v>Complete</v>
      </c>
    </row>
    <row r="223" spans="1:10" ht="15.6" x14ac:dyDescent="0.3">
      <c r="A223" s="16" t="s">
        <v>5486</v>
      </c>
      <c r="B223" s="20" t="s">
        <v>420</v>
      </c>
      <c r="C223" s="20" t="s">
        <v>7187</v>
      </c>
      <c r="D223" s="2" t="s">
        <v>947</v>
      </c>
      <c r="E223" s="6" t="str">
        <f>LOOKUP(2,1/(MCQ!C:C=B223),MCQ!H:H)</f>
        <v>22.00</v>
      </c>
      <c r="F223" s="6" t="str">
        <f>LOOKUP(2,1/(Debugging!C:C=B223),Debugging!H:H)</f>
        <v>37.00</v>
      </c>
      <c r="G223" s="6" t="str">
        <f>LOOKUP(2,1/(Coding!C:C=B223),Coding!H:H)</f>
        <v>25.00</v>
      </c>
      <c r="H223" s="8">
        <f>E223+F223+G223</f>
        <v>84</v>
      </c>
      <c r="I223" s="4" t="str">
        <f>IF(J223&lt;&gt;"Complete","Not Active",IF(H223&gt;=75,"Good",IF(H223&gt;=50,"Satisfactory",IF(H223&gt;=25,"Need Attention","Intervention"))))</f>
        <v>Good</v>
      </c>
      <c r="J223" s="4" t="str">
        <f>IF(COUNTIF(E223:G223,"#N/A")=3,"Not Attempted",IF(OR(ISNA(E223),ISNA(F223),ISNA(G223)),"NotCompleted","Complete"))</f>
        <v>Complete</v>
      </c>
    </row>
    <row r="224" spans="1:10" ht="15.6" x14ac:dyDescent="0.3">
      <c r="A224" s="18" t="s">
        <v>5486</v>
      </c>
      <c r="B224" s="21" t="s">
        <v>424</v>
      </c>
      <c r="C224" s="21" t="s">
        <v>7500</v>
      </c>
      <c r="D224" s="23"/>
      <c r="E224" s="6" t="str">
        <f>LOOKUP(2,1/(MCQ!C:C=B224),MCQ!H:H)</f>
        <v>19.00</v>
      </c>
      <c r="F224" s="6" t="str">
        <f>LOOKUP(2,1/(Debugging!C:C=B224),Debugging!H:H)</f>
        <v>30.00</v>
      </c>
      <c r="G224" s="6" t="str">
        <f>LOOKUP(2,1/(Coding!C:C=B224),Coding!H:H)</f>
        <v>18.00</v>
      </c>
      <c r="H224" s="8">
        <f>E224+F224+G224</f>
        <v>67</v>
      </c>
      <c r="I224" s="4" t="str">
        <f>IF(J224&lt;&gt;"Complete","Not Active",IF(H224&gt;=75,"Good",IF(H224&gt;=50,"Satisfactory",IF(H224&gt;=25,"Need Attention","Intervention"))))</f>
        <v>Satisfactory</v>
      </c>
      <c r="J224" s="4" t="str">
        <f>IF(COUNTIF(E224:G224,"#N/A")=3,"Not Attempted",IF(OR(ISNA(E224),ISNA(F224),ISNA(G224)),"NotCompleted","Complete"))</f>
        <v>Complete</v>
      </c>
    </row>
    <row r="225" spans="1:10" ht="15.6" x14ac:dyDescent="0.3">
      <c r="A225" s="18" t="s">
        <v>5486</v>
      </c>
      <c r="B225" s="21" t="s">
        <v>422</v>
      </c>
      <c r="C225" s="21" t="s">
        <v>7501</v>
      </c>
      <c r="D225" s="23"/>
      <c r="E225" s="6" t="str">
        <f>LOOKUP(2,1/(MCQ!C:C=B225),MCQ!H:H)</f>
        <v>21.00</v>
      </c>
      <c r="F225" s="6" t="str">
        <f>LOOKUP(2,1/(Debugging!C:C=B225),Debugging!H:H)</f>
        <v>20.00</v>
      </c>
      <c r="G225" s="6" t="str">
        <f>LOOKUP(2,1/(Coding!C:C=B225),Coding!H:H)</f>
        <v>10.00</v>
      </c>
      <c r="H225" s="8">
        <f>E225+F225+G225</f>
        <v>51</v>
      </c>
      <c r="I225" s="4" t="str">
        <f>IF(J225&lt;&gt;"Complete","Not Active",IF(H225&gt;=75,"Good",IF(H225&gt;=50,"Satisfactory",IF(H225&gt;=25,"Need Attention","Intervention"))))</f>
        <v>Satisfactory</v>
      </c>
      <c r="J225" s="4" t="str">
        <f>IF(COUNTIF(E225:G225,"#N/A")=3,"Not Attempted",IF(OR(ISNA(E225),ISNA(F225),ISNA(G225)),"NotCompleted","Complete"))</f>
        <v>Complete</v>
      </c>
    </row>
    <row r="226" spans="1:10" ht="15.6" x14ac:dyDescent="0.3">
      <c r="A226" s="17" t="s">
        <v>5487</v>
      </c>
      <c r="B226" s="20" t="s">
        <v>426</v>
      </c>
      <c r="C226" s="20" t="s">
        <v>6610</v>
      </c>
      <c r="D226" s="2" t="s">
        <v>8</v>
      </c>
      <c r="E226" s="6" t="str">
        <f>LOOKUP(2,1/(MCQ!C:C=B226),MCQ!H:H)</f>
        <v>22.00</v>
      </c>
      <c r="F226" s="6" t="str">
        <f>LOOKUP(2,1/(Debugging!C:C=B226),Debugging!H:H)</f>
        <v>49.00</v>
      </c>
      <c r="G226" s="6" t="str">
        <f>LOOKUP(2,1/(Coding!C:C=B226),Coding!H:H)</f>
        <v>25.00</v>
      </c>
      <c r="H226" s="8">
        <f>E226+F226+G226</f>
        <v>96</v>
      </c>
      <c r="I226" s="4" t="str">
        <f>IF(J226&lt;&gt;"Complete","Not Active",IF(H226&gt;=75,"Good",IF(H226&gt;=50,"Satisfactory",IF(H226&gt;=25,"Need Attention","Intervention"))))</f>
        <v>Good</v>
      </c>
      <c r="J226" s="4" t="str">
        <f>IF(COUNTIF(E226:G226,"#N/A")=3,"Not Attempted",IF(OR(ISNA(E226),ISNA(F226),ISNA(G226)),"NotCompleted","Complete"))</f>
        <v>Complete</v>
      </c>
    </row>
    <row r="227" spans="1:10" ht="15.6" x14ac:dyDescent="0.3">
      <c r="A227" s="17" t="s">
        <v>5487</v>
      </c>
      <c r="B227" s="20" t="s">
        <v>428</v>
      </c>
      <c r="C227" s="20" t="s">
        <v>6611</v>
      </c>
      <c r="D227" s="2" t="s">
        <v>11</v>
      </c>
      <c r="E227" s="6" t="str">
        <f>LOOKUP(2,1/(MCQ!C:C=B227),MCQ!H:H)</f>
        <v>19.00</v>
      </c>
      <c r="F227" s="6" t="str">
        <f>LOOKUP(2,1/(Debugging!C:C=B227),Debugging!H:H)</f>
        <v>37.00</v>
      </c>
      <c r="G227" s="6" t="e">
        <f>LOOKUP(2,1/(Coding!C:C=B227),Coding!H:H)</f>
        <v>#N/A</v>
      </c>
      <c r="H227" s="8" t="e">
        <f>E227+F227+G227</f>
        <v>#N/A</v>
      </c>
      <c r="I227" s="4" t="str">
        <f>IF(J227&lt;&gt;"Complete","Not Active",IF(H227&gt;=75,"Good",IF(H227&gt;=50,"Satisfactory",IF(H227&gt;=25,"Need Attention","Intervention"))))</f>
        <v>Not Active</v>
      </c>
      <c r="J227" s="4" t="str">
        <f>IF(COUNTIF(E227:G227,"#N/A")=3,"Not Attempted",IF(OR(ISNA(E227),ISNA(F227),ISNA(G227)),"NotCompleted","Complete"))</f>
        <v>NotCompleted</v>
      </c>
    </row>
    <row r="228" spans="1:10" ht="15.6" x14ac:dyDescent="0.3">
      <c r="A228" s="17" t="s">
        <v>5487</v>
      </c>
      <c r="B228" s="20" t="s">
        <v>431</v>
      </c>
      <c r="C228" s="20" t="s">
        <v>6612</v>
      </c>
      <c r="D228" s="2" t="s">
        <v>8</v>
      </c>
      <c r="E228" s="6" t="str">
        <f>LOOKUP(2,1/(MCQ!C:C=B228),MCQ!H:H)</f>
        <v>24.00</v>
      </c>
      <c r="F228" s="6" t="str">
        <f>LOOKUP(2,1/(Debugging!C:C=B228),Debugging!H:H)</f>
        <v>50.00</v>
      </c>
      <c r="G228" s="6" t="str">
        <f>LOOKUP(2,1/(Coding!C:C=B228),Coding!H:H)</f>
        <v>20.50</v>
      </c>
      <c r="H228" s="8">
        <f>E228+F228+G228</f>
        <v>94.5</v>
      </c>
      <c r="I228" s="4" t="str">
        <f>IF(J228&lt;&gt;"Complete","Not Active",IF(H228&gt;=75,"Good",IF(H228&gt;=50,"Satisfactory",IF(H228&gt;=25,"Need Attention","Intervention"))))</f>
        <v>Good</v>
      </c>
      <c r="J228" s="4" t="str">
        <f>IF(COUNTIF(E228:G228,"#N/A")=3,"Not Attempted",IF(OR(ISNA(E228),ISNA(F228),ISNA(G228)),"NotCompleted","Complete"))</f>
        <v>Complete</v>
      </c>
    </row>
    <row r="229" spans="1:10" ht="15.6" x14ac:dyDescent="0.3">
      <c r="A229" s="17" t="s">
        <v>5487</v>
      </c>
      <c r="B229" s="20" t="s">
        <v>433</v>
      </c>
      <c r="C229" s="20" t="s">
        <v>6613</v>
      </c>
      <c r="D229" s="2" t="s">
        <v>16</v>
      </c>
      <c r="E229" s="6" t="str">
        <f>LOOKUP(2,1/(MCQ!C:C=B229),MCQ!H:H)</f>
        <v>25.00</v>
      </c>
      <c r="F229" s="6" t="str">
        <f>LOOKUP(2,1/(Debugging!C:C=B229),Debugging!H:H)</f>
        <v>47.00</v>
      </c>
      <c r="G229" s="6" t="str">
        <f>LOOKUP(2,1/(Coding!C:C=B229),Coding!H:H)</f>
        <v>25.00</v>
      </c>
      <c r="H229" s="8">
        <f>E229+F229+G229</f>
        <v>97</v>
      </c>
      <c r="I229" s="4" t="str">
        <f>IF(J229&lt;&gt;"Complete","Not Active",IF(H229&gt;=75,"Good",IF(H229&gt;=50,"Satisfactory",IF(H229&gt;=25,"Need Attention","Intervention"))))</f>
        <v>Good</v>
      </c>
      <c r="J229" s="4" t="str">
        <f>IF(COUNTIF(E229:G229,"#N/A")=3,"Not Attempted",IF(OR(ISNA(E229),ISNA(F229),ISNA(G229)),"NotCompleted","Complete"))</f>
        <v>Complete</v>
      </c>
    </row>
    <row r="230" spans="1:10" ht="15.6" x14ac:dyDescent="0.3">
      <c r="A230" s="17" t="s">
        <v>5487</v>
      </c>
      <c r="B230" s="20" t="s">
        <v>435</v>
      </c>
      <c r="C230" s="20" t="s">
        <v>6614</v>
      </c>
      <c r="D230" s="2" t="s">
        <v>19</v>
      </c>
      <c r="E230" s="6" t="str">
        <f>LOOKUP(2,1/(MCQ!C:C=B230),MCQ!H:H)</f>
        <v>23.00</v>
      </c>
      <c r="F230" s="6" t="str">
        <f>LOOKUP(2,1/(Debugging!C:C=B230),Debugging!H:H)</f>
        <v>45.00</v>
      </c>
      <c r="G230" s="6" t="str">
        <f>LOOKUP(2,1/(Coding!C:C=B230),Coding!H:H)</f>
        <v>25.00</v>
      </c>
      <c r="H230" s="8">
        <f>E230+F230+G230</f>
        <v>93</v>
      </c>
      <c r="I230" s="4" t="str">
        <f>IF(J230&lt;&gt;"Complete","Not Active",IF(H230&gt;=75,"Good",IF(H230&gt;=50,"Satisfactory",IF(H230&gt;=25,"Need Attention","Intervention"))))</f>
        <v>Good</v>
      </c>
      <c r="J230" s="4" t="str">
        <f>IF(COUNTIF(E230:G230,"#N/A")=3,"Not Attempted",IF(OR(ISNA(E230),ISNA(F230),ISNA(G230)),"NotCompleted","Complete"))</f>
        <v>Complete</v>
      </c>
    </row>
    <row r="231" spans="1:10" ht="15.6" x14ac:dyDescent="0.3">
      <c r="A231" s="17" t="s">
        <v>5487</v>
      </c>
      <c r="B231" s="20" t="s">
        <v>437</v>
      </c>
      <c r="C231" s="20" t="s">
        <v>6615</v>
      </c>
      <c r="D231" s="2" t="s">
        <v>22</v>
      </c>
      <c r="E231" s="6" t="str">
        <f>LOOKUP(2,1/(MCQ!C:C=B231),MCQ!H:H)</f>
        <v>22.00</v>
      </c>
      <c r="F231" s="6" t="e">
        <f>LOOKUP(2,1/(Debugging!C:C=B231),Debugging!H:H)</f>
        <v>#N/A</v>
      </c>
      <c r="G231" s="6" t="e">
        <f>LOOKUP(2,1/(Coding!C:C=B231),Coding!H:H)</f>
        <v>#N/A</v>
      </c>
      <c r="H231" s="8" t="e">
        <f>E231+F231+G231</f>
        <v>#N/A</v>
      </c>
      <c r="I231" s="4" t="str">
        <f>IF(J231&lt;&gt;"Complete","Not Active",IF(H231&gt;=75,"Good",IF(H231&gt;=50,"Satisfactory",IF(H231&gt;=25,"Need Attention","Intervention"))))</f>
        <v>Not Active</v>
      </c>
      <c r="J231" s="4" t="str">
        <f>IF(COUNTIF(E231:G231,"#N/A")=3,"Not Attempted",IF(OR(ISNA(E231),ISNA(F231),ISNA(G231)),"NotCompleted","Complete"))</f>
        <v>NotCompleted</v>
      </c>
    </row>
    <row r="232" spans="1:10" ht="15.6" x14ac:dyDescent="0.3">
      <c r="A232" s="17" t="s">
        <v>5487</v>
      </c>
      <c r="B232" s="20" t="s">
        <v>439</v>
      </c>
      <c r="C232" s="20" t="s">
        <v>6616</v>
      </c>
      <c r="D232" s="2" t="s">
        <v>25</v>
      </c>
      <c r="E232" s="6" t="str">
        <f>LOOKUP(2,1/(MCQ!C:C=B232),MCQ!H:H)</f>
        <v>25.00</v>
      </c>
      <c r="F232" s="6" t="str">
        <f>LOOKUP(2,1/(Debugging!C:C=B232),Debugging!H:H)</f>
        <v>44.00</v>
      </c>
      <c r="G232" s="6" t="str">
        <f>LOOKUP(2,1/(Coding!C:C=B232),Coding!H:H)</f>
        <v>24.00</v>
      </c>
      <c r="H232" s="8">
        <f>E232+F232+G232</f>
        <v>93</v>
      </c>
      <c r="I232" s="4" t="str">
        <f>IF(J232&lt;&gt;"Complete","Not Active",IF(H232&gt;=75,"Good",IF(H232&gt;=50,"Satisfactory",IF(H232&gt;=25,"Need Attention","Intervention"))))</f>
        <v>Good</v>
      </c>
      <c r="J232" s="4" t="str">
        <f>IF(COUNTIF(E232:G232,"#N/A")=3,"Not Attempted",IF(OR(ISNA(E232),ISNA(F232),ISNA(G232)),"NotCompleted","Complete"))</f>
        <v>Complete</v>
      </c>
    </row>
    <row r="233" spans="1:10" ht="15.6" x14ac:dyDescent="0.3">
      <c r="A233" s="17" t="s">
        <v>5487</v>
      </c>
      <c r="B233" s="20" t="s">
        <v>441</v>
      </c>
      <c r="C233" s="20" t="s">
        <v>6617</v>
      </c>
      <c r="D233" s="2" t="s">
        <v>28</v>
      </c>
      <c r="E233" s="6" t="str">
        <f>LOOKUP(2,1/(MCQ!C:C=B233),MCQ!H:H)</f>
        <v>20.00</v>
      </c>
      <c r="F233" s="6" t="str">
        <f>LOOKUP(2,1/(Debugging!C:C=B233),Debugging!H:H)</f>
        <v>47.00</v>
      </c>
      <c r="G233" s="6" t="str">
        <f>LOOKUP(2,1/(Coding!C:C=B233),Coding!H:H)</f>
        <v>25.00</v>
      </c>
      <c r="H233" s="8">
        <f>E233+F233+G233</f>
        <v>92</v>
      </c>
      <c r="I233" s="4" t="str">
        <f>IF(J233&lt;&gt;"Complete","Not Active",IF(H233&gt;=75,"Good",IF(H233&gt;=50,"Satisfactory",IF(H233&gt;=25,"Need Attention","Intervention"))))</f>
        <v>Good</v>
      </c>
      <c r="J233" s="4" t="str">
        <f>IF(COUNTIF(E233:G233,"#N/A")=3,"Not Attempted",IF(OR(ISNA(E233),ISNA(F233),ISNA(G233)),"NotCompleted","Complete"))</f>
        <v>Complete</v>
      </c>
    </row>
    <row r="234" spans="1:10" ht="15.6" x14ac:dyDescent="0.3">
      <c r="A234" s="17" t="s">
        <v>5487</v>
      </c>
      <c r="B234" s="20" t="s">
        <v>443</v>
      </c>
      <c r="C234" s="20" t="s">
        <v>6618</v>
      </c>
      <c r="D234" s="2" t="s">
        <v>31</v>
      </c>
      <c r="E234" s="6" t="str">
        <f>LOOKUP(2,1/(MCQ!C:C=B234),MCQ!H:H)</f>
        <v>24.00</v>
      </c>
      <c r="F234" s="6" t="str">
        <f>LOOKUP(2,1/(Debugging!C:C=B234),Debugging!H:H)</f>
        <v>49.00</v>
      </c>
      <c r="G234" s="6" t="str">
        <f>LOOKUP(2,1/(Coding!C:C=B234),Coding!H:H)</f>
        <v>24.00</v>
      </c>
      <c r="H234" s="8">
        <f>E234+F234+G234</f>
        <v>97</v>
      </c>
      <c r="I234" s="4" t="str">
        <f>IF(J234&lt;&gt;"Complete","Not Active",IF(H234&gt;=75,"Good",IF(H234&gt;=50,"Satisfactory",IF(H234&gt;=25,"Need Attention","Intervention"))))</f>
        <v>Good</v>
      </c>
      <c r="J234" s="4" t="str">
        <f>IF(COUNTIF(E234:G234,"#N/A")=3,"Not Attempted",IF(OR(ISNA(E234),ISNA(F234),ISNA(G234)),"NotCompleted","Complete"))</f>
        <v>Complete</v>
      </c>
    </row>
    <row r="235" spans="1:10" ht="15.6" x14ac:dyDescent="0.3">
      <c r="A235" s="17" t="s">
        <v>5487</v>
      </c>
      <c r="B235" s="20" t="s">
        <v>445</v>
      </c>
      <c r="C235" s="20" t="s">
        <v>6619</v>
      </c>
      <c r="D235" s="2" t="s">
        <v>28</v>
      </c>
      <c r="E235" s="6" t="str">
        <f>LOOKUP(2,1/(MCQ!C:C=B235),MCQ!H:H)</f>
        <v>24.00</v>
      </c>
      <c r="F235" s="6" t="str">
        <f>LOOKUP(2,1/(Debugging!C:C=B235),Debugging!H:H)</f>
        <v>46.00</v>
      </c>
      <c r="G235" s="6" t="str">
        <f>LOOKUP(2,1/(Coding!C:C=B235),Coding!H:H)</f>
        <v>22.50</v>
      </c>
      <c r="H235" s="8">
        <f>E235+F235+G235</f>
        <v>92.5</v>
      </c>
      <c r="I235" s="4" t="str">
        <f>IF(J235&lt;&gt;"Complete","Not Active",IF(H235&gt;=75,"Good",IF(H235&gt;=50,"Satisfactory",IF(H235&gt;=25,"Need Attention","Intervention"))))</f>
        <v>Good</v>
      </c>
      <c r="J235" s="4" t="str">
        <f>IF(COUNTIF(E235:G235,"#N/A")=3,"Not Attempted",IF(OR(ISNA(E235),ISNA(F235),ISNA(G235)),"NotCompleted","Complete"))</f>
        <v>Complete</v>
      </c>
    </row>
    <row r="236" spans="1:10" ht="15.6" x14ac:dyDescent="0.3">
      <c r="A236" s="17" t="s">
        <v>5487</v>
      </c>
      <c r="B236" s="20" t="s">
        <v>447</v>
      </c>
      <c r="C236" s="20" t="s">
        <v>6620</v>
      </c>
      <c r="D236" s="2" t="s">
        <v>19</v>
      </c>
      <c r="E236" s="6" t="str">
        <f>LOOKUP(2,1/(MCQ!C:C=B236),MCQ!H:H)</f>
        <v>25.00</v>
      </c>
      <c r="F236" s="6" t="str">
        <f>LOOKUP(2,1/(Debugging!C:C=B236),Debugging!H:H)</f>
        <v>45.00</v>
      </c>
      <c r="G236" s="6" t="str">
        <f>LOOKUP(2,1/(Coding!C:C=B236),Coding!H:H)</f>
        <v>23.50</v>
      </c>
      <c r="H236" s="8">
        <f>E236+F236+G236</f>
        <v>93.5</v>
      </c>
      <c r="I236" s="4" t="str">
        <f>IF(J236&lt;&gt;"Complete","Not Active",IF(H236&gt;=75,"Good",IF(H236&gt;=50,"Satisfactory",IF(H236&gt;=25,"Need Attention","Intervention"))))</f>
        <v>Good</v>
      </c>
      <c r="J236" s="4" t="str">
        <f>IF(COUNTIF(E236:G236,"#N/A")=3,"Not Attempted",IF(OR(ISNA(E236),ISNA(F236),ISNA(G236)),"NotCompleted","Complete"))</f>
        <v>Complete</v>
      </c>
    </row>
    <row r="237" spans="1:10" ht="15.6" x14ac:dyDescent="0.3">
      <c r="A237" s="17" t="s">
        <v>5487</v>
      </c>
      <c r="B237" s="20" t="s">
        <v>449</v>
      </c>
      <c r="C237" s="20" t="s">
        <v>6621</v>
      </c>
      <c r="D237" s="2" t="s">
        <v>28</v>
      </c>
      <c r="E237" s="6" t="str">
        <f>LOOKUP(2,1/(MCQ!C:C=B237),MCQ!H:H)</f>
        <v>24.00</v>
      </c>
      <c r="F237" s="6" t="str">
        <f>LOOKUP(2,1/(Debugging!C:C=B237),Debugging!H:H)</f>
        <v>49.00</v>
      </c>
      <c r="G237" s="6" t="e">
        <f>LOOKUP(2,1/(Coding!C:C=B237),Coding!H:H)</f>
        <v>#N/A</v>
      </c>
      <c r="H237" s="8" t="e">
        <f>E237+F237+G237</f>
        <v>#N/A</v>
      </c>
      <c r="I237" s="4" t="str">
        <f>IF(J237&lt;&gt;"Complete","Not Active",IF(H237&gt;=75,"Good",IF(H237&gt;=50,"Satisfactory",IF(H237&gt;=25,"Need Attention","Intervention"))))</f>
        <v>Not Active</v>
      </c>
      <c r="J237" s="4" t="str">
        <f>IF(COUNTIF(E237:G237,"#N/A")=3,"Not Attempted",IF(OR(ISNA(E237),ISNA(F237),ISNA(G237)),"NotCompleted","Complete"))</f>
        <v>NotCompleted</v>
      </c>
    </row>
    <row r="238" spans="1:10" ht="15.6" x14ac:dyDescent="0.3">
      <c r="A238" s="17" t="s">
        <v>5487</v>
      </c>
      <c r="B238" s="20" t="s">
        <v>451</v>
      </c>
      <c r="C238" s="20" t="s">
        <v>6622</v>
      </c>
      <c r="D238" s="2" t="s">
        <v>8</v>
      </c>
      <c r="E238" s="6" t="str">
        <f>LOOKUP(2,1/(MCQ!C:C=B238),MCQ!H:H)</f>
        <v>24.00</v>
      </c>
      <c r="F238" s="6" t="str">
        <f>LOOKUP(2,1/(Debugging!C:C=B238),Debugging!H:H)</f>
        <v>48.00</v>
      </c>
      <c r="G238" s="6" t="str">
        <f>LOOKUP(2,1/(Coding!C:C=B238),Coding!H:H)</f>
        <v>25.00</v>
      </c>
      <c r="H238" s="8">
        <f>E238+F238+G238</f>
        <v>97</v>
      </c>
      <c r="I238" s="4" t="str">
        <f>IF(J238&lt;&gt;"Complete","Not Active",IF(H238&gt;=75,"Good",IF(H238&gt;=50,"Satisfactory",IF(H238&gt;=25,"Need Attention","Intervention"))))</f>
        <v>Good</v>
      </c>
      <c r="J238" s="4" t="str">
        <f>IF(COUNTIF(E238:G238,"#N/A")=3,"Not Attempted",IF(OR(ISNA(E238),ISNA(F238),ISNA(G238)),"NotCompleted","Complete"))</f>
        <v>Complete</v>
      </c>
    </row>
    <row r="239" spans="1:10" ht="15.6" x14ac:dyDescent="0.3">
      <c r="A239" s="17" t="s">
        <v>5487</v>
      </c>
      <c r="B239" s="20" t="s">
        <v>453</v>
      </c>
      <c r="C239" s="20" t="s">
        <v>6623</v>
      </c>
      <c r="D239" s="2" t="s">
        <v>42</v>
      </c>
      <c r="E239" s="6" t="str">
        <f>LOOKUP(2,1/(MCQ!C:C=B239),MCQ!H:H)</f>
        <v>25.00</v>
      </c>
      <c r="F239" s="6" t="str">
        <f>LOOKUP(2,1/(Debugging!C:C=B239),Debugging!H:H)</f>
        <v>35.00</v>
      </c>
      <c r="G239" s="6" t="str">
        <f>LOOKUP(2,1/(Coding!C:C=B239),Coding!H:H)</f>
        <v>25.00</v>
      </c>
      <c r="H239" s="8">
        <f>E239+F239+G239</f>
        <v>85</v>
      </c>
      <c r="I239" s="4" t="str">
        <f>IF(J239&lt;&gt;"Complete","Not Active",IF(H239&gt;=75,"Good",IF(H239&gt;=50,"Satisfactory",IF(H239&gt;=25,"Need Attention","Intervention"))))</f>
        <v>Good</v>
      </c>
      <c r="J239" s="4" t="str">
        <f>IF(COUNTIF(E239:G239,"#N/A")=3,"Not Attempted",IF(OR(ISNA(E239),ISNA(F239),ISNA(G239)),"NotCompleted","Complete"))</f>
        <v>Complete</v>
      </c>
    </row>
    <row r="240" spans="1:10" ht="15.6" x14ac:dyDescent="0.3">
      <c r="A240" s="17" t="s">
        <v>5487</v>
      </c>
      <c r="B240" s="20" t="s">
        <v>455</v>
      </c>
      <c r="C240" s="20" t="s">
        <v>6624</v>
      </c>
      <c r="D240" s="2" t="s">
        <v>31</v>
      </c>
      <c r="E240" s="6" t="str">
        <f>LOOKUP(2,1/(MCQ!C:C=B240),MCQ!H:H)</f>
        <v>19.00</v>
      </c>
      <c r="F240" s="6" t="e">
        <f>LOOKUP(2,1/(Debugging!C:C=B240),Debugging!H:H)</f>
        <v>#N/A</v>
      </c>
      <c r="G240" s="6" t="e">
        <f>LOOKUP(2,1/(Coding!C:C=B240),Coding!H:H)</f>
        <v>#N/A</v>
      </c>
      <c r="H240" s="8" t="e">
        <f>E240+F240+G240</f>
        <v>#N/A</v>
      </c>
      <c r="I240" s="4" t="str">
        <f>IF(J240&lt;&gt;"Complete","Not Active",IF(H240&gt;=75,"Good",IF(H240&gt;=50,"Satisfactory",IF(H240&gt;=25,"Need Attention","Intervention"))))</f>
        <v>Not Active</v>
      </c>
      <c r="J240" s="4" t="str">
        <f>IF(COUNTIF(E240:G240,"#N/A")=3,"Not Attempted",IF(OR(ISNA(E240),ISNA(F240),ISNA(G240)),"NotCompleted","Complete"))</f>
        <v>NotCompleted</v>
      </c>
    </row>
    <row r="241" spans="1:10" ht="15.6" x14ac:dyDescent="0.3">
      <c r="A241" s="17" t="s">
        <v>5487</v>
      </c>
      <c r="B241" s="20" t="s">
        <v>457</v>
      </c>
      <c r="C241" s="20" t="s">
        <v>6625</v>
      </c>
      <c r="D241" s="2" t="s">
        <v>28</v>
      </c>
      <c r="E241" s="6" t="str">
        <f>LOOKUP(2,1/(MCQ!C:C=B241),MCQ!H:H)</f>
        <v>20.00</v>
      </c>
      <c r="F241" s="6" t="str">
        <f>LOOKUP(2,1/(Debugging!C:C=B241),Debugging!H:H)</f>
        <v>43.00</v>
      </c>
      <c r="G241" s="6" t="str">
        <f>LOOKUP(2,1/(Coding!C:C=B241),Coding!H:H)</f>
        <v>24.00</v>
      </c>
      <c r="H241" s="8">
        <f>E241+F241+G241</f>
        <v>87</v>
      </c>
      <c r="I241" s="4" t="str">
        <f>IF(J241&lt;&gt;"Complete","Not Active",IF(H241&gt;=75,"Good",IF(H241&gt;=50,"Satisfactory",IF(H241&gt;=25,"Need Attention","Intervention"))))</f>
        <v>Good</v>
      </c>
      <c r="J241" s="4" t="str">
        <f>IF(COUNTIF(E241:G241,"#N/A")=3,"Not Attempted",IF(OR(ISNA(E241),ISNA(F241),ISNA(G241)),"NotCompleted","Complete"))</f>
        <v>Complete</v>
      </c>
    </row>
    <row r="242" spans="1:10" ht="15.6" x14ac:dyDescent="0.3">
      <c r="A242" s="17" t="s">
        <v>5487</v>
      </c>
      <c r="B242" s="20" t="s">
        <v>5507</v>
      </c>
      <c r="C242" s="20" t="s">
        <v>6626</v>
      </c>
      <c r="D242" s="2" t="s">
        <v>49</v>
      </c>
      <c r="E242" s="6" t="str">
        <f>LOOKUP(2,1/(MCQ!C:C=B242),MCQ!H:H)</f>
        <v>25.00</v>
      </c>
      <c r="F242" s="6" t="str">
        <f>LOOKUP(2,1/(Debugging!C:C=B242),Debugging!H:H)</f>
        <v>37.00</v>
      </c>
      <c r="G242" s="6" t="e">
        <f>LOOKUP(2,1/(Coding!C:C=B242),Coding!H:H)</f>
        <v>#N/A</v>
      </c>
      <c r="H242" s="8" t="e">
        <f>E242+F242+G242</f>
        <v>#N/A</v>
      </c>
      <c r="I242" s="4" t="str">
        <f>IF(J242&lt;&gt;"Complete","Not Active",IF(H242&gt;=75,"Good",IF(H242&gt;=50,"Satisfactory",IF(H242&gt;=25,"Need Attention","Intervention"))))</f>
        <v>Not Active</v>
      </c>
      <c r="J242" s="4" t="str">
        <f>IF(COUNTIF(E242:G242,"#N/A")=3,"Not Attempted",IF(OR(ISNA(E242),ISNA(F242),ISNA(G242)),"NotCompleted","Complete"))</f>
        <v>NotCompleted</v>
      </c>
    </row>
    <row r="243" spans="1:10" ht="15.6" x14ac:dyDescent="0.3">
      <c r="A243" s="17" t="s">
        <v>5487</v>
      </c>
      <c r="B243" s="20" t="s">
        <v>459</v>
      </c>
      <c r="C243" s="20" t="s">
        <v>6627</v>
      </c>
      <c r="D243" s="2" t="s">
        <v>8</v>
      </c>
      <c r="E243" s="6" t="str">
        <f>LOOKUP(2,1/(MCQ!C:C=B243),MCQ!H:H)</f>
        <v>24.00</v>
      </c>
      <c r="F243" s="6" t="str">
        <f>LOOKUP(2,1/(Debugging!C:C=B243),Debugging!H:H)</f>
        <v>0.00</v>
      </c>
      <c r="G243" s="6" t="str">
        <f>LOOKUP(2,1/(Coding!C:C=B243),Coding!H:H)</f>
        <v>23.50</v>
      </c>
      <c r="H243" s="8">
        <f>E243+F243+G243</f>
        <v>47.5</v>
      </c>
      <c r="I243" s="4" t="str">
        <f>IF(J243&lt;&gt;"Complete","Not Active",IF(H243&gt;=75,"Good",IF(H243&gt;=50,"Satisfactory",IF(H243&gt;=25,"Need Attention","Intervention"))))</f>
        <v>Need Attention</v>
      </c>
      <c r="J243" s="4" t="str">
        <f>IF(COUNTIF(E243:G243,"#N/A")=3,"Not Attempted",IF(OR(ISNA(E243),ISNA(F243),ISNA(G243)),"NotCompleted","Complete"))</f>
        <v>Complete</v>
      </c>
    </row>
    <row r="244" spans="1:10" ht="15.6" x14ac:dyDescent="0.3">
      <c r="A244" s="17" t="s">
        <v>5487</v>
      </c>
      <c r="B244" s="20" t="s">
        <v>461</v>
      </c>
      <c r="C244" s="20" t="s">
        <v>6628</v>
      </c>
      <c r="D244" s="2" t="s">
        <v>8</v>
      </c>
      <c r="E244" s="6" t="str">
        <f>LOOKUP(2,1/(MCQ!C:C=B244),MCQ!H:H)</f>
        <v>24.00</v>
      </c>
      <c r="F244" s="6" t="str">
        <f>LOOKUP(2,1/(Debugging!C:C=B244),Debugging!H:H)</f>
        <v>37.00</v>
      </c>
      <c r="G244" s="6" t="str">
        <f>LOOKUP(2,1/(Coding!C:C=B244),Coding!H:H)</f>
        <v>23.50</v>
      </c>
      <c r="H244" s="8">
        <f>E244+F244+G244</f>
        <v>84.5</v>
      </c>
      <c r="I244" s="4" t="str">
        <f>IF(J244&lt;&gt;"Complete","Not Active",IF(H244&gt;=75,"Good",IF(H244&gt;=50,"Satisfactory",IF(H244&gt;=25,"Need Attention","Intervention"))))</f>
        <v>Good</v>
      </c>
      <c r="J244" s="4" t="str">
        <f>IF(COUNTIF(E244:G244,"#N/A")=3,"Not Attempted",IF(OR(ISNA(E244),ISNA(F244),ISNA(G244)),"NotCompleted","Complete"))</f>
        <v>Complete</v>
      </c>
    </row>
    <row r="245" spans="1:10" ht="15.6" x14ac:dyDescent="0.3">
      <c r="A245" s="17" t="s">
        <v>5487</v>
      </c>
      <c r="B245" s="20" t="s">
        <v>463</v>
      </c>
      <c r="C245" s="20" t="s">
        <v>6629</v>
      </c>
      <c r="D245" s="2" t="s">
        <v>55</v>
      </c>
      <c r="E245" s="6" t="str">
        <f>LOOKUP(2,1/(MCQ!C:C=B245),MCQ!H:H)</f>
        <v>24.00</v>
      </c>
      <c r="F245" s="6" t="str">
        <f>LOOKUP(2,1/(Debugging!C:C=B245),Debugging!H:H)</f>
        <v>46.00</v>
      </c>
      <c r="G245" s="6" t="str">
        <f>LOOKUP(2,1/(Coding!C:C=B245),Coding!H:H)</f>
        <v>19.50</v>
      </c>
      <c r="H245" s="8">
        <f>E245+F245+G245</f>
        <v>89.5</v>
      </c>
      <c r="I245" s="4" t="str">
        <f>IF(J245&lt;&gt;"Complete","Not Active",IF(H245&gt;=75,"Good",IF(H245&gt;=50,"Satisfactory",IF(H245&gt;=25,"Need Attention","Intervention"))))</f>
        <v>Good</v>
      </c>
      <c r="J245" s="4" t="str">
        <f>IF(COUNTIF(E245:G245,"#N/A")=3,"Not Attempted",IF(OR(ISNA(E245),ISNA(F245),ISNA(G245)),"NotCompleted","Complete"))</f>
        <v>Complete</v>
      </c>
    </row>
    <row r="246" spans="1:10" ht="15.6" x14ac:dyDescent="0.3">
      <c r="A246" s="17" t="s">
        <v>5487</v>
      </c>
      <c r="B246" s="20" t="s">
        <v>465</v>
      </c>
      <c r="C246" s="20" t="s">
        <v>6630</v>
      </c>
      <c r="D246" s="2" t="s">
        <v>31</v>
      </c>
      <c r="E246" s="6" t="str">
        <f>LOOKUP(2,1/(MCQ!C:C=B246),MCQ!H:H)</f>
        <v>25.00</v>
      </c>
      <c r="F246" s="6" t="str">
        <f>LOOKUP(2,1/(Debugging!C:C=B246),Debugging!H:H)</f>
        <v>37.00</v>
      </c>
      <c r="G246" s="6" t="str">
        <f>LOOKUP(2,1/(Coding!C:C=B246),Coding!H:H)</f>
        <v>23.50</v>
      </c>
      <c r="H246" s="8">
        <f>E246+F246+G246</f>
        <v>85.5</v>
      </c>
      <c r="I246" s="4" t="str">
        <f>IF(J246&lt;&gt;"Complete","Not Active",IF(H246&gt;=75,"Good",IF(H246&gt;=50,"Satisfactory",IF(H246&gt;=25,"Need Attention","Intervention"))))</f>
        <v>Good</v>
      </c>
      <c r="J246" s="4" t="str">
        <f>IF(COUNTIF(E246:G246,"#N/A")=3,"Not Attempted",IF(OR(ISNA(E246),ISNA(F246),ISNA(G246)),"NotCompleted","Complete"))</f>
        <v>Complete</v>
      </c>
    </row>
    <row r="247" spans="1:10" ht="15.6" x14ac:dyDescent="0.3">
      <c r="A247" s="17" t="s">
        <v>5487</v>
      </c>
      <c r="B247" s="20" t="s">
        <v>467</v>
      </c>
      <c r="C247" s="20" t="s">
        <v>6631</v>
      </c>
      <c r="D247" s="2" t="s">
        <v>8</v>
      </c>
      <c r="E247" s="6" t="str">
        <f>LOOKUP(2,1/(MCQ!C:C=B247),MCQ!H:H)</f>
        <v>24.00</v>
      </c>
      <c r="F247" s="6" t="str">
        <f>LOOKUP(2,1/(Debugging!C:C=B247),Debugging!H:H)</f>
        <v>41.00</v>
      </c>
      <c r="G247" s="6" t="str">
        <f>LOOKUP(2,1/(Coding!C:C=B247),Coding!H:H)</f>
        <v>25.00</v>
      </c>
      <c r="H247" s="8">
        <f>E247+F247+G247</f>
        <v>90</v>
      </c>
      <c r="I247" s="4" t="str">
        <f>IF(J247&lt;&gt;"Complete","Not Active",IF(H247&gt;=75,"Good",IF(H247&gt;=50,"Satisfactory",IF(H247&gt;=25,"Need Attention","Intervention"))))</f>
        <v>Good</v>
      </c>
      <c r="J247" s="4" t="str">
        <f>IF(COUNTIF(E247:G247,"#N/A")=3,"Not Attempted",IF(OR(ISNA(E247),ISNA(F247),ISNA(G247)),"NotCompleted","Complete"))</f>
        <v>Complete</v>
      </c>
    </row>
    <row r="248" spans="1:10" ht="15.6" x14ac:dyDescent="0.3">
      <c r="A248" s="17" t="s">
        <v>5487</v>
      </c>
      <c r="B248" s="20" t="s">
        <v>469</v>
      </c>
      <c r="C248" s="20" t="s">
        <v>6632</v>
      </c>
      <c r="D248" s="2" t="s">
        <v>8</v>
      </c>
      <c r="E248" s="6" t="str">
        <f>LOOKUP(2,1/(MCQ!C:C=B248),MCQ!H:H)</f>
        <v>25.00</v>
      </c>
      <c r="F248" s="6" t="str">
        <f>LOOKUP(2,1/(Debugging!C:C=B248),Debugging!H:H)</f>
        <v>46.00</v>
      </c>
      <c r="G248" s="6" t="str">
        <f>LOOKUP(2,1/(Coding!C:C=B248),Coding!H:H)</f>
        <v>25.00</v>
      </c>
      <c r="H248" s="8">
        <f>E248+F248+G248</f>
        <v>96</v>
      </c>
      <c r="I248" s="4" t="str">
        <f>IF(J248&lt;&gt;"Complete","Not Active",IF(H248&gt;=75,"Good",IF(H248&gt;=50,"Satisfactory",IF(H248&gt;=25,"Need Attention","Intervention"))))</f>
        <v>Good</v>
      </c>
      <c r="J248" s="4" t="str">
        <f>IF(COUNTIF(E248:G248,"#N/A")=3,"Not Attempted",IF(OR(ISNA(E248),ISNA(F248),ISNA(G248)),"NotCompleted","Complete"))</f>
        <v>Complete</v>
      </c>
    </row>
    <row r="249" spans="1:10" ht="15.6" x14ac:dyDescent="0.3">
      <c r="A249" s="17" t="s">
        <v>5487</v>
      </c>
      <c r="B249" s="20" t="s">
        <v>5529</v>
      </c>
      <c r="C249" s="20" t="s">
        <v>6633</v>
      </c>
      <c r="D249" s="2" t="s">
        <v>8</v>
      </c>
      <c r="E249" s="6" t="str">
        <f>LOOKUP(2,1/(MCQ!C:C=B249),MCQ!H:H)</f>
        <v>22.00</v>
      </c>
      <c r="F249" s="6" t="str">
        <f>LOOKUP(2,1/(Debugging!C:C=B249),Debugging!H:H)</f>
        <v>50.00</v>
      </c>
      <c r="G249" s="6" t="e">
        <f>LOOKUP(2,1/(Coding!C:C=B249),Coding!H:H)</f>
        <v>#N/A</v>
      </c>
      <c r="H249" s="8" t="e">
        <f>E249+F249+G249</f>
        <v>#N/A</v>
      </c>
      <c r="I249" s="4" t="str">
        <f>IF(J249&lt;&gt;"Complete","Not Active",IF(H249&gt;=75,"Good",IF(H249&gt;=50,"Satisfactory",IF(H249&gt;=25,"Need Attention","Intervention"))))</f>
        <v>Not Active</v>
      </c>
      <c r="J249" s="4" t="str">
        <f>IF(COUNTIF(E249:G249,"#N/A")=3,"Not Attempted",IF(OR(ISNA(E249),ISNA(F249),ISNA(G249)),"NotCompleted","Complete"))</f>
        <v>NotCompleted</v>
      </c>
    </row>
    <row r="250" spans="1:10" ht="15.6" x14ac:dyDescent="0.3">
      <c r="A250" s="17" t="s">
        <v>5487</v>
      </c>
      <c r="B250" s="20" t="s">
        <v>472</v>
      </c>
      <c r="C250" s="20" t="s">
        <v>6634</v>
      </c>
      <c r="D250" s="2" t="s">
        <v>66</v>
      </c>
      <c r="E250" s="6" t="str">
        <f>LOOKUP(2,1/(MCQ!C:C=B250),MCQ!H:H)</f>
        <v>20.00</v>
      </c>
      <c r="F250" s="6" t="str">
        <f>LOOKUP(2,1/(Debugging!C:C=B250),Debugging!H:H)</f>
        <v>42.00</v>
      </c>
      <c r="G250" s="6" t="str">
        <f>LOOKUP(2,1/(Coding!C:C=B250),Coding!H:H)</f>
        <v>22.50</v>
      </c>
      <c r="H250" s="8">
        <f>E250+F250+G250</f>
        <v>84.5</v>
      </c>
      <c r="I250" s="4" t="str">
        <f>IF(J250&lt;&gt;"Complete","Not Active",IF(H250&gt;=75,"Good",IF(H250&gt;=50,"Satisfactory",IF(H250&gt;=25,"Need Attention","Intervention"))))</f>
        <v>Good</v>
      </c>
      <c r="J250" s="4" t="str">
        <f>IF(COUNTIF(E250:G250,"#N/A")=3,"Not Attempted",IF(OR(ISNA(E250),ISNA(F250),ISNA(G250)),"NotCompleted","Complete"))</f>
        <v>Complete</v>
      </c>
    </row>
    <row r="251" spans="1:10" ht="15.6" x14ac:dyDescent="0.3">
      <c r="A251" s="17" t="s">
        <v>5487</v>
      </c>
      <c r="B251" s="20" t="s">
        <v>474</v>
      </c>
      <c r="C251" s="20" t="s">
        <v>6635</v>
      </c>
      <c r="D251" s="2" t="s">
        <v>19</v>
      </c>
      <c r="E251" s="6" t="str">
        <f>LOOKUP(2,1/(MCQ!C:C=B251),MCQ!H:H)</f>
        <v>21.00</v>
      </c>
      <c r="F251" s="6" t="str">
        <f>LOOKUP(2,1/(Debugging!C:C=B251),Debugging!H:H)</f>
        <v>47.00</v>
      </c>
      <c r="G251" s="6" t="str">
        <f>LOOKUP(2,1/(Coding!C:C=B251),Coding!H:H)</f>
        <v>25.00</v>
      </c>
      <c r="H251" s="8">
        <f>E251+F251+G251</f>
        <v>93</v>
      </c>
      <c r="I251" s="4" t="str">
        <f>IF(J251&lt;&gt;"Complete","Not Active",IF(H251&gt;=75,"Good",IF(H251&gt;=50,"Satisfactory",IF(H251&gt;=25,"Need Attention","Intervention"))))</f>
        <v>Good</v>
      </c>
      <c r="J251" s="4" t="str">
        <f>IF(COUNTIF(E251:G251,"#N/A")=3,"Not Attempted",IF(OR(ISNA(E251),ISNA(F251),ISNA(G251)),"NotCompleted","Complete"))</f>
        <v>Complete</v>
      </c>
    </row>
    <row r="252" spans="1:10" ht="15.6" x14ac:dyDescent="0.3">
      <c r="A252" s="17" t="s">
        <v>5487</v>
      </c>
      <c r="B252" s="20" t="s">
        <v>476</v>
      </c>
      <c r="C252" s="20" t="s">
        <v>6636</v>
      </c>
      <c r="D252" s="2" t="s">
        <v>71</v>
      </c>
      <c r="E252" s="6" t="str">
        <f>LOOKUP(2,1/(MCQ!C:C=B252),MCQ!H:H)</f>
        <v>24.00</v>
      </c>
      <c r="F252" s="6" t="str">
        <f>LOOKUP(2,1/(Debugging!C:C=B252),Debugging!H:H)</f>
        <v>49.00</v>
      </c>
      <c r="G252" s="6" t="str">
        <f>LOOKUP(2,1/(Coding!C:C=B252),Coding!H:H)</f>
        <v>22.50</v>
      </c>
      <c r="H252" s="8">
        <f>E252+F252+G252</f>
        <v>95.5</v>
      </c>
      <c r="I252" s="4" t="str">
        <f>IF(J252&lt;&gt;"Complete","Not Active",IF(H252&gt;=75,"Good",IF(H252&gt;=50,"Satisfactory",IF(H252&gt;=25,"Need Attention","Intervention"))))</f>
        <v>Good</v>
      </c>
      <c r="J252" s="4" t="str">
        <f>IF(COUNTIF(E252:G252,"#N/A")=3,"Not Attempted",IF(OR(ISNA(E252),ISNA(F252),ISNA(G252)),"NotCompleted","Complete"))</f>
        <v>Complete</v>
      </c>
    </row>
    <row r="253" spans="1:10" ht="15.6" x14ac:dyDescent="0.3">
      <c r="A253" s="17" t="s">
        <v>5487</v>
      </c>
      <c r="B253" s="20" t="s">
        <v>478</v>
      </c>
      <c r="C253" s="20" t="s">
        <v>6637</v>
      </c>
      <c r="D253" s="2" t="s">
        <v>28</v>
      </c>
      <c r="E253" s="6" t="str">
        <f>LOOKUP(2,1/(MCQ!C:C=B253),MCQ!H:H)</f>
        <v>22.00</v>
      </c>
      <c r="F253" s="6" t="str">
        <f>LOOKUP(2,1/(Debugging!C:C=B253),Debugging!H:H)</f>
        <v>45.00</v>
      </c>
      <c r="G253" s="6" t="str">
        <f>LOOKUP(2,1/(Coding!C:C=B253),Coding!H:H)</f>
        <v>16.00</v>
      </c>
      <c r="H253" s="8">
        <f>E253+F253+G253</f>
        <v>83</v>
      </c>
      <c r="I253" s="4" t="str">
        <f>IF(J253&lt;&gt;"Complete","Not Active",IF(H253&gt;=75,"Good",IF(H253&gt;=50,"Satisfactory",IF(H253&gt;=25,"Need Attention","Intervention"))))</f>
        <v>Good</v>
      </c>
      <c r="J253" s="4" t="str">
        <f>IF(COUNTIF(E253:G253,"#N/A")=3,"Not Attempted",IF(OR(ISNA(E253),ISNA(F253),ISNA(G253)),"NotCompleted","Complete"))</f>
        <v>Complete</v>
      </c>
    </row>
    <row r="254" spans="1:10" ht="15.6" x14ac:dyDescent="0.3">
      <c r="A254" s="17" t="s">
        <v>5487</v>
      </c>
      <c r="B254" s="20" t="s">
        <v>480</v>
      </c>
      <c r="C254" s="20" t="s">
        <v>6638</v>
      </c>
      <c r="D254" s="2" t="s">
        <v>31</v>
      </c>
      <c r="E254" s="6" t="str">
        <f>LOOKUP(2,1/(MCQ!C:C=B254),MCQ!H:H)</f>
        <v>22.00</v>
      </c>
      <c r="F254" s="6" t="e">
        <v>#N/A</v>
      </c>
      <c r="G254" s="6" t="str">
        <f>LOOKUP(2,1/(Coding!C:C=B254),Coding!H:H)</f>
        <v>25.00</v>
      </c>
      <c r="H254" s="8" t="e">
        <f>E254+F254+G254</f>
        <v>#N/A</v>
      </c>
      <c r="I254" s="4" t="str">
        <f>IF(J254&lt;&gt;"Complete","Not Active",IF(H254&gt;=75,"Good",IF(H254&gt;=50,"Satisfactory",IF(H254&gt;=25,"Need Attention","Intervention"))))</f>
        <v>Not Active</v>
      </c>
      <c r="J254" s="4" t="str">
        <f>IF(COUNTIF(E254:G254,"#N/A")=3,"Not Attempted",IF(OR(ISNA(E254),ISNA(F254),ISNA(G254)),"NotCompleted","Complete"))</f>
        <v>NotCompleted</v>
      </c>
    </row>
    <row r="255" spans="1:10" ht="15.6" x14ac:dyDescent="0.3">
      <c r="A255" s="17" t="s">
        <v>5487</v>
      </c>
      <c r="B255" s="20" t="s">
        <v>5554</v>
      </c>
      <c r="C255" s="20" t="s">
        <v>6639</v>
      </c>
      <c r="D255" s="2" t="s">
        <v>31</v>
      </c>
      <c r="E255" s="6" t="str">
        <f>LOOKUP(2,1/(MCQ!C:C=B255),MCQ!H:H)</f>
        <v>23.00</v>
      </c>
      <c r="F255" s="6" t="str">
        <f>LOOKUP(2,1/(Debugging!C:C=B255),Debugging!H:H)</f>
        <v>42.00</v>
      </c>
      <c r="G255" s="6" t="e">
        <f>LOOKUP(2,1/(Coding!C:C=B255),Coding!H:H)</f>
        <v>#N/A</v>
      </c>
      <c r="H255" s="8" t="e">
        <f>E255+F255+G255</f>
        <v>#N/A</v>
      </c>
      <c r="I255" s="4" t="str">
        <f>IF(J255&lt;&gt;"Complete","Not Active",IF(H255&gt;=75,"Good",IF(H255&gt;=50,"Satisfactory",IF(H255&gt;=25,"Need Attention","Intervention"))))</f>
        <v>Not Active</v>
      </c>
      <c r="J255" s="4" t="str">
        <f>IF(COUNTIF(E255:G255,"#N/A")=3,"Not Attempted",IF(OR(ISNA(E255),ISNA(F255),ISNA(G255)),"NotCompleted","Complete"))</f>
        <v>NotCompleted</v>
      </c>
    </row>
    <row r="256" spans="1:10" ht="15.6" x14ac:dyDescent="0.3">
      <c r="A256" s="17" t="s">
        <v>5487</v>
      </c>
      <c r="B256" s="20" t="s">
        <v>5550</v>
      </c>
      <c r="C256" s="20" t="s">
        <v>6640</v>
      </c>
      <c r="D256" s="2" t="s">
        <v>80</v>
      </c>
      <c r="E256" s="6" t="str">
        <f>LOOKUP(2,1/(MCQ!C:C=B256),MCQ!H:H)</f>
        <v>22.00</v>
      </c>
      <c r="F256" s="6" t="str">
        <f>LOOKUP(2,1/(Debugging!C:C=B256),Debugging!H:H)</f>
        <v>49.00</v>
      </c>
      <c r="G256" s="6" t="e">
        <f>LOOKUP(2,1/(Coding!C:C=B256),Coding!H:H)</f>
        <v>#N/A</v>
      </c>
      <c r="H256" s="8" t="e">
        <f>E256+F256+G256</f>
        <v>#N/A</v>
      </c>
      <c r="I256" s="4" t="str">
        <f>IF(J256&lt;&gt;"Complete","Not Active",IF(H256&gt;=75,"Good",IF(H256&gt;=50,"Satisfactory",IF(H256&gt;=25,"Need Attention","Intervention"))))</f>
        <v>Not Active</v>
      </c>
      <c r="J256" s="4" t="str">
        <f>IF(COUNTIF(E256:G256,"#N/A")=3,"Not Attempted",IF(OR(ISNA(E256),ISNA(F256),ISNA(G256)),"NotCompleted","Complete"))</f>
        <v>NotCompleted</v>
      </c>
    </row>
    <row r="257" spans="1:10" ht="15.6" x14ac:dyDescent="0.3">
      <c r="A257" s="17" t="s">
        <v>5487</v>
      </c>
      <c r="B257" s="20" t="s">
        <v>482</v>
      </c>
      <c r="C257" s="20" t="s">
        <v>6641</v>
      </c>
      <c r="D257" s="2" t="s">
        <v>25</v>
      </c>
      <c r="E257" s="6" t="str">
        <f>LOOKUP(2,1/(MCQ!C:C=B257),MCQ!H:H)</f>
        <v>24.00</v>
      </c>
      <c r="F257" s="6" t="str">
        <f>LOOKUP(2,1/(Debugging!C:C=B257),Debugging!H:H)</f>
        <v>46.00</v>
      </c>
      <c r="G257" s="6" t="str">
        <f>LOOKUP(2,1/(Coding!C:C=B257),Coding!H:H)</f>
        <v>25.00</v>
      </c>
      <c r="H257" s="8">
        <f>E257+F257+G257</f>
        <v>95</v>
      </c>
      <c r="I257" s="4" t="str">
        <f>IF(J257&lt;&gt;"Complete","Not Active",IF(H257&gt;=75,"Good",IF(H257&gt;=50,"Satisfactory",IF(H257&gt;=25,"Need Attention","Intervention"))))</f>
        <v>Good</v>
      </c>
      <c r="J257" s="4" t="str">
        <f>IF(COUNTIF(E257:G257,"#N/A")=3,"Not Attempted",IF(OR(ISNA(E257),ISNA(F257),ISNA(G257)),"NotCompleted","Complete"))</f>
        <v>Complete</v>
      </c>
    </row>
    <row r="258" spans="1:10" ht="15.6" x14ac:dyDescent="0.3">
      <c r="A258" s="17" t="s">
        <v>5487</v>
      </c>
      <c r="B258" s="20" t="s">
        <v>5559</v>
      </c>
      <c r="C258" s="20" t="s">
        <v>6642</v>
      </c>
      <c r="D258" s="2" t="s">
        <v>84</v>
      </c>
      <c r="E258" s="6" t="str">
        <f>LOOKUP(2,1/(MCQ!C:C=B258),MCQ!H:H)</f>
        <v>18.00</v>
      </c>
      <c r="F258" s="6" t="str">
        <f>LOOKUP(2,1/(Debugging!C:C=B258),Debugging!H:H)</f>
        <v>46.00</v>
      </c>
      <c r="G258" s="6" t="e">
        <f>LOOKUP(2,1/(Coding!C:C=B258),Coding!H:H)</f>
        <v>#N/A</v>
      </c>
      <c r="H258" s="8" t="e">
        <f>E258+F258+G258</f>
        <v>#N/A</v>
      </c>
      <c r="I258" s="4" t="str">
        <f>IF(J258&lt;&gt;"Complete","Not Active",IF(H258&gt;=75,"Good",IF(H258&gt;=50,"Satisfactory",IF(H258&gt;=25,"Need Attention","Intervention"))))</f>
        <v>Not Active</v>
      </c>
      <c r="J258" s="4" t="str">
        <f>IF(COUNTIF(E258:G258,"#N/A")=3,"Not Attempted",IF(OR(ISNA(E258),ISNA(F258),ISNA(G258)),"NotCompleted","Complete"))</f>
        <v>NotCompleted</v>
      </c>
    </row>
    <row r="259" spans="1:10" ht="15.6" x14ac:dyDescent="0.3">
      <c r="A259" s="17" t="s">
        <v>5487</v>
      </c>
      <c r="B259" s="20" t="s">
        <v>484</v>
      </c>
      <c r="C259" s="20" t="s">
        <v>6643</v>
      </c>
      <c r="D259" s="2" t="s">
        <v>55</v>
      </c>
      <c r="E259" s="6" t="str">
        <f>LOOKUP(2,1/(MCQ!C:C=B259),MCQ!H:H)</f>
        <v>25.00</v>
      </c>
      <c r="F259" s="6" t="str">
        <f>LOOKUP(2,1/(Debugging!C:C=B259),Debugging!H:H)</f>
        <v>46.00</v>
      </c>
      <c r="G259" s="6" t="str">
        <f>LOOKUP(2,1/(Coding!C:C=B259),Coding!H:H)</f>
        <v>25.00</v>
      </c>
      <c r="H259" s="8">
        <f>E259+F259+G259</f>
        <v>96</v>
      </c>
      <c r="I259" s="4" t="str">
        <f>IF(J259&lt;&gt;"Complete","Not Active",IF(H259&gt;=75,"Good",IF(H259&gt;=50,"Satisfactory",IF(H259&gt;=25,"Need Attention","Intervention"))))</f>
        <v>Good</v>
      </c>
      <c r="J259" s="4" t="str">
        <f>IF(COUNTIF(E259:G259,"#N/A")=3,"Not Attempted",IF(OR(ISNA(E259),ISNA(F259),ISNA(G259)),"NotCompleted","Complete"))</f>
        <v>Complete</v>
      </c>
    </row>
    <row r="260" spans="1:10" ht="15.6" x14ac:dyDescent="0.3">
      <c r="A260" s="17" t="s">
        <v>5487</v>
      </c>
      <c r="B260" s="20" t="s">
        <v>486</v>
      </c>
      <c r="C260" s="20" t="s">
        <v>6644</v>
      </c>
      <c r="D260" s="2" t="s">
        <v>8</v>
      </c>
      <c r="E260" s="6" t="str">
        <f>LOOKUP(2,1/(MCQ!C:C=B260),MCQ!H:H)</f>
        <v>23.00</v>
      </c>
      <c r="F260" s="6" t="str">
        <f>LOOKUP(2,1/(Debugging!C:C=B260),Debugging!H:H)</f>
        <v>46.00</v>
      </c>
      <c r="G260" s="6" t="str">
        <f>LOOKUP(2,1/(Coding!C:C=B260),Coding!H:H)</f>
        <v>25.00</v>
      </c>
      <c r="H260" s="8">
        <f>E260+F260+G260</f>
        <v>94</v>
      </c>
      <c r="I260" s="4" t="str">
        <f>IF(J260&lt;&gt;"Complete","Not Active",IF(H260&gt;=75,"Good",IF(H260&gt;=50,"Satisfactory",IF(H260&gt;=25,"Need Attention","Intervention"))))</f>
        <v>Good</v>
      </c>
      <c r="J260" s="4" t="str">
        <f>IF(COUNTIF(E260:G260,"#N/A")=3,"Not Attempted",IF(OR(ISNA(E260),ISNA(F260),ISNA(G260)),"NotCompleted","Complete"))</f>
        <v>Complete</v>
      </c>
    </row>
    <row r="261" spans="1:10" ht="15.6" x14ac:dyDescent="0.3">
      <c r="A261" s="17" t="s">
        <v>5487</v>
      </c>
      <c r="B261" s="20" t="s">
        <v>488</v>
      </c>
      <c r="C261" s="20" t="s">
        <v>6645</v>
      </c>
      <c r="D261" s="2" t="s">
        <v>8</v>
      </c>
      <c r="E261" s="6" t="str">
        <f>LOOKUP(2,1/(MCQ!C:C=B261),MCQ!H:H)</f>
        <v>25.00</v>
      </c>
      <c r="F261" s="6" t="str">
        <f>LOOKUP(2,1/(Debugging!C:C=B261),Debugging!H:H)</f>
        <v>46.00</v>
      </c>
      <c r="G261" s="6" t="str">
        <f>LOOKUP(2,1/(Coding!C:C=B261),Coding!H:H)</f>
        <v>25.00</v>
      </c>
      <c r="H261" s="8">
        <f>E261+F261+G261</f>
        <v>96</v>
      </c>
      <c r="I261" s="4" t="str">
        <f>IF(J261&lt;&gt;"Complete","Not Active",IF(H261&gt;=75,"Good",IF(H261&gt;=50,"Satisfactory",IF(H261&gt;=25,"Need Attention","Intervention"))))</f>
        <v>Good</v>
      </c>
      <c r="J261" s="4" t="str">
        <f>IF(COUNTIF(E261:G261,"#N/A")=3,"Not Attempted",IF(OR(ISNA(E261),ISNA(F261),ISNA(G261)),"NotCompleted","Complete"))</f>
        <v>Complete</v>
      </c>
    </row>
    <row r="262" spans="1:10" ht="15.6" x14ac:dyDescent="0.3">
      <c r="A262" s="17" t="s">
        <v>5487</v>
      </c>
      <c r="B262" s="20" t="s">
        <v>491</v>
      </c>
      <c r="C262" s="20" t="s">
        <v>6646</v>
      </c>
      <c r="D262" s="2" t="s">
        <v>80</v>
      </c>
      <c r="E262" s="6" t="str">
        <f>LOOKUP(2,1/(MCQ!C:C=B262),MCQ!H:H)</f>
        <v>20.00</v>
      </c>
      <c r="F262" s="6" t="str">
        <f>LOOKUP(2,1/(Debugging!C:C=B262),Debugging!H:H)</f>
        <v>43.00</v>
      </c>
      <c r="G262" s="6" t="str">
        <f>LOOKUP(2,1/(Coding!C:C=B262),Coding!H:H)</f>
        <v>20.50</v>
      </c>
      <c r="H262" s="8">
        <f>E262+F262+G262</f>
        <v>83.5</v>
      </c>
      <c r="I262" s="4" t="str">
        <f>IF(J262&lt;&gt;"Complete","Not Active",IF(H262&gt;=75,"Good",IF(H262&gt;=50,"Satisfactory",IF(H262&gt;=25,"Need Attention","Intervention"))))</f>
        <v>Good</v>
      </c>
      <c r="J262" s="4" t="str">
        <f>IF(COUNTIF(E262:G262,"#N/A")=3,"Not Attempted",IF(OR(ISNA(E262),ISNA(F262),ISNA(G262)),"NotCompleted","Complete"))</f>
        <v>Complete</v>
      </c>
    </row>
    <row r="263" spans="1:10" ht="15.6" x14ac:dyDescent="0.3">
      <c r="A263" s="17" t="s">
        <v>5487</v>
      </c>
      <c r="B263" s="20" t="s">
        <v>5567</v>
      </c>
      <c r="C263" s="20" t="s">
        <v>6647</v>
      </c>
      <c r="D263" s="2" t="s">
        <v>8</v>
      </c>
      <c r="E263" s="6" t="str">
        <f>LOOKUP(2,1/(MCQ!C:C=B263),MCQ!H:H)</f>
        <v>21.00</v>
      </c>
      <c r="F263" s="6" t="str">
        <f>LOOKUP(2,1/(Debugging!C:C=B263),Debugging!H:H)</f>
        <v>44.00</v>
      </c>
      <c r="G263" s="6" t="e">
        <f>LOOKUP(2,1/(Coding!C:C=B263),Coding!H:H)</f>
        <v>#N/A</v>
      </c>
      <c r="H263" s="8" t="e">
        <f>E263+F263+G263</f>
        <v>#N/A</v>
      </c>
      <c r="I263" s="4" t="str">
        <f>IF(J263&lt;&gt;"Complete","Not Active",IF(H263&gt;=75,"Good",IF(H263&gt;=50,"Satisfactory",IF(H263&gt;=25,"Need Attention","Intervention"))))</f>
        <v>Not Active</v>
      </c>
      <c r="J263" s="4" t="str">
        <f>IF(COUNTIF(E263:G263,"#N/A")=3,"Not Attempted",IF(OR(ISNA(E263),ISNA(F263),ISNA(G263)),"NotCompleted","Complete"))</f>
        <v>NotCompleted</v>
      </c>
    </row>
    <row r="264" spans="1:10" ht="15.6" x14ac:dyDescent="0.3">
      <c r="A264" s="17" t="s">
        <v>5487</v>
      </c>
      <c r="B264" s="20" t="s">
        <v>493</v>
      </c>
      <c r="C264" s="20" t="s">
        <v>6648</v>
      </c>
      <c r="D264" s="2" t="s">
        <v>28</v>
      </c>
      <c r="E264" s="6" t="str">
        <f>LOOKUP(2,1/(MCQ!C:C=B264),MCQ!H:H)</f>
        <v>22.00</v>
      </c>
      <c r="F264" s="6" t="str">
        <f>LOOKUP(2,1/(Debugging!C:C=B264),Debugging!H:H)</f>
        <v>30.00</v>
      </c>
      <c r="G264" s="6" t="e">
        <f>LOOKUP(2,1/(Coding!C:C=B264),Coding!H:H)</f>
        <v>#N/A</v>
      </c>
      <c r="H264" s="8" t="e">
        <f>E264+F264+G264</f>
        <v>#N/A</v>
      </c>
      <c r="I264" s="4" t="str">
        <f>IF(J264&lt;&gt;"Complete","Not Active",IF(H264&gt;=75,"Good",IF(H264&gt;=50,"Satisfactory",IF(H264&gt;=25,"Need Attention","Intervention"))))</f>
        <v>Not Active</v>
      </c>
      <c r="J264" s="4" t="str">
        <f>IF(COUNTIF(E264:G264,"#N/A")=3,"Not Attempted",IF(OR(ISNA(E264),ISNA(F264),ISNA(G264)),"NotCompleted","Complete"))</f>
        <v>NotCompleted</v>
      </c>
    </row>
    <row r="265" spans="1:10" ht="15.6" x14ac:dyDescent="0.3">
      <c r="A265" s="17" t="s">
        <v>5487</v>
      </c>
      <c r="B265" s="20" t="s">
        <v>495</v>
      </c>
      <c r="C265" s="20" t="s">
        <v>6649</v>
      </c>
      <c r="D265" s="2" t="s">
        <v>19</v>
      </c>
      <c r="E265" s="6" t="str">
        <f>LOOKUP(2,1/(MCQ!C:C=B265),MCQ!H:H)</f>
        <v>24.00</v>
      </c>
      <c r="F265" s="6" t="e">
        <f>LOOKUP(2,1/(Debugging!C:C=B265),Debugging!H:H)</f>
        <v>#N/A</v>
      </c>
      <c r="G265" s="6" t="str">
        <f>LOOKUP(2,1/(Coding!C:C=B265),Coding!H:H)</f>
        <v>25.00</v>
      </c>
      <c r="H265" s="8" t="e">
        <f>E265+F265+G265</f>
        <v>#N/A</v>
      </c>
      <c r="I265" s="4" t="str">
        <f>IF(J265&lt;&gt;"Complete","Not Active",IF(H265&gt;=75,"Good",IF(H265&gt;=50,"Satisfactory",IF(H265&gt;=25,"Need Attention","Intervention"))))</f>
        <v>Not Active</v>
      </c>
      <c r="J265" s="4" t="str">
        <f>IF(COUNTIF(E265:G265,"#N/A")=3,"Not Attempted",IF(OR(ISNA(E265),ISNA(F265),ISNA(G265)),"NotCompleted","Complete"))</f>
        <v>NotCompleted</v>
      </c>
    </row>
    <row r="266" spans="1:10" ht="15.6" x14ac:dyDescent="0.3">
      <c r="A266" s="17" t="s">
        <v>5487</v>
      </c>
      <c r="B266" s="20" t="s">
        <v>497</v>
      </c>
      <c r="C266" s="20" t="s">
        <v>6650</v>
      </c>
      <c r="D266" s="2" t="s">
        <v>28</v>
      </c>
      <c r="E266" s="6" t="str">
        <f>LOOKUP(2,1/(MCQ!C:C=B266),MCQ!H:H)</f>
        <v>23.00</v>
      </c>
      <c r="F266" s="6" t="str">
        <f>LOOKUP(2,1/(Debugging!C:C=B266),Debugging!H:H)</f>
        <v>44.00</v>
      </c>
      <c r="G266" s="6" t="str">
        <f>LOOKUP(2,1/(Coding!C:C=B266),Coding!H:H)</f>
        <v>22.00</v>
      </c>
      <c r="H266" s="8">
        <f>E266+F266+G266</f>
        <v>89</v>
      </c>
      <c r="I266" s="4" t="str">
        <f>IF(J266&lt;&gt;"Complete","Not Active",IF(H266&gt;=75,"Good",IF(H266&gt;=50,"Satisfactory",IF(H266&gt;=25,"Need Attention","Intervention"))))</f>
        <v>Good</v>
      </c>
      <c r="J266" s="4" t="str">
        <f>IF(COUNTIF(E266:G266,"#N/A")=3,"Not Attempted",IF(OR(ISNA(E266),ISNA(F266),ISNA(G266)),"NotCompleted","Complete"))</f>
        <v>Complete</v>
      </c>
    </row>
    <row r="267" spans="1:10" ht="15.6" x14ac:dyDescent="0.3">
      <c r="A267" s="17" t="s">
        <v>5487</v>
      </c>
      <c r="B267" s="20" t="s">
        <v>5579</v>
      </c>
      <c r="C267" s="20" t="s">
        <v>6651</v>
      </c>
      <c r="D267" s="2" t="s">
        <v>28</v>
      </c>
      <c r="E267" s="6" t="str">
        <f>LOOKUP(2,1/(MCQ!C:C=B267),MCQ!H:H)</f>
        <v>19.00</v>
      </c>
      <c r="F267" s="6" t="str">
        <f>LOOKUP(2,1/(Debugging!C:C=B267),Debugging!H:H)</f>
        <v>43.00</v>
      </c>
      <c r="G267" s="6" t="e">
        <f>LOOKUP(2,1/(Coding!C:C=B267),Coding!H:H)</f>
        <v>#N/A</v>
      </c>
      <c r="H267" s="8" t="e">
        <f>E267+F267+G267</f>
        <v>#N/A</v>
      </c>
      <c r="I267" s="4" t="str">
        <f>IF(J267&lt;&gt;"Complete","Not Active",IF(H267&gt;=75,"Good",IF(H267&gt;=50,"Satisfactory",IF(H267&gt;=25,"Need Attention","Intervention"))))</f>
        <v>Not Active</v>
      </c>
      <c r="J267" s="4" t="str">
        <f>IF(COUNTIF(E267:G267,"#N/A")=3,"Not Attempted",IF(OR(ISNA(E267),ISNA(F267),ISNA(G267)),"NotCompleted","Complete"))</f>
        <v>NotCompleted</v>
      </c>
    </row>
    <row r="268" spans="1:10" ht="15.6" x14ac:dyDescent="0.3">
      <c r="A268" s="17" t="s">
        <v>5487</v>
      </c>
      <c r="B268" s="20" t="s">
        <v>500</v>
      </c>
      <c r="C268" s="20" t="s">
        <v>6652</v>
      </c>
      <c r="D268" s="2" t="s">
        <v>8</v>
      </c>
      <c r="E268" s="6" t="str">
        <f>LOOKUP(2,1/(MCQ!C:C=B268),MCQ!H:H)</f>
        <v>25.00</v>
      </c>
      <c r="F268" s="6" t="str">
        <f>LOOKUP(2,1/(Debugging!C:C=B268),Debugging!H:H)</f>
        <v>40.00</v>
      </c>
      <c r="G268" s="6" t="str">
        <f>LOOKUP(2,1/(Coding!C:C=B268),Coding!H:H)</f>
        <v>25.00</v>
      </c>
      <c r="H268" s="8">
        <f>E268+F268+G268</f>
        <v>90</v>
      </c>
      <c r="I268" s="4" t="str">
        <f>IF(J268&lt;&gt;"Complete","Not Active",IF(H268&gt;=75,"Good",IF(H268&gt;=50,"Satisfactory",IF(H268&gt;=25,"Need Attention","Intervention"))))</f>
        <v>Good</v>
      </c>
      <c r="J268" s="4" t="str">
        <f>IF(COUNTIF(E268:G268,"#N/A")=3,"Not Attempted",IF(OR(ISNA(E268),ISNA(F268),ISNA(G268)),"NotCompleted","Complete"))</f>
        <v>Complete</v>
      </c>
    </row>
    <row r="269" spans="1:10" ht="15.6" x14ac:dyDescent="0.3">
      <c r="A269" s="17" t="s">
        <v>5487</v>
      </c>
      <c r="B269" s="20" t="s">
        <v>502</v>
      </c>
      <c r="C269" s="20" t="s">
        <v>6653</v>
      </c>
      <c r="D269" s="2" t="s">
        <v>42</v>
      </c>
      <c r="E269" s="6" t="str">
        <f>LOOKUP(2,1/(MCQ!C:C=B269),MCQ!H:H)</f>
        <v>23.00</v>
      </c>
      <c r="F269" s="6" t="str">
        <f>LOOKUP(2,1/(Debugging!C:C=B269),Debugging!H:H)</f>
        <v>47.00</v>
      </c>
      <c r="G269" s="6" t="str">
        <f>LOOKUP(2,1/(Coding!C:C=B269),Coding!H:H)</f>
        <v>25.00</v>
      </c>
      <c r="H269" s="8">
        <f>E269+F269+G269</f>
        <v>95</v>
      </c>
      <c r="I269" s="4" t="str">
        <f>IF(J269&lt;&gt;"Complete","Not Active",IF(H269&gt;=75,"Good",IF(H269&gt;=50,"Satisfactory",IF(H269&gt;=25,"Need Attention","Intervention"))))</f>
        <v>Good</v>
      </c>
      <c r="J269" s="4" t="str">
        <f>IF(COUNTIF(E269:G269,"#N/A")=3,"Not Attempted",IF(OR(ISNA(E269),ISNA(F269),ISNA(G269)),"NotCompleted","Complete"))</f>
        <v>Complete</v>
      </c>
    </row>
    <row r="270" spans="1:10" ht="15.6" x14ac:dyDescent="0.3">
      <c r="A270" s="17" t="s">
        <v>5487</v>
      </c>
      <c r="B270" s="20" t="s">
        <v>6410</v>
      </c>
      <c r="C270" s="20" t="s">
        <v>6654</v>
      </c>
      <c r="D270" s="2" t="s">
        <v>25</v>
      </c>
      <c r="E270" s="6" t="e">
        <f>LOOKUP(2,1/(MCQ!C:C=B270),MCQ!H:H)</f>
        <v>#N/A</v>
      </c>
      <c r="F270" s="6" t="e">
        <f>LOOKUP(2,1/(Debugging!C:C=B270),Debugging!H:H)</f>
        <v>#N/A</v>
      </c>
      <c r="G270" s="6" t="e">
        <f>LOOKUP(2,1/(Coding!C:C=B270),Coding!H:H)</f>
        <v>#N/A</v>
      </c>
      <c r="H270" s="8" t="e">
        <f>E270+F270+G270</f>
        <v>#N/A</v>
      </c>
      <c r="I270" s="4" t="str">
        <f>IF(J270&lt;&gt;"Complete","Not Active",IF(H270&gt;=75,"Good",IF(H270&gt;=50,"Satisfactory",IF(H270&gt;=25,"Need Attention","Intervention"))))</f>
        <v>Not Active</v>
      </c>
      <c r="J270" s="4" t="str">
        <f>IF(COUNTIF(E270:G270,"#N/A")=3,"Not Attempted",IF(OR(ISNA(E270),ISNA(F270),ISNA(G270)),"NotCompleted","Complete"))</f>
        <v>Not Attempted</v>
      </c>
    </row>
    <row r="271" spans="1:10" ht="15.6" x14ac:dyDescent="0.3">
      <c r="A271" s="17" t="s">
        <v>5487</v>
      </c>
      <c r="B271" s="20" t="s">
        <v>504</v>
      </c>
      <c r="C271" s="20" t="s">
        <v>6655</v>
      </c>
      <c r="D271" s="2" t="s">
        <v>42</v>
      </c>
      <c r="E271" s="6" t="str">
        <f>LOOKUP(2,1/(MCQ!C:C=B271),MCQ!H:H)</f>
        <v>22.00</v>
      </c>
      <c r="F271" s="6" t="str">
        <f>LOOKUP(2,1/(Debugging!C:C=B271),Debugging!H:H)</f>
        <v>48.00</v>
      </c>
      <c r="G271" s="6" t="str">
        <f>LOOKUP(2,1/(Coding!C:C=B271),Coding!H:H)</f>
        <v>18.50</v>
      </c>
      <c r="H271" s="8">
        <f>E271+F271+G271</f>
        <v>88.5</v>
      </c>
      <c r="I271" s="4" t="str">
        <f>IF(J271&lt;&gt;"Complete","Not Active",IF(H271&gt;=75,"Good",IF(H271&gt;=50,"Satisfactory",IF(H271&gt;=25,"Need Attention","Intervention"))))</f>
        <v>Good</v>
      </c>
      <c r="J271" s="4" t="str">
        <f>IF(COUNTIF(E271:G271,"#N/A")=3,"Not Attempted",IF(OR(ISNA(E271),ISNA(F271),ISNA(G271)),"NotCompleted","Complete"))</f>
        <v>Complete</v>
      </c>
    </row>
    <row r="272" spans="1:10" ht="15.6" x14ac:dyDescent="0.3">
      <c r="A272" s="17" t="s">
        <v>5487</v>
      </c>
      <c r="B272" s="20" t="s">
        <v>506</v>
      </c>
      <c r="C272" s="20" t="s">
        <v>6656</v>
      </c>
      <c r="D272" s="2" t="s">
        <v>8</v>
      </c>
      <c r="E272" s="6" t="str">
        <f>LOOKUP(2,1/(MCQ!C:C=B272),MCQ!H:H)</f>
        <v>25.00</v>
      </c>
      <c r="F272" s="6" t="str">
        <f>LOOKUP(2,1/(Debugging!C:C=B272),Debugging!H:H)</f>
        <v>48.00</v>
      </c>
      <c r="G272" s="6" t="e">
        <f>LOOKUP(2,1/(Coding!C:C=B272),Coding!H:H)</f>
        <v>#N/A</v>
      </c>
      <c r="H272" s="8" t="e">
        <f>E272+F272+G272</f>
        <v>#N/A</v>
      </c>
      <c r="I272" s="4" t="str">
        <f>IF(J272&lt;&gt;"Complete","Not Active",IF(H272&gt;=75,"Good",IF(H272&gt;=50,"Satisfactory",IF(H272&gt;=25,"Need Attention","Intervention"))))</f>
        <v>Not Active</v>
      </c>
      <c r="J272" s="4" t="str">
        <f>IF(COUNTIF(E272:G272,"#N/A")=3,"Not Attempted",IF(OR(ISNA(E272),ISNA(F272),ISNA(G272)),"NotCompleted","Complete"))</f>
        <v>NotCompleted</v>
      </c>
    </row>
    <row r="273" spans="1:10" ht="15.6" x14ac:dyDescent="0.3">
      <c r="A273" s="17" t="s">
        <v>5487</v>
      </c>
      <c r="B273" s="20" t="s">
        <v>508</v>
      </c>
      <c r="C273" s="20" t="s">
        <v>6657</v>
      </c>
      <c r="D273" s="2" t="s">
        <v>115</v>
      </c>
      <c r="E273" s="6" t="str">
        <f>LOOKUP(2,1/(MCQ!C:C=B273),MCQ!H:H)</f>
        <v>18.00</v>
      </c>
      <c r="F273" s="6" t="e">
        <f>LOOKUP(2,1/(Debugging!C:C=B273),Debugging!H:H)</f>
        <v>#N/A</v>
      </c>
      <c r="G273" s="6" t="e">
        <f>LOOKUP(2,1/(Coding!C:C=B273),Coding!H:H)</f>
        <v>#N/A</v>
      </c>
      <c r="H273" s="8" t="e">
        <f>E273+F273+G273</f>
        <v>#N/A</v>
      </c>
      <c r="I273" s="4" t="str">
        <f>IF(J273&lt;&gt;"Complete","Not Active",IF(H273&gt;=75,"Good",IF(H273&gt;=50,"Satisfactory",IF(H273&gt;=25,"Need Attention","Intervention"))))</f>
        <v>Not Active</v>
      </c>
      <c r="J273" s="4" t="str">
        <f>IF(COUNTIF(E273:G273,"#N/A")=3,"Not Attempted",IF(OR(ISNA(E273),ISNA(F273),ISNA(G273)),"NotCompleted","Complete"))</f>
        <v>NotCompleted</v>
      </c>
    </row>
    <row r="274" spans="1:10" ht="15.6" x14ac:dyDescent="0.3">
      <c r="A274" s="17" t="s">
        <v>5487</v>
      </c>
      <c r="B274" s="20" t="s">
        <v>510</v>
      </c>
      <c r="C274" s="20" t="s">
        <v>6658</v>
      </c>
      <c r="D274" s="2" t="s">
        <v>31</v>
      </c>
      <c r="E274" s="6" t="str">
        <f>LOOKUP(2,1/(MCQ!C:C=B274),MCQ!H:H)</f>
        <v>23.00</v>
      </c>
      <c r="F274" s="6" t="str">
        <f>LOOKUP(2,1/(Debugging!C:C=B274),Debugging!H:H)</f>
        <v>45.00</v>
      </c>
      <c r="G274" s="6" t="str">
        <f>LOOKUP(2,1/(Coding!C:C=B274),Coding!H:H)</f>
        <v>25.00</v>
      </c>
      <c r="H274" s="8">
        <f>E274+F274+G274</f>
        <v>93</v>
      </c>
      <c r="I274" s="4" t="str">
        <f>IF(J274&lt;&gt;"Complete","Not Active",IF(H274&gt;=75,"Good",IF(H274&gt;=50,"Satisfactory",IF(H274&gt;=25,"Need Attention","Intervention"))))</f>
        <v>Good</v>
      </c>
      <c r="J274" s="4" t="str">
        <f>IF(COUNTIF(E274:G274,"#N/A")=3,"Not Attempted",IF(OR(ISNA(E274),ISNA(F274),ISNA(G274)),"NotCompleted","Complete"))</f>
        <v>Complete</v>
      </c>
    </row>
    <row r="275" spans="1:10" ht="15.6" x14ac:dyDescent="0.3">
      <c r="A275" s="17" t="s">
        <v>5487</v>
      </c>
      <c r="B275" s="20" t="s">
        <v>512</v>
      </c>
      <c r="C275" s="20" t="s">
        <v>6659</v>
      </c>
      <c r="D275" s="2" t="s">
        <v>120</v>
      </c>
      <c r="E275" s="6" t="str">
        <f>LOOKUP(2,1/(MCQ!C:C=B275),MCQ!H:H)</f>
        <v>20.00</v>
      </c>
      <c r="F275" s="6" t="str">
        <f>LOOKUP(2,1/(Debugging!C:C=B275),Debugging!H:H)</f>
        <v>0.00</v>
      </c>
      <c r="G275" s="6" t="e">
        <f>LOOKUP(2,1/(Coding!C:C=B275),Coding!H:H)</f>
        <v>#N/A</v>
      </c>
      <c r="H275" s="8" t="e">
        <f>E275+F275+G275</f>
        <v>#N/A</v>
      </c>
      <c r="I275" s="4" t="str">
        <f>IF(J275&lt;&gt;"Complete","Not Active",IF(H275&gt;=75,"Good",IF(H275&gt;=50,"Satisfactory",IF(H275&gt;=25,"Need Attention","Intervention"))))</f>
        <v>Not Active</v>
      </c>
      <c r="J275" s="4" t="str">
        <f>IF(COUNTIF(E275:G275,"#N/A")=3,"Not Attempted",IF(OR(ISNA(E275),ISNA(F275),ISNA(G275)),"NotCompleted","Complete"))</f>
        <v>NotCompleted</v>
      </c>
    </row>
    <row r="276" spans="1:10" ht="15.6" x14ac:dyDescent="0.3">
      <c r="A276" s="17" t="s">
        <v>5487</v>
      </c>
      <c r="B276" s="20" t="s">
        <v>5606</v>
      </c>
      <c r="C276" s="20" t="s">
        <v>6660</v>
      </c>
      <c r="D276" s="2" t="s">
        <v>123</v>
      </c>
      <c r="E276" s="6" t="str">
        <f>LOOKUP(2,1/(MCQ!C:C=B276),MCQ!H:H)</f>
        <v>6.00</v>
      </c>
      <c r="F276" s="6" t="e">
        <f>LOOKUP(2,1/(Debugging!C:C=B276),Debugging!H:H)</f>
        <v>#N/A</v>
      </c>
      <c r="G276" s="6" t="e">
        <f>LOOKUP(2,1/(Coding!C:C=B276),Coding!H:H)</f>
        <v>#N/A</v>
      </c>
      <c r="H276" s="8" t="e">
        <f>E276+F276+G276</f>
        <v>#N/A</v>
      </c>
      <c r="I276" s="4" t="str">
        <f>IF(J276&lt;&gt;"Complete","Not Active",IF(H276&gt;=75,"Good",IF(H276&gt;=50,"Satisfactory",IF(H276&gt;=25,"Need Attention","Intervention"))))</f>
        <v>Not Active</v>
      </c>
      <c r="J276" s="4" t="str">
        <f>IF(COUNTIF(E276:G276,"#N/A")=3,"Not Attempted",IF(OR(ISNA(E276),ISNA(F276),ISNA(G276)),"NotCompleted","Complete"))</f>
        <v>NotCompleted</v>
      </c>
    </row>
    <row r="277" spans="1:10" ht="15.6" x14ac:dyDescent="0.3">
      <c r="A277" s="17" t="s">
        <v>5487</v>
      </c>
      <c r="B277" s="20" t="s">
        <v>514</v>
      </c>
      <c r="C277" s="20" t="s">
        <v>6661</v>
      </c>
      <c r="D277" s="2" t="s">
        <v>126</v>
      </c>
      <c r="E277" s="6" t="str">
        <f>LOOKUP(2,1/(MCQ!C:C=B277),MCQ!H:H)</f>
        <v>24.00</v>
      </c>
      <c r="F277" s="6" t="str">
        <f>LOOKUP(2,1/(Debugging!C:C=B277),Debugging!H:H)</f>
        <v>44.00</v>
      </c>
      <c r="G277" s="6" t="str">
        <f>LOOKUP(2,1/(Coding!C:C=B277),Coding!H:H)</f>
        <v>25.00</v>
      </c>
      <c r="H277" s="8">
        <f>E277+F277+G277</f>
        <v>93</v>
      </c>
      <c r="I277" s="4" t="str">
        <f>IF(J277&lt;&gt;"Complete","Not Active",IF(H277&gt;=75,"Good",IF(H277&gt;=50,"Satisfactory",IF(H277&gt;=25,"Need Attention","Intervention"))))</f>
        <v>Good</v>
      </c>
      <c r="J277" s="4" t="str">
        <f>IF(COUNTIF(E277:G277,"#N/A")=3,"Not Attempted",IF(OR(ISNA(E277),ISNA(F277),ISNA(G277)),"NotCompleted","Complete"))</f>
        <v>Complete</v>
      </c>
    </row>
    <row r="278" spans="1:10" ht="15.6" x14ac:dyDescent="0.3">
      <c r="A278" s="17" t="s">
        <v>5487</v>
      </c>
      <c r="B278" s="20" t="s">
        <v>516</v>
      </c>
      <c r="C278" s="20" t="s">
        <v>6662</v>
      </c>
      <c r="D278" s="2" t="s">
        <v>19</v>
      </c>
      <c r="E278" s="6" t="str">
        <f>LOOKUP(2,1/(MCQ!C:C=B278),MCQ!H:H)</f>
        <v>25.00</v>
      </c>
      <c r="F278" s="6" t="str">
        <f>LOOKUP(2,1/(Debugging!C:C=B278),Debugging!H:H)</f>
        <v>50.00</v>
      </c>
      <c r="G278" s="6" t="str">
        <f>LOOKUP(2,1/(Coding!C:C=B278),Coding!H:H)</f>
        <v>25.00</v>
      </c>
      <c r="H278" s="8">
        <f>E278+F278+G278</f>
        <v>100</v>
      </c>
      <c r="I278" s="4" t="str">
        <f>IF(J278&lt;&gt;"Complete","Not Active",IF(H278&gt;=75,"Good",IF(H278&gt;=50,"Satisfactory",IF(H278&gt;=25,"Need Attention","Intervention"))))</f>
        <v>Good</v>
      </c>
      <c r="J278" s="4" t="str">
        <f>IF(COUNTIF(E278:G278,"#N/A")=3,"Not Attempted",IF(OR(ISNA(E278),ISNA(F278),ISNA(G278)),"NotCompleted","Complete"))</f>
        <v>Complete</v>
      </c>
    </row>
    <row r="279" spans="1:10" ht="15.6" x14ac:dyDescent="0.3">
      <c r="A279" s="17" t="s">
        <v>5487</v>
      </c>
      <c r="B279" s="20" t="s">
        <v>518</v>
      </c>
      <c r="C279" s="20" t="s">
        <v>6663</v>
      </c>
      <c r="D279" s="2" t="s">
        <v>11</v>
      </c>
      <c r="E279" s="6" t="str">
        <f>LOOKUP(2,1/(MCQ!C:C=B279),MCQ!H:H)</f>
        <v>23.00</v>
      </c>
      <c r="F279" s="6" t="str">
        <f>LOOKUP(2,1/(Debugging!C:C=B279),Debugging!H:H)</f>
        <v>44.00</v>
      </c>
      <c r="G279" s="6" t="str">
        <f>LOOKUP(2,1/(Coding!C:C=B279),Coding!H:H)</f>
        <v>23.00</v>
      </c>
      <c r="H279" s="8">
        <f>E279+F279+G279</f>
        <v>90</v>
      </c>
      <c r="I279" s="4" t="str">
        <f>IF(J279&lt;&gt;"Complete","Not Active",IF(H279&gt;=75,"Good",IF(H279&gt;=50,"Satisfactory",IF(H279&gt;=25,"Need Attention","Intervention"))))</f>
        <v>Good</v>
      </c>
      <c r="J279" s="4" t="str">
        <f>IF(COUNTIF(E279:G279,"#N/A")=3,"Not Attempted",IF(OR(ISNA(E279),ISNA(F279),ISNA(G279)),"NotCompleted","Complete"))</f>
        <v>Complete</v>
      </c>
    </row>
    <row r="280" spans="1:10" ht="15.6" x14ac:dyDescent="0.3">
      <c r="A280" s="17" t="s">
        <v>5487</v>
      </c>
      <c r="B280" s="20" t="s">
        <v>5624</v>
      </c>
      <c r="C280" s="20" t="s">
        <v>6664</v>
      </c>
      <c r="D280" s="2" t="s">
        <v>133</v>
      </c>
      <c r="E280" s="6" t="str">
        <f>LOOKUP(2,1/(MCQ!C:C=B280),MCQ!H:H)</f>
        <v>22.00</v>
      </c>
      <c r="F280" s="6" t="str">
        <f>LOOKUP(2,1/(Debugging!C:C=B280),Debugging!H:H)</f>
        <v>49.00</v>
      </c>
      <c r="G280" s="6" t="e">
        <f>LOOKUP(2,1/(Coding!C:C=B280),Coding!H:H)</f>
        <v>#N/A</v>
      </c>
      <c r="H280" s="8" t="e">
        <f>E280+F280+G280</f>
        <v>#N/A</v>
      </c>
      <c r="I280" s="4" t="str">
        <f>IF(J280&lt;&gt;"Complete","Not Active",IF(H280&gt;=75,"Good",IF(H280&gt;=50,"Satisfactory",IF(H280&gt;=25,"Need Attention","Intervention"))))</f>
        <v>Not Active</v>
      </c>
      <c r="J280" s="4" t="str">
        <f>IF(COUNTIF(E280:G280,"#N/A")=3,"Not Attempted",IF(OR(ISNA(E280),ISNA(F280),ISNA(G280)),"NotCompleted","Complete"))</f>
        <v>NotCompleted</v>
      </c>
    </row>
    <row r="281" spans="1:10" ht="15.6" x14ac:dyDescent="0.3">
      <c r="A281" s="17" t="s">
        <v>5487</v>
      </c>
      <c r="B281" s="20" t="s">
        <v>5628</v>
      </c>
      <c r="C281" s="20" t="s">
        <v>6665</v>
      </c>
      <c r="D281" s="2" t="s">
        <v>42</v>
      </c>
      <c r="E281" s="6" t="str">
        <f>LOOKUP(2,1/(MCQ!C:C=B281),MCQ!H:H)</f>
        <v>18.00</v>
      </c>
      <c r="F281" s="6" t="str">
        <f>LOOKUP(2,1/(Debugging!C:C=B281),Debugging!H:H)</f>
        <v>17.00</v>
      </c>
      <c r="G281" s="6" t="e">
        <f>LOOKUP(2,1/(Coding!C:C=B281),Coding!H:H)</f>
        <v>#N/A</v>
      </c>
      <c r="H281" s="8" t="e">
        <f>E281+F281+G281</f>
        <v>#N/A</v>
      </c>
      <c r="I281" s="4" t="str">
        <f>IF(J281&lt;&gt;"Complete","Not Active",IF(H281&gt;=75,"Good",IF(H281&gt;=50,"Satisfactory",IF(H281&gt;=25,"Need Attention","Intervention"))))</f>
        <v>Not Active</v>
      </c>
      <c r="J281" s="4" t="str">
        <f>IF(COUNTIF(E281:G281,"#N/A")=3,"Not Attempted",IF(OR(ISNA(E281),ISNA(F281),ISNA(G281)),"NotCompleted","Complete"))</f>
        <v>NotCompleted</v>
      </c>
    </row>
    <row r="282" spans="1:10" ht="15.6" x14ac:dyDescent="0.3">
      <c r="A282" s="17" t="s">
        <v>5487</v>
      </c>
      <c r="B282" s="20" t="s">
        <v>520</v>
      </c>
      <c r="C282" s="20" t="s">
        <v>6666</v>
      </c>
      <c r="D282" s="2" t="s">
        <v>8</v>
      </c>
      <c r="E282" s="6" t="str">
        <f>LOOKUP(2,1/(MCQ!C:C=B282),MCQ!H:H)</f>
        <v>22.00</v>
      </c>
      <c r="F282" s="6" t="str">
        <f>LOOKUP(2,1/(Debugging!C:C=B282),Debugging!H:H)</f>
        <v>41.00</v>
      </c>
      <c r="G282" s="6" t="str">
        <f>LOOKUP(2,1/(Coding!C:C=B282),Coding!H:H)</f>
        <v>25.00</v>
      </c>
      <c r="H282" s="8">
        <f>E282+F282+G282</f>
        <v>88</v>
      </c>
      <c r="I282" s="4" t="str">
        <f>IF(J282&lt;&gt;"Complete","Not Active",IF(H282&gt;=75,"Good",IF(H282&gt;=50,"Satisfactory",IF(H282&gt;=25,"Need Attention","Intervention"))))</f>
        <v>Good</v>
      </c>
      <c r="J282" s="4" t="str">
        <f>IF(COUNTIF(E282:G282,"#N/A")=3,"Not Attempted",IF(OR(ISNA(E282),ISNA(F282),ISNA(G282)),"NotCompleted","Complete"))</f>
        <v>Complete</v>
      </c>
    </row>
    <row r="283" spans="1:10" ht="15.6" x14ac:dyDescent="0.3">
      <c r="A283" s="17" t="s">
        <v>5487</v>
      </c>
      <c r="B283" s="20" t="s">
        <v>522</v>
      </c>
      <c r="C283" s="20" t="s">
        <v>6667</v>
      </c>
      <c r="D283" s="2" t="s">
        <v>49</v>
      </c>
      <c r="E283" s="6" t="str">
        <f>LOOKUP(2,1/(MCQ!C:C=B283),MCQ!H:H)</f>
        <v>25.00</v>
      </c>
      <c r="F283" s="6" t="str">
        <f>LOOKUP(2,1/(Debugging!C:C=B283),Debugging!H:H)</f>
        <v>46.00</v>
      </c>
      <c r="G283" s="6" t="str">
        <f>LOOKUP(2,1/(Coding!C:C=B283),Coding!H:H)</f>
        <v>23.50</v>
      </c>
      <c r="H283" s="8">
        <f>E283+F283+G283</f>
        <v>94.5</v>
      </c>
      <c r="I283" s="4" t="str">
        <f>IF(J283&lt;&gt;"Complete","Not Active",IF(H283&gt;=75,"Good",IF(H283&gt;=50,"Satisfactory",IF(H283&gt;=25,"Need Attention","Intervention"))))</f>
        <v>Good</v>
      </c>
      <c r="J283" s="4" t="str">
        <f>IF(COUNTIF(E283:G283,"#N/A")=3,"Not Attempted",IF(OR(ISNA(E283),ISNA(F283),ISNA(G283)),"NotCompleted","Complete"))</f>
        <v>Complete</v>
      </c>
    </row>
    <row r="284" spans="1:10" ht="15.6" x14ac:dyDescent="0.3">
      <c r="A284" s="18" t="s">
        <v>5487</v>
      </c>
      <c r="B284" s="20" t="s">
        <v>709</v>
      </c>
      <c r="C284" s="20" t="s">
        <v>6668</v>
      </c>
      <c r="D284" s="2" t="s">
        <v>42</v>
      </c>
      <c r="E284" s="6" t="str">
        <f>LOOKUP(2,1/(MCQ!C:C=B284),MCQ!H:H)</f>
        <v>24.00</v>
      </c>
      <c r="F284" s="6" t="str">
        <f>LOOKUP(2,1/(Debugging!C:C=B284),Debugging!H:H)</f>
        <v>42.00</v>
      </c>
      <c r="G284" s="6" t="str">
        <f>LOOKUP(2,1/(Coding!C:C=B284),Coding!H:H)</f>
        <v>25.00</v>
      </c>
      <c r="H284" s="8">
        <f>E284+F284+G284</f>
        <v>91</v>
      </c>
      <c r="I284" s="4" t="str">
        <f>IF(J284&lt;&gt;"Complete","Not Active",IF(H284&gt;=75,"Good",IF(H284&gt;=50,"Satisfactory",IF(H284&gt;=25,"Need Attention","Intervention"))))</f>
        <v>Good</v>
      </c>
      <c r="J284" s="4" t="str">
        <f>IF(COUNTIF(E284:G284,"#N/A")=3,"Not Attempted",IF(OR(ISNA(E284),ISNA(F284),ISNA(G284)),"NotCompleted","Complete"))</f>
        <v>Complete</v>
      </c>
    </row>
    <row r="285" spans="1:10" ht="15.6" x14ac:dyDescent="0.3">
      <c r="A285" s="18" t="s">
        <v>5487</v>
      </c>
      <c r="B285" s="20" t="s">
        <v>711</v>
      </c>
      <c r="C285" s="20" t="s">
        <v>6669</v>
      </c>
      <c r="D285" s="2" t="s">
        <v>55</v>
      </c>
      <c r="E285" s="6" t="str">
        <f>LOOKUP(2,1/(MCQ!C:C=B285),MCQ!H:H)</f>
        <v>22.00</v>
      </c>
      <c r="F285" s="6" t="str">
        <f>LOOKUP(2,1/(Debugging!C:C=B285),Debugging!H:H)</f>
        <v>46.00</v>
      </c>
      <c r="G285" s="6" t="e">
        <f>LOOKUP(2,1/(Coding!C:C=B285),Coding!H:H)</f>
        <v>#N/A</v>
      </c>
      <c r="H285" s="8" t="e">
        <f>E285+F285+G285</f>
        <v>#N/A</v>
      </c>
      <c r="I285" s="4" t="str">
        <f>IF(J285&lt;&gt;"Complete","Not Active",IF(H285&gt;=75,"Good",IF(H285&gt;=50,"Satisfactory",IF(H285&gt;=25,"Need Attention","Intervention"))))</f>
        <v>Not Active</v>
      </c>
      <c r="J285" s="4" t="str">
        <f>IF(COUNTIF(E285:G285,"#N/A")=3,"Not Attempted",IF(OR(ISNA(E285),ISNA(F285),ISNA(G285)),"NotCompleted","Complete"))</f>
        <v>NotCompleted</v>
      </c>
    </row>
    <row r="286" spans="1:10" ht="15.6" x14ac:dyDescent="0.3">
      <c r="A286" s="18" t="s">
        <v>5487</v>
      </c>
      <c r="B286" s="20" t="s">
        <v>6411</v>
      </c>
      <c r="C286" s="20" t="s">
        <v>6670</v>
      </c>
      <c r="D286" s="2" t="s">
        <v>49</v>
      </c>
      <c r="E286" s="6" t="e">
        <f>LOOKUP(2,1/(MCQ!C:C=B286),MCQ!H:H)</f>
        <v>#N/A</v>
      </c>
      <c r="F286" s="6" t="e">
        <f>LOOKUP(2,1/(Debugging!C:C=B286),Debugging!H:H)</f>
        <v>#N/A</v>
      </c>
      <c r="G286" s="6" t="e">
        <f>LOOKUP(2,1/(Coding!C:C=B286),Coding!H:H)</f>
        <v>#N/A</v>
      </c>
      <c r="H286" s="8" t="e">
        <f>E286+F286+G286</f>
        <v>#N/A</v>
      </c>
      <c r="I286" s="4" t="str">
        <f>IF(J286&lt;&gt;"Complete","Not Active",IF(H286&gt;=75,"Good",IF(H286&gt;=50,"Satisfactory",IF(H286&gt;=25,"Need Attention","Intervention"))))</f>
        <v>Not Active</v>
      </c>
      <c r="J286" s="4" t="str">
        <f>IF(COUNTIF(E286:G286,"#N/A")=3,"Not Attempted",IF(OR(ISNA(E286),ISNA(F286),ISNA(G286)),"NotCompleted","Complete"))</f>
        <v>Not Attempted</v>
      </c>
    </row>
    <row r="287" spans="1:10" ht="15.6" x14ac:dyDescent="0.3">
      <c r="A287" s="18" t="s">
        <v>5487</v>
      </c>
      <c r="B287" s="20" t="s">
        <v>713</v>
      </c>
      <c r="C287" s="20" t="s">
        <v>6671</v>
      </c>
      <c r="D287" s="2" t="s">
        <v>8</v>
      </c>
      <c r="E287" s="6" t="str">
        <f>LOOKUP(2,1/(MCQ!C:C=B287),MCQ!H:H)</f>
        <v>24.00</v>
      </c>
      <c r="F287" s="6" t="str">
        <f>LOOKUP(2,1/(Debugging!C:C=B287),Debugging!H:H)</f>
        <v>28.00</v>
      </c>
      <c r="G287" s="6" t="str">
        <f>LOOKUP(2,1/(Coding!C:C=B287),Coding!H:H)</f>
        <v>23.50</v>
      </c>
      <c r="H287" s="8">
        <f>E287+F287+G287</f>
        <v>75.5</v>
      </c>
      <c r="I287" s="4" t="str">
        <f>IF(J287&lt;&gt;"Complete","Not Active",IF(H287&gt;=75,"Good",IF(H287&gt;=50,"Satisfactory",IF(H287&gt;=25,"Need Attention","Intervention"))))</f>
        <v>Good</v>
      </c>
      <c r="J287" s="4" t="str">
        <f>IF(COUNTIF(E287:G287,"#N/A")=3,"Not Attempted",IF(OR(ISNA(E287),ISNA(F287),ISNA(G287)),"NotCompleted","Complete"))</f>
        <v>Complete</v>
      </c>
    </row>
    <row r="288" spans="1:10" ht="15.6" x14ac:dyDescent="0.3">
      <c r="A288" s="18" t="s">
        <v>5487</v>
      </c>
      <c r="B288" s="20" t="s">
        <v>715</v>
      </c>
      <c r="C288" s="20" t="s">
        <v>6672</v>
      </c>
      <c r="D288" s="2" t="s">
        <v>71</v>
      </c>
      <c r="E288" s="6" t="str">
        <f>LOOKUP(2,1/(MCQ!C:C=B288),MCQ!H:H)</f>
        <v>15.00</v>
      </c>
      <c r="F288" s="6" t="str">
        <f>LOOKUP(2,1/(Debugging!C:C=B288),Debugging!H:H)</f>
        <v>46.00</v>
      </c>
      <c r="G288" s="6" t="e">
        <f>LOOKUP(2,1/(Coding!C:C=B288),Coding!H:H)</f>
        <v>#N/A</v>
      </c>
      <c r="H288" s="8" t="e">
        <f>E288+F288+G288</f>
        <v>#N/A</v>
      </c>
      <c r="I288" s="4" t="str">
        <f>IF(J288&lt;&gt;"Complete","Not Active",IF(H288&gt;=75,"Good",IF(H288&gt;=50,"Satisfactory",IF(H288&gt;=25,"Need Attention","Intervention"))))</f>
        <v>Not Active</v>
      </c>
      <c r="J288" s="4" t="str">
        <f>IF(COUNTIF(E288:G288,"#N/A")=3,"Not Attempted",IF(OR(ISNA(E288),ISNA(F288),ISNA(G288)),"NotCompleted","Complete"))</f>
        <v>NotCompleted</v>
      </c>
    </row>
    <row r="289" spans="1:10" ht="15.6" x14ac:dyDescent="0.3">
      <c r="A289" s="18" t="s">
        <v>5487</v>
      </c>
      <c r="B289" s="20" t="s">
        <v>717</v>
      </c>
      <c r="C289" s="20" t="s">
        <v>6673</v>
      </c>
      <c r="D289" s="2" t="s">
        <v>11</v>
      </c>
      <c r="E289" s="6" t="str">
        <f>LOOKUP(2,1/(MCQ!C:C=B289),MCQ!H:H)</f>
        <v>21.00</v>
      </c>
      <c r="F289" s="6" t="str">
        <f>LOOKUP(2,1/(Debugging!C:C=B289),Debugging!H:H)</f>
        <v>43.00</v>
      </c>
      <c r="G289" s="6" t="str">
        <f>LOOKUP(2,1/(Coding!C:C=B289),Coding!H:H)</f>
        <v>23.50</v>
      </c>
      <c r="H289" s="8">
        <f>E289+F289+G289</f>
        <v>87.5</v>
      </c>
      <c r="I289" s="4" t="str">
        <f>IF(J289&lt;&gt;"Complete","Not Active",IF(H289&gt;=75,"Good",IF(H289&gt;=50,"Satisfactory",IF(H289&gt;=25,"Need Attention","Intervention"))))</f>
        <v>Good</v>
      </c>
      <c r="J289" s="4" t="str">
        <f>IF(COUNTIF(E289:G289,"#N/A")=3,"Not Attempted",IF(OR(ISNA(E289),ISNA(F289),ISNA(G289)),"NotCompleted","Complete"))</f>
        <v>Complete</v>
      </c>
    </row>
    <row r="290" spans="1:10" ht="15.6" x14ac:dyDescent="0.3">
      <c r="A290" s="18" t="s">
        <v>5487</v>
      </c>
      <c r="B290" s="20" t="s">
        <v>6412</v>
      </c>
      <c r="C290" s="20" t="s">
        <v>6674</v>
      </c>
      <c r="D290" s="2" t="s">
        <v>153</v>
      </c>
      <c r="E290" s="6" t="e">
        <f>LOOKUP(2,1/(MCQ!C:C=B290),MCQ!H:H)</f>
        <v>#N/A</v>
      </c>
      <c r="F290" s="6" t="e">
        <f>LOOKUP(2,1/(Debugging!C:C=B290),Debugging!H:H)</f>
        <v>#N/A</v>
      </c>
      <c r="G290" s="6" t="e">
        <f>LOOKUP(2,1/(Coding!C:C=B290),Coding!H:H)</f>
        <v>#N/A</v>
      </c>
      <c r="H290" s="8" t="e">
        <f>E290+F290+G290</f>
        <v>#N/A</v>
      </c>
      <c r="I290" s="4" t="str">
        <f>IF(J290&lt;&gt;"Complete","Not Active",IF(H290&gt;=75,"Good",IF(H290&gt;=50,"Satisfactory",IF(H290&gt;=25,"Need Attention","Intervention"))))</f>
        <v>Not Active</v>
      </c>
      <c r="J290" s="4" t="str">
        <f>IF(COUNTIF(E290:G290,"#N/A")=3,"Not Attempted",IF(OR(ISNA(E290),ISNA(F290),ISNA(G290)),"NotCompleted","Complete"))</f>
        <v>Not Attempted</v>
      </c>
    </row>
    <row r="291" spans="1:10" ht="15.6" x14ac:dyDescent="0.3">
      <c r="A291" s="18" t="s">
        <v>5487</v>
      </c>
      <c r="B291" s="20" t="s">
        <v>6413</v>
      </c>
      <c r="C291" s="20" t="s">
        <v>6675</v>
      </c>
      <c r="D291" s="2" t="s">
        <v>42</v>
      </c>
      <c r="E291" s="6" t="e">
        <f>LOOKUP(2,1/(MCQ!C:C=B291),MCQ!H:H)</f>
        <v>#N/A</v>
      </c>
      <c r="F291" s="6" t="e">
        <f>LOOKUP(2,1/(Debugging!C:C=B291),Debugging!H:H)</f>
        <v>#N/A</v>
      </c>
      <c r="G291" s="6" t="e">
        <f>LOOKUP(2,1/(Coding!C:C=B291),Coding!H:H)</f>
        <v>#N/A</v>
      </c>
      <c r="H291" s="8" t="e">
        <f>E291+F291+G291</f>
        <v>#N/A</v>
      </c>
      <c r="I291" s="4" t="str">
        <f>IF(J291&lt;&gt;"Complete","Not Active",IF(H291&gt;=75,"Good",IF(H291&gt;=50,"Satisfactory",IF(H291&gt;=25,"Need Attention","Intervention"))))</f>
        <v>Not Active</v>
      </c>
      <c r="J291" s="4" t="str">
        <f>IF(COUNTIF(E291:G291,"#N/A")=3,"Not Attempted",IF(OR(ISNA(E291),ISNA(F291),ISNA(G291)),"NotCompleted","Complete"))</f>
        <v>Not Attempted</v>
      </c>
    </row>
    <row r="292" spans="1:10" ht="15.6" x14ac:dyDescent="0.3">
      <c r="A292" s="17" t="s">
        <v>5487</v>
      </c>
      <c r="B292" s="20" t="s">
        <v>524</v>
      </c>
      <c r="C292" s="20" t="s">
        <v>6676</v>
      </c>
      <c r="D292" s="2" t="s">
        <v>8</v>
      </c>
      <c r="E292" s="6" t="str">
        <f>LOOKUP(2,1/(MCQ!C:C=B292),MCQ!H:H)</f>
        <v>23.00</v>
      </c>
      <c r="F292" s="6" t="str">
        <f>LOOKUP(2,1/(Debugging!C:C=B292),Debugging!H:H)</f>
        <v>47.00</v>
      </c>
      <c r="G292" s="6" t="str">
        <f>LOOKUP(2,1/(Coding!C:C=B292),Coding!H:H)</f>
        <v>25.00</v>
      </c>
      <c r="H292" s="8">
        <f>E292+F292+G292</f>
        <v>95</v>
      </c>
      <c r="I292" s="4" t="str">
        <f>IF(J292&lt;&gt;"Complete","Not Active",IF(H292&gt;=75,"Good",IF(H292&gt;=50,"Satisfactory",IF(H292&gt;=25,"Need Attention","Intervention"))))</f>
        <v>Good</v>
      </c>
      <c r="J292" s="4" t="str">
        <f>IF(COUNTIF(E292:G292,"#N/A")=3,"Not Attempted",IF(OR(ISNA(E292),ISNA(F292),ISNA(G292)),"NotCompleted","Complete"))</f>
        <v>Complete</v>
      </c>
    </row>
    <row r="293" spans="1:10" ht="15.6" x14ac:dyDescent="0.3">
      <c r="A293" s="17" t="s">
        <v>5487</v>
      </c>
      <c r="B293" s="20" t="s">
        <v>525</v>
      </c>
      <c r="C293" s="20" t="s">
        <v>6677</v>
      </c>
      <c r="D293" s="2" t="s">
        <v>28</v>
      </c>
      <c r="E293" s="6" t="str">
        <f>LOOKUP(2,1/(MCQ!C:C=B293),MCQ!H:H)</f>
        <v>22.00</v>
      </c>
      <c r="F293" s="6" t="str">
        <f>LOOKUP(2,1/(Debugging!C:C=B293),Debugging!H:H)</f>
        <v>44.00</v>
      </c>
      <c r="G293" s="6" t="str">
        <f>LOOKUP(2,1/(Coding!C:C=B293),Coding!H:H)</f>
        <v>20.50</v>
      </c>
      <c r="H293" s="8">
        <f>E293+F293+G293</f>
        <v>86.5</v>
      </c>
      <c r="I293" s="4" t="str">
        <f>IF(J293&lt;&gt;"Complete","Not Active",IF(H293&gt;=75,"Good",IF(H293&gt;=50,"Satisfactory",IF(H293&gt;=25,"Need Attention","Intervention"))))</f>
        <v>Good</v>
      </c>
      <c r="J293" s="4" t="str">
        <f>IF(COUNTIF(E293:G293,"#N/A")=3,"Not Attempted",IF(OR(ISNA(E293),ISNA(F293),ISNA(G293)),"NotCompleted","Complete"))</f>
        <v>Complete</v>
      </c>
    </row>
    <row r="294" spans="1:10" ht="15.6" x14ac:dyDescent="0.3">
      <c r="A294" s="17" t="s">
        <v>5487</v>
      </c>
      <c r="B294" s="20" t="s">
        <v>527</v>
      </c>
      <c r="C294" s="20" t="s">
        <v>6678</v>
      </c>
      <c r="D294" s="2" t="s">
        <v>31</v>
      </c>
      <c r="E294" s="6" t="str">
        <f>LOOKUP(2,1/(MCQ!C:C=B294),MCQ!H:H)</f>
        <v>23.00</v>
      </c>
      <c r="F294" s="6" t="str">
        <f>LOOKUP(2,1/(Debugging!C:C=B294),Debugging!H:H)</f>
        <v>46.00</v>
      </c>
      <c r="G294" s="6" t="str">
        <f>LOOKUP(2,1/(Coding!C:C=B294),Coding!H:H)</f>
        <v>25.00</v>
      </c>
      <c r="H294" s="8">
        <f>E294+F294+G294</f>
        <v>94</v>
      </c>
      <c r="I294" s="4" t="str">
        <f>IF(J294&lt;&gt;"Complete","Not Active",IF(H294&gt;=75,"Good",IF(H294&gt;=50,"Satisfactory",IF(H294&gt;=25,"Need Attention","Intervention"))))</f>
        <v>Good</v>
      </c>
      <c r="J294" s="4" t="str">
        <f>IF(COUNTIF(E294:G294,"#N/A")=3,"Not Attempted",IF(OR(ISNA(E294),ISNA(F294),ISNA(G294)),"NotCompleted","Complete"))</f>
        <v>Complete</v>
      </c>
    </row>
    <row r="295" spans="1:10" ht="15.6" x14ac:dyDescent="0.3">
      <c r="A295" s="17" t="s">
        <v>5487</v>
      </c>
      <c r="B295" s="20" t="s">
        <v>529</v>
      </c>
      <c r="C295" s="20" t="s">
        <v>6679</v>
      </c>
      <c r="D295" s="2" t="s">
        <v>42</v>
      </c>
      <c r="E295" s="6" t="e">
        <f>LOOKUP(2,1/(Debugging!B:B=A295),Debugging!G:G)</f>
        <v>#N/A</v>
      </c>
      <c r="F295" s="6" t="e">
        <v>#N/A</v>
      </c>
      <c r="G295" s="6" t="e">
        <f>LOOKUP(2,1/(Coding!C:C=B295),Coding!H:H)</f>
        <v>#N/A</v>
      </c>
      <c r="H295" s="8" t="e">
        <f>E295+F295+G295</f>
        <v>#N/A</v>
      </c>
      <c r="I295" s="4" t="str">
        <f>IF(J295&lt;&gt;"Complete","Not Active",IF(H295&gt;=75,"Good",IF(H295&gt;=50,"Satisfactory",IF(H295&gt;=25,"Need Attention","Intervention"))))</f>
        <v>Not Active</v>
      </c>
      <c r="J295" s="4" t="str">
        <f>IF(COUNTIF(E295:G295,"#N/A")=3,"Not Attempted",IF(OR(ISNA(E295),ISNA(F295),ISNA(G295)),"NotCompleted","Complete"))</f>
        <v>Not Attempted</v>
      </c>
    </row>
    <row r="296" spans="1:10" ht="15.6" x14ac:dyDescent="0.3">
      <c r="A296" s="17" t="s">
        <v>5487</v>
      </c>
      <c r="B296" s="20" t="s">
        <v>5637</v>
      </c>
      <c r="C296" s="20" t="s">
        <v>6680</v>
      </c>
      <c r="D296" s="2" t="s">
        <v>28</v>
      </c>
      <c r="E296" s="6" t="str">
        <f>LOOKUP(2,1/(MCQ!C:C=B296),MCQ!H:H)</f>
        <v>22.00</v>
      </c>
      <c r="F296" s="6" t="str">
        <f>LOOKUP(2,1/(Debugging!C:C=B296),Debugging!H:H)</f>
        <v>49.00</v>
      </c>
      <c r="G296" s="6" t="e">
        <f>LOOKUP(2,1/(Coding!C:C=B296),Coding!H:H)</f>
        <v>#N/A</v>
      </c>
      <c r="H296" s="8" t="e">
        <f>E296+F296+G296</f>
        <v>#N/A</v>
      </c>
      <c r="I296" s="4" t="str">
        <f>IF(J296&lt;&gt;"Complete","Not Active",IF(H296&gt;=75,"Good",IF(H296&gt;=50,"Satisfactory",IF(H296&gt;=25,"Need Attention","Intervention"))))</f>
        <v>Not Active</v>
      </c>
      <c r="J296" s="4" t="str">
        <f>IF(COUNTIF(E296:G296,"#N/A")=3,"Not Attempted",IF(OR(ISNA(E296),ISNA(F296),ISNA(G296)),"NotCompleted","Complete"))</f>
        <v>NotCompleted</v>
      </c>
    </row>
    <row r="297" spans="1:10" ht="15.6" x14ac:dyDescent="0.3">
      <c r="A297" s="17" t="s">
        <v>5487</v>
      </c>
      <c r="B297" s="20" t="s">
        <v>531</v>
      </c>
      <c r="C297" s="20" t="s">
        <v>6681</v>
      </c>
      <c r="D297" s="2" t="s">
        <v>31</v>
      </c>
      <c r="E297" s="6" t="str">
        <f>LOOKUP(2,1/(MCQ!C:C=B297),MCQ!H:H)</f>
        <v>23.00</v>
      </c>
      <c r="F297" s="6" t="str">
        <f>LOOKUP(2,1/(Debugging!C:C=B297),Debugging!H:H)</f>
        <v>48.00</v>
      </c>
      <c r="G297" s="6" t="str">
        <f>LOOKUP(2,1/(Coding!C:C=B297),Coding!H:H)</f>
        <v>20.00</v>
      </c>
      <c r="H297" s="8">
        <f>E297+F297+G297</f>
        <v>91</v>
      </c>
      <c r="I297" s="4" t="str">
        <f>IF(J297&lt;&gt;"Complete","Not Active",IF(H297&gt;=75,"Good",IF(H297&gt;=50,"Satisfactory",IF(H297&gt;=25,"Need Attention","Intervention"))))</f>
        <v>Good</v>
      </c>
      <c r="J297" s="4" t="str">
        <f>IF(COUNTIF(E297:G297,"#N/A")=3,"Not Attempted",IF(OR(ISNA(E297),ISNA(F297),ISNA(G297)),"NotCompleted","Complete"))</f>
        <v>Complete</v>
      </c>
    </row>
    <row r="298" spans="1:10" ht="15.6" x14ac:dyDescent="0.3">
      <c r="A298" s="17" t="s">
        <v>5487</v>
      </c>
      <c r="B298" s="20" t="s">
        <v>5645</v>
      </c>
      <c r="C298" s="20" t="s">
        <v>6682</v>
      </c>
      <c r="D298" s="2" t="s">
        <v>170</v>
      </c>
      <c r="E298" s="6" t="str">
        <f>LOOKUP(2,1/(MCQ!C:C=B298),MCQ!H:H)</f>
        <v>20.00</v>
      </c>
      <c r="F298" s="6" t="e">
        <f>LOOKUP(2,1/(Debugging!C:C=B298),Debugging!H:H)</f>
        <v>#N/A</v>
      </c>
      <c r="G298" s="6" t="e">
        <f>LOOKUP(2,1/(Coding!C:C=B298),Coding!H:H)</f>
        <v>#N/A</v>
      </c>
      <c r="H298" s="8" t="e">
        <f>E298+F298+G298</f>
        <v>#N/A</v>
      </c>
      <c r="I298" s="4" t="str">
        <f>IF(J298&lt;&gt;"Complete","Not Active",IF(H298&gt;=75,"Good",IF(H298&gt;=50,"Satisfactory",IF(H298&gt;=25,"Need Attention","Intervention"))))</f>
        <v>Not Active</v>
      </c>
      <c r="J298" s="4" t="str">
        <f>IF(COUNTIF(E298:G298,"#N/A")=3,"Not Attempted",IF(OR(ISNA(E298),ISNA(F298),ISNA(G298)),"NotCompleted","Complete"))</f>
        <v>NotCompleted</v>
      </c>
    </row>
    <row r="299" spans="1:10" ht="15.6" x14ac:dyDescent="0.3">
      <c r="A299" s="17" t="s">
        <v>5487</v>
      </c>
      <c r="B299" s="20" t="s">
        <v>5649</v>
      </c>
      <c r="C299" s="20" t="s">
        <v>6683</v>
      </c>
      <c r="D299" s="2" t="s">
        <v>11</v>
      </c>
      <c r="E299" s="6" t="str">
        <f>LOOKUP(2,1/(MCQ!C:C=B299),MCQ!H:H)</f>
        <v>21.00</v>
      </c>
      <c r="F299" s="6" t="str">
        <f>LOOKUP(2,1/(Debugging!C:C=B299),Debugging!H:H)</f>
        <v>44.00</v>
      </c>
      <c r="G299" s="6" t="e">
        <f>LOOKUP(2,1/(Coding!C:C=B299),Coding!H:H)</f>
        <v>#N/A</v>
      </c>
      <c r="H299" s="8" t="e">
        <f>E299+F299+G299</f>
        <v>#N/A</v>
      </c>
      <c r="I299" s="4" t="str">
        <f>IF(J299&lt;&gt;"Complete","Not Active",IF(H299&gt;=75,"Good",IF(H299&gt;=50,"Satisfactory",IF(H299&gt;=25,"Need Attention","Intervention"))))</f>
        <v>Not Active</v>
      </c>
      <c r="J299" s="4" t="str">
        <f>IF(COUNTIF(E299:G299,"#N/A")=3,"Not Attempted",IF(OR(ISNA(E299),ISNA(F299),ISNA(G299)),"NotCompleted","Complete"))</f>
        <v>NotCompleted</v>
      </c>
    </row>
    <row r="300" spans="1:10" ht="15.6" x14ac:dyDescent="0.3">
      <c r="A300" s="17" t="s">
        <v>5487</v>
      </c>
      <c r="B300" s="20" t="s">
        <v>533</v>
      </c>
      <c r="C300" s="20" t="s">
        <v>6684</v>
      </c>
      <c r="D300" s="2" t="s">
        <v>71</v>
      </c>
      <c r="E300" s="6" t="str">
        <f>LOOKUP(2,1/(MCQ!C:C=B300),MCQ!H:H)</f>
        <v>23.00</v>
      </c>
      <c r="F300" s="6" t="str">
        <f>LOOKUP(2,1/(Debugging!C:C=B300),Debugging!H:H)</f>
        <v>49.00</v>
      </c>
      <c r="G300" s="6" t="e">
        <f>LOOKUP(2,1/(Coding!C:C=B300),Coding!H:H)</f>
        <v>#N/A</v>
      </c>
      <c r="H300" s="8" t="e">
        <f>E300+F300+G300</f>
        <v>#N/A</v>
      </c>
      <c r="I300" s="4" t="str">
        <f>IF(J300&lt;&gt;"Complete","Not Active",IF(H300&gt;=75,"Good",IF(H300&gt;=50,"Satisfactory",IF(H300&gt;=25,"Need Attention","Intervention"))))</f>
        <v>Not Active</v>
      </c>
      <c r="J300" s="4" t="str">
        <f>IF(COUNTIF(E300:G300,"#N/A")=3,"Not Attempted",IF(OR(ISNA(E300),ISNA(F300),ISNA(G300)),"NotCompleted","Complete"))</f>
        <v>NotCompleted</v>
      </c>
    </row>
    <row r="301" spans="1:10" ht="15.6" x14ac:dyDescent="0.3">
      <c r="A301" s="17" t="s">
        <v>5487</v>
      </c>
      <c r="B301" s="20" t="s">
        <v>535</v>
      </c>
      <c r="C301" s="20" t="s">
        <v>6685</v>
      </c>
      <c r="D301" s="2" t="s">
        <v>8</v>
      </c>
      <c r="E301" s="6" t="e">
        <f>LOOKUP(2,1/(Debugging!B:B=A301),Debugging!G:G)</f>
        <v>#N/A</v>
      </c>
      <c r="F301" s="6" t="str">
        <f>LOOKUP(2,1/(Debugging!C:C=B301),Debugging!H:H)</f>
        <v>37.00</v>
      </c>
      <c r="G301" s="6" t="str">
        <f>LOOKUP(2,1/(Coding!C:C=B301),Coding!H:H)</f>
        <v>21.50</v>
      </c>
      <c r="H301" s="8" t="e">
        <f>E301+F301+G301</f>
        <v>#N/A</v>
      </c>
      <c r="I301" s="4" t="str">
        <f>IF(J301&lt;&gt;"Complete","Not Active",IF(H301&gt;=75,"Good",IF(H301&gt;=50,"Satisfactory",IF(H301&gt;=25,"Need Attention","Intervention"))))</f>
        <v>Not Active</v>
      </c>
      <c r="J301" s="4" t="str">
        <f>IF(COUNTIF(E301:G301,"#N/A")=3,"Not Attempted",IF(OR(ISNA(E301),ISNA(F301),ISNA(G301)),"NotCompleted","Complete"))</f>
        <v>NotCompleted</v>
      </c>
    </row>
    <row r="302" spans="1:10" ht="15.6" x14ac:dyDescent="0.3">
      <c r="A302" s="17" t="s">
        <v>5487</v>
      </c>
      <c r="B302" s="20" t="s">
        <v>5660</v>
      </c>
      <c r="C302" s="20" t="s">
        <v>6686</v>
      </c>
      <c r="D302" s="2" t="s">
        <v>179</v>
      </c>
      <c r="E302" s="6" t="str">
        <f>LOOKUP(2,1/(MCQ!C:C=B302),MCQ!H:H)</f>
        <v>17.00</v>
      </c>
      <c r="F302" s="6" t="str">
        <f>LOOKUP(2,1/(Debugging!C:C=B302),Debugging!H:H)</f>
        <v>29.00</v>
      </c>
      <c r="G302" s="6" t="e">
        <f>LOOKUP(2,1/(Coding!C:C=B302),Coding!H:H)</f>
        <v>#N/A</v>
      </c>
      <c r="H302" s="8" t="e">
        <f>E302+F302+G302</f>
        <v>#N/A</v>
      </c>
      <c r="I302" s="4" t="str">
        <f>IF(J302&lt;&gt;"Complete","Not Active",IF(H302&gt;=75,"Good",IF(H302&gt;=50,"Satisfactory",IF(H302&gt;=25,"Need Attention","Intervention"))))</f>
        <v>Not Active</v>
      </c>
      <c r="J302" s="4" t="str">
        <f>IF(COUNTIF(E302:G302,"#N/A")=3,"Not Attempted",IF(OR(ISNA(E302),ISNA(F302),ISNA(G302)),"NotCompleted","Complete"))</f>
        <v>NotCompleted</v>
      </c>
    </row>
    <row r="303" spans="1:10" ht="15.6" x14ac:dyDescent="0.3">
      <c r="A303" s="17" t="s">
        <v>5487</v>
      </c>
      <c r="B303" s="20" t="s">
        <v>536</v>
      </c>
      <c r="C303" s="20" t="s">
        <v>6687</v>
      </c>
      <c r="D303" s="2" t="s">
        <v>8</v>
      </c>
      <c r="E303" s="6" t="str">
        <f>LOOKUP(2,1/(MCQ!C:C=B303),MCQ!H:H)</f>
        <v>20.00</v>
      </c>
      <c r="F303" s="6" t="str">
        <f>LOOKUP(2,1/(Debugging!C:C=B303),Debugging!H:H)</f>
        <v>32.00</v>
      </c>
      <c r="G303" s="6" t="str">
        <f>LOOKUP(2,1/(Coding!C:C=B303),Coding!H:H)</f>
        <v>15.00</v>
      </c>
      <c r="H303" s="8">
        <f>E303+F303+G303</f>
        <v>67</v>
      </c>
      <c r="I303" s="4" t="str">
        <f>IF(J303&lt;&gt;"Complete","Not Active",IF(H303&gt;=75,"Good",IF(H303&gt;=50,"Satisfactory",IF(H303&gt;=25,"Need Attention","Intervention"))))</f>
        <v>Satisfactory</v>
      </c>
      <c r="J303" s="4" t="str">
        <f>IF(COUNTIF(E303:G303,"#N/A")=3,"Not Attempted",IF(OR(ISNA(E303),ISNA(F303),ISNA(G303)),"NotCompleted","Complete"))</f>
        <v>Complete</v>
      </c>
    </row>
    <row r="304" spans="1:10" ht="15.6" x14ac:dyDescent="0.3">
      <c r="A304" s="17" t="s">
        <v>5487</v>
      </c>
      <c r="B304" s="20" t="s">
        <v>538</v>
      </c>
      <c r="C304" s="20" t="s">
        <v>6688</v>
      </c>
      <c r="D304" s="2" t="s">
        <v>8</v>
      </c>
      <c r="E304" s="6" t="str">
        <f>LOOKUP(2,1/(MCQ!C:C=B304),MCQ!H:H)</f>
        <v>25.00</v>
      </c>
      <c r="F304" s="6" t="str">
        <f>LOOKUP(2,1/(Debugging!C:C=B304),Debugging!H:H)</f>
        <v>43.00</v>
      </c>
      <c r="G304" s="6" t="e">
        <f>LOOKUP(2,1/(Coding!C:C=B304),Coding!H:H)</f>
        <v>#N/A</v>
      </c>
      <c r="H304" s="8" t="e">
        <f>E304+F304+G304</f>
        <v>#N/A</v>
      </c>
      <c r="I304" s="4" t="str">
        <f>IF(J304&lt;&gt;"Complete","Not Active",IF(H304&gt;=75,"Good",IF(H304&gt;=50,"Satisfactory",IF(H304&gt;=25,"Need Attention","Intervention"))))</f>
        <v>Not Active</v>
      </c>
      <c r="J304" s="4" t="str">
        <f>IF(COUNTIF(E304:G304,"#N/A")=3,"Not Attempted",IF(OR(ISNA(E304),ISNA(F304),ISNA(G304)),"NotCompleted","Complete"))</f>
        <v>NotCompleted</v>
      </c>
    </row>
    <row r="305" spans="1:10" ht="15.6" x14ac:dyDescent="0.3">
      <c r="A305" s="17" t="s">
        <v>5487</v>
      </c>
      <c r="B305" s="20" t="s">
        <v>5669</v>
      </c>
      <c r="C305" s="20" t="s">
        <v>6689</v>
      </c>
      <c r="D305" s="2" t="s">
        <v>42</v>
      </c>
      <c r="E305" s="6" t="str">
        <f>LOOKUP(2,1/(MCQ!C:C=B305),MCQ!H:H)</f>
        <v>21.00</v>
      </c>
      <c r="F305" s="6" t="str">
        <f>LOOKUP(2,1/(Debugging!C:C=B305),Debugging!H:H)</f>
        <v>42.00</v>
      </c>
      <c r="G305" s="6" t="e">
        <f>LOOKUP(2,1/(Coding!C:C=B305),Coding!H:H)</f>
        <v>#N/A</v>
      </c>
      <c r="H305" s="8" t="e">
        <f>E305+F305+G305</f>
        <v>#N/A</v>
      </c>
      <c r="I305" s="4" t="str">
        <f>IF(J305&lt;&gt;"Complete","Not Active",IF(H305&gt;=75,"Good",IF(H305&gt;=50,"Satisfactory",IF(H305&gt;=25,"Need Attention","Intervention"))))</f>
        <v>Not Active</v>
      </c>
      <c r="J305" s="4" t="str">
        <f>IF(COUNTIF(E305:G305,"#N/A")=3,"Not Attempted",IF(OR(ISNA(E305),ISNA(F305),ISNA(G305)),"NotCompleted","Complete"))</f>
        <v>NotCompleted</v>
      </c>
    </row>
    <row r="306" spans="1:10" ht="15.6" x14ac:dyDescent="0.3">
      <c r="A306" s="17" t="s">
        <v>5487</v>
      </c>
      <c r="B306" s="20" t="s">
        <v>541</v>
      </c>
      <c r="C306" s="20" t="s">
        <v>6690</v>
      </c>
      <c r="D306" s="2" t="s">
        <v>8</v>
      </c>
      <c r="E306" s="6" t="str">
        <f>LOOKUP(2,1/(MCQ!C:C=B306),MCQ!H:H)</f>
        <v>25.00</v>
      </c>
      <c r="F306" s="6" t="str">
        <f>LOOKUP(2,1/(Debugging!C:C=B306),Debugging!H:H)</f>
        <v>36.00</v>
      </c>
      <c r="G306" s="6" t="e">
        <f>LOOKUP(2,1/(Coding!C:C=B306),Coding!H:H)</f>
        <v>#N/A</v>
      </c>
      <c r="H306" s="8" t="e">
        <f>E306+F306+G306</f>
        <v>#N/A</v>
      </c>
      <c r="I306" s="4" t="str">
        <f>IF(J306&lt;&gt;"Complete","Not Active",IF(H306&gt;=75,"Good",IF(H306&gt;=50,"Satisfactory",IF(H306&gt;=25,"Need Attention","Intervention"))))</f>
        <v>Not Active</v>
      </c>
      <c r="J306" s="4" t="str">
        <f>IF(COUNTIF(E306:G306,"#N/A")=3,"Not Attempted",IF(OR(ISNA(E306),ISNA(F306),ISNA(G306)),"NotCompleted","Complete"))</f>
        <v>NotCompleted</v>
      </c>
    </row>
    <row r="307" spans="1:10" ht="15.6" x14ac:dyDescent="0.3">
      <c r="A307" s="17" t="s">
        <v>5487</v>
      </c>
      <c r="B307" s="20" t="s">
        <v>543</v>
      </c>
      <c r="C307" s="20" t="s">
        <v>6691</v>
      </c>
      <c r="D307" s="2" t="s">
        <v>123</v>
      </c>
      <c r="E307" s="6" t="str">
        <f>LOOKUP(2,1/(MCQ!C:C=B307),MCQ!H:H)</f>
        <v>20.00</v>
      </c>
      <c r="F307" s="6" t="str">
        <f>LOOKUP(2,1/(Debugging!C:C=B307),Debugging!H:H)</f>
        <v>46.00</v>
      </c>
      <c r="G307" s="6" t="str">
        <f>LOOKUP(2,1/(Coding!C:C=B307),Coding!H:H)</f>
        <v>0.00</v>
      </c>
      <c r="H307" s="8">
        <f>E307+F307+G307</f>
        <v>66</v>
      </c>
      <c r="I307" s="4" t="str">
        <f>IF(J307&lt;&gt;"Complete","Not Active",IF(H307&gt;=75,"Good",IF(H307&gt;=50,"Satisfactory",IF(H307&gt;=25,"Need Attention","Intervention"))))</f>
        <v>Satisfactory</v>
      </c>
      <c r="J307" s="4" t="str">
        <f>IF(COUNTIF(E307:G307,"#N/A")=3,"Not Attempted",IF(OR(ISNA(E307),ISNA(F307),ISNA(G307)),"NotCompleted","Complete"))</f>
        <v>Complete</v>
      </c>
    </row>
    <row r="308" spans="1:10" ht="15.6" x14ac:dyDescent="0.3">
      <c r="A308" s="17" t="s">
        <v>5487</v>
      </c>
      <c r="B308" s="20" t="s">
        <v>545</v>
      </c>
      <c r="C308" s="20" t="s">
        <v>6692</v>
      </c>
      <c r="D308" s="2" t="s">
        <v>192</v>
      </c>
      <c r="E308" s="6" t="str">
        <f>LOOKUP(2,1/(MCQ!C:C=B308),MCQ!H:H)</f>
        <v>23.00</v>
      </c>
      <c r="F308" s="6" t="str">
        <f>LOOKUP(2,1/(Debugging!C:C=B308),Debugging!H:H)</f>
        <v>40.00</v>
      </c>
      <c r="G308" s="6" t="str">
        <f>LOOKUP(2,1/(Coding!C:C=B308),Coding!H:H)</f>
        <v>10.50</v>
      </c>
      <c r="H308" s="8">
        <f>E308+F308+G308</f>
        <v>73.5</v>
      </c>
      <c r="I308" s="4" t="str">
        <f>IF(J308&lt;&gt;"Complete","Not Active",IF(H308&gt;=75,"Good",IF(H308&gt;=50,"Satisfactory",IF(H308&gt;=25,"Need Attention","Intervention"))))</f>
        <v>Satisfactory</v>
      </c>
      <c r="J308" s="4" t="str">
        <f>IF(COUNTIF(E308:G308,"#N/A")=3,"Not Attempted",IF(OR(ISNA(E308),ISNA(F308),ISNA(G308)),"NotCompleted","Complete"))</f>
        <v>Complete</v>
      </c>
    </row>
    <row r="309" spans="1:10" ht="15.6" x14ac:dyDescent="0.3">
      <c r="A309" s="17" t="s">
        <v>5487</v>
      </c>
      <c r="B309" s="20" t="s">
        <v>5673</v>
      </c>
      <c r="C309" s="20" t="s">
        <v>6693</v>
      </c>
      <c r="D309" s="2" t="s">
        <v>55</v>
      </c>
      <c r="E309" s="6" t="str">
        <f>LOOKUP(2,1/(MCQ!C:C=B309),MCQ!H:H)</f>
        <v>23.00</v>
      </c>
      <c r="F309" s="6" t="str">
        <f>LOOKUP(2,1/(Debugging!C:C=B309),Debugging!H:H)</f>
        <v>44.00</v>
      </c>
      <c r="G309" s="6" t="e">
        <f>LOOKUP(2,1/(Coding!C:C=B309),Coding!H:H)</f>
        <v>#N/A</v>
      </c>
      <c r="H309" s="8" t="e">
        <f>E309+F309+G309</f>
        <v>#N/A</v>
      </c>
      <c r="I309" s="4" t="str">
        <f>IF(J309&lt;&gt;"Complete","Not Active",IF(H309&gt;=75,"Good",IF(H309&gt;=50,"Satisfactory",IF(H309&gt;=25,"Need Attention","Intervention"))))</f>
        <v>Not Active</v>
      </c>
      <c r="J309" s="4" t="str">
        <f>IF(COUNTIF(E309:G309,"#N/A")=3,"Not Attempted",IF(OR(ISNA(E309),ISNA(F309),ISNA(G309)),"NotCompleted","Complete"))</f>
        <v>NotCompleted</v>
      </c>
    </row>
    <row r="310" spans="1:10" ht="15.6" x14ac:dyDescent="0.3">
      <c r="A310" s="17" t="s">
        <v>5487</v>
      </c>
      <c r="B310" s="20" t="s">
        <v>548</v>
      </c>
      <c r="C310" s="20" t="s">
        <v>6694</v>
      </c>
      <c r="D310" s="2" t="s">
        <v>8</v>
      </c>
      <c r="E310" s="6" t="str">
        <f>LOOKUP(2,1/(MCQ!C:C=B310),MCQ!H:H)</f>
        <v>7.00</v>
      </c>
      <c r="F310" s="6" t="e">
        <f>LOOKUP(2,1/(Debugging!C:C=B310),Debugging!H:H)</f>
        <v>#N/A</v>
      </c>
      <c r="G310" s="6" t="e">
        <f>LOOKUP(2,1/(Coding!C:C=B310),Coding!H:H)</f>
        <v>#N/A</v>
      </c>
      <c r="H310" s="8" t="e">
        <f>E310+F310+G310</f>
        <v>#N/A</v>
      </c>
      <c r="I310" s="4" t="str">
        <f>IF(J310&lt;&gt;"Complete","Not Active",IF(H310&gt;=75,"Good",IF(H310&gt;=50,"Satisfactory",IF(H310&gt;=25,"Need Attention","Intervention"))))</f>
        <v>Not Active</v>
      </c>
      <c r="J310" s="4" t="str">
        <f>IF(COUNTIF(E310:G310,"#N/A")=3,"Not Attempted",IF(OR(ISNA(E310),ISNA(F310),ISNA(G310)),"NotCompleted","Complete"))</f>
        <v>NotCompleted</v>
      </c>
    </row>
    <row r="311" spans="1:10" ht="15.6" x14ac:dyDescent="0.3">
      <c r="A311" s="17" t="s">
        <v>5487</v>
      </c>
      <c r="B311" s="20" t="s">
        <v>550</v>
      </c>
      <c r="C311" s="20" t="s">
        <v>6695</v>
      </c>
      <c r="D311" s="2" t="s">
        <v>8</v>
      </c>
      <c r="E311" s="6" t="str">
        <f>LOOKUP(2,1/(MCQ!C:C=B311),MCQ!H:H)</f>
        <v>24.00</v>
      </c>
      <c r="F311" s="6" t="str">
        <f>LOOKUP(2,1/(Debugging!C:C=B311),Debugging!H:H)</f>
        <v>48.00</v>
      </c>
      <c r="G311" s="6" t="e">
        <f>LOOKUP(2,1/(Coding!C:C=B311),Coding!H:H)</f>
        <v>#N/A</v>
      </c>
      <c r="H311" s="8" t="e">
        <f>E311+F311+G311</f>
        <v>#N/A</v>
      </c>
      <c r="I311" s="4" t="str">
        <f>IF(J311&lt;&gt;"Complete","Not Active",IF(H311&gt;=75,"Good",IF(H311&gt;=50,"Satisfactory",IF(H311&gt;=25,"Need Attention","Intervention"))))</f>
        <v>Not Active</v>
      </c>
      <c r="J311" s="4" t="str">
        <f>IF(COUNTIF(E311:G311,"#N/A")=3,"Not Attempted",IF(OR(ISNA(E311),ISNA(F311),ISNA(G311)),"NotCompleted","Complete"))</f>
        <v>NotCompleted</v>
      </c>
    </row>
    <row r="312" spans="1:10" ht="15.6" x14ac:dyDescent="0.3">
      <c r="A312" s="17" t="s">
        <v>5487</v>
      </c>
      <c r="B312" s="20" t="s">
        <v>552</v>
      </c>
      <c r="C312" s="20" t="s">
        <v>6696</v>
      </c>
      <c r="D312" s="2" t="s">
        <v>42</v>
      </c>
      <c r="E312" s="6" t="str">
        <f>LOOKUP(2,1/(MCQ!C:C=B312),MCQ!H:H)</f>
        <v>19.00</v>
      </c>
      <c r="F312" s="6" t="str">
        <f>LOOKUP(2,1/(Debugging!C:C=B312),Debugging!H:H)</f>
        <v>27.00</v>
      </c>
      <c r="G312" s="6" t="e">
        <f>LOOKUP(2,1/(Coding!C:C=B312),Coding!H:H)</f>
        <v>#N/A</v>
      </c>
      <c r="H312" s="8" t="e">
        <f>E312+F312+G312</f>
        <v>#N/A</v>
      </c>
      <c r="I312" s="4" t="str">
        <f>IF(J312&lt;&gt;"Complete","Not Active",IF(H312&gt;=75,"Good",IF(H312&gt;=50,"Satisfactory",IF(H312&gt;=25,"Need Attention","Intervention"))))</f>
        <v>Not Active</v>
      </c>
      <c r="J312" s="4" t="str">
        <f>IF(COUNTIF(E312:G312,"#N/A")=3,"Not Attempted",IF(OR(ISNA(E312),ISNA(F312),ISNA(G312)),"NotCompleted","Complete"))</f>
        <v>NotCompleted</v>
      </c>
    </row>
    <row r="313" spans="1:10" ht="15.6" x14ac:dyDescent="0.3">
      <c r="A313" s="17" t="s">
        <v>5487</v>
      </c>
      <c r="B313" s="20" t="s">
        <v>554</v>
      </c>
      <c r="C313" s="20" t="s">
        <v>6697</v>
      </c>
      <c r="D313" s="2" t="s">
        <v>55</v>
      </c>
      <c r="E313" s="6" t="str">
        <f>LOOKUP(2,1/(MCQ!C:C=B313),MCQ!H:H)</f>
        <v>16.00</v>
      </c>
      <c r="F313" s="6" t="str">
        <f>LOOKUP(2,1/(Debugging!C:C=B313),Debugging!H:H)</f>
        <v>47.00</v>
      </c>
      <c r="G313" s="6" t="e">
        <f>LOOKUP(2,1/(Coding!C:C=B313),Coding!H:H)</f>
        <v>#N/A</v>
      </c>
      <c r="H313" s="8" t="e">
        <f>E313+F313+G313</f>
        <v>#N/A</v>
      </c>
      <c r="I313" s="4" t="str">
        <f>IF(J313&lt;&gt;"Complete","Not Active",IF(H313&gt;=75,"Good",IF(H313&gt;=50,"Satisfactory",IF(H313&gt;=25,"Need Attention","Intervention"))))</f>
        <v>Not Active</v>
      </c>
      <c r="J313" s="4" t="str">
        <f>IF(COUNTIF(E313:G313,"#N/A")=3,"Not Attempted",IF(OR(ISNA(E313),ISNA(F313),ISNA(G313)),"NotCompleted","Complete"))</f>
        <v>NotCompleted</v>
      </c>
    </row>
    <row r="314" spans="1:10" ht="15.6" x14ac:dyDescent="0.3">
      <c r="A314" s="17" t="s">
        <v>5487</v>
      </c>
      <c r="B314" s="20" t="s">
        <v>5691</v>
      </c>
      <c r="C314" s="20" t="s">
        <v>6698</v>
      </c>
      <c r="D314" s="2" t="s">
        <v>55</v>
      </c>
      <c r="E314" s="6" t="str">
        <f>LOOKUP(2,1/(MCQ!C:C=B314),MCQ!H:H)</f>
        <v>22.00</v>
      </c>
      <c r="F314" s="6" t="str">
        <f>LOOKUP(2,1/(Debugging!C:C=B314),Debugging!H:H)</f>
        <v>36.00</v>
      </c>
      <c r="G314" s="6" t="e">
        <f>LOOKUP(2,1/(Coding!C:C=B314),Coding!H:H)</f>
        <v>#N/A</v>
      </c>
      <c r="H314" s="8" t="e">
        <f>E314+F314+G314</f>
        <v>#N/A</v>
      </c>
      <c r="I314" s="4" t="str">
        <f>IF(J314&lt;&gt;"Complete","Not Active",IF(H314&gt;=75,"Good",IF(H314&gt;=50,"Satisfactory",IF(H314&gt;=25,"Need Attention","Intervention"))))</f>
        <v>Not Active</v>
      </c>
      <c r="J314" s="4" t="str">
        <f>IF(COUNTIF(E314:G314,"#N/A")=3,"Not Attempted",IF(OR(ISNA(E314),ISNA(F314),ISNA(G314)),"NotCompleted","Complete"))</f>
        <v>NotCompleted</v>
      </c>
    </row>
    <row r="315" spans="1:10" ht="15.6" x14ac:dyDescent="0.3">
      <c r="A315" s="17" t="s">
        <v>5487</v>
      </c>
      <c r="B315" s="20" t="s">
        <v>556</v>
      </c>
      <c r="C315" s="20" t="s">
        <v>6699</v>
      </c>
      <c r="D315" s="2" t="s">
        <v>11</v>
      </c>
      <c r="E315" s="6" t="str">
        <f>LOOKUP(2,1/(MCQ!C:C=B315),MCQ!H:H)</f>
        <v>24.00</v>
      </c>
      <c r="F315" s="6" t="str">
        <f>LOOKUP(2,1/(Debugging!C:C=B315),Debugging!H:H)</f>
        <v>49.00</v>
      </c>
      <c r="G315" s="6" t="str">
        <f>LOOKUP(2,1/(Coding!C:C=B315),Coding!H:H)</f>
        <v>22.00</v>
      </c>
      <c r="H315" s="8">
        <f>E315+F315+G315</f>
        <v>95</v>
      </c>
      <c r="I315" s="4" t="str">
        <f>IF(J315&lt;&gt;"Complete","Not Active",IF(H315&gt;=75,"Good",IF(H315&gt;=50,"Satisfactory",IF(H315&gt;=25,"Need Attention","Intervention"))))</f>
        <v>Good</v>
      </c>
      <c r="J315" s="4" t="str">
        <f>IF(COUNTIF(E315:G315,"#N/A")=3,"Not Attempted",IF(OR(ISNA(E315),ISNA(F315),ISNA(G315)),"NotCompleted","Complete"))</f>
        <v>Complete</v>
      </c>
    </row>
    <row r="316" spans="1:10" ht="15.6" x14ac:dyDescent="0.3">
      <c r="A316" s="17" t="s">
        <v>5487</v>
      </c>
      <c r="B316" s="20" t="s">
        <v>5703</v>
      </c>
      <c r="C316" s="20" t="s">
        <v>6700</v>
      </c>
      <c r="D316" s="2" t="s">
        <v>42</v>
      </c>
      <c r="E316" s="6" t="str">
        <f>LOOKUP(2,1/(MCQ!C:C=B316),MCQ!H:H)</f>
        <v>22.00</v>
      </c>
      <c r="F316" s="6" t="str">
        <f>LOOKUP(2,1/(Debugging!C:C=B316),Debugging!H:H)</f>
        <v>0.00</v>
      </c>
      <c r="G316" s="6" t="e">
        <f>LOOKUP(2,1/(Coding!C:C=B316),Coding!H:H)</f>
        <v>#N/A</v>
      </c>
      <c r="H316" s="8" t="e">
        <f>E316+F316+G316</f>
        <v>#N/A</v>
      </c>
      <c r="I316" s="4" t="str">
        <f>IF(J316&lt;&gt;"Complete","Not Active",IF(H316&gt;=75,"Good",IF(H316&gt;=50,"Satisfactory",IF(H316&gt;=25,"Need Attention","Intervention"))))</f>
        <v>Not Active</v>
      </c>
      <c r="J316" s="4" t="str">
        <f>IF(COUNTIF(E316:G316,"#N/A")=3,"Not Attempted",IF(OR(ISNA(E316),ISNA(F316),ISNA(G316)),"NotCompleted","Complete"))</f>
        <v>NotCompleted</v>
      </c>
    </row>
    <row r="317" spans="1:10" ht="15.6" x14ac:dyDescent="0.3">
      <c r="A317" s="17" t="s">
        <v>5487</v>
      </c>
      <c r="B317" s="20" t="s">
        <v>6414</v>
      </c>
      <c r="C317" s="20" t="s">
        <v>6701</v>
      </c>
      <c r="D317" s="2" t="s">
        <v>22</v>
      </c>
      <c r="E317" s="6" t="e">
        <f>LOOKUP(2,1/(MCQ!C:C=B317),MCQ!H:H)</f>
        <v>#N/A</v>
      </c>
      <c r="F317" s="6" t="e">
        <f>LOOKUP(2,1/(Debugging!C:C=B317),Debugging!H:H)</f>
        <v>#N/A</v>
      </c>
      <c r="G317" s="6" t="e">
        <f>LOOKUP(2,1/(Coding!C:C=B317),Coding!H:H)</f>
        <v>#N/A</v>
      </c>
      <c r="H317" s="8" t="e">
        <f>E317+F317+G317</f>
        <v>#N/A</v>
      </c>
      <c r="I317" s="4" t="str">
        <f>IF(J317&lt;&gt;"Complete","Not Active",IF(H317&gt;=75,"Good",IF(H317&gt;=50,"Satisfactory",IF(H317&gt;=25,"Need Attention","Intervention"))))</f>
        <v>Not Active</v>
      </c>
      <c r="J317" s="4" t="str">
        <f>IF(COUNTIF(E317:G317,"#N/A")=3,"Not Attempted",IF(OR(ISNA(E317),ISNA(F317),ISNA(G317)),"NotCompleted","Complete"))</f>
        <v>Not Attempted</v>
      </c>
    </row>
    <row r="318" spans="1:10" ht="15.6" x14ac:dyDescent="0.3">
      <c r="A318" s="17" t="s">
        <v>5487</v>
      </c>
      <c r="B318" s="20" t="s">
        <v>5708</v>
      </c>
      <c r="C318" s="20" t="s">
        <v>6702</v>
      </c>
      <c r="D318" s="2" t="s">
        <v>28</v>
      </c>
      <c r="E318" s="6" t="str">
        <f>LOOKUP(2,1/(MCQ!C:C=B318),MCQ!H:H)</f>
        <v>23.00</v>
      </c>
      <c r="F318" s="6" t="str">
        <f>LOOKUP(2,1/(Debugging!C:C=B318),Debugging!H:H)</f>
        <v>40.00</v>
      </c>
      <c r="G318" s="6" t="e">
        <f>LOOKUP(2,1/(Coding!C:C=B318),Coding!H:H)</f>
        <v>#N/A</v>
      </c>
      <c r="H318" s="8" t="e">
        <f>E318+F318+G318</f>
        <v>#N/A</v>
      </c>
      <c r="I318" s="4" t="str">
        <f>IF(J318&lt;&gt;"Complete","Not Active",IF(H318&gt;=75,"Good",IF(H318&gt;=50,"Satisfactory",IF(H318&gt;=25,"Need Attention","Intervention"))))</f>
        <v>Not Active</v>
      </c>
      <c r="J318" s="4" t="str">
        <f>IF(COUNTIF(E318:G318,"#N/A")=3,"Not Attempted",IF(OR(ISNA(E318),ISNA(F318),ISNA(G318)),"NotCompleted","Complete"))</f>
        <v>NotCompleted</v>
      </c>
    </row>
    <row r="319" spans="1:10" ht="15.6" x14ac:dyDescent="0.3">
      <c r="A319" s="17" t="s">
        <v>5487</v>
      </c>
      <c r="B319" s="20" t="s">
        <v>6415</v>
      </c>
      <c r="C319" s="20" t="s">
        <v>6703</v>
      </c>
      <c r="D319" s="2" t="s">
        <v>42</v>
      </c>
      <c r="E319" s="6" t="e">
        <f>LOOKUP(2,1/(MCQ!C:C=B319),MCQ!H:H)</f>
        <v>#N/A</v>
      </c>
      <c r="F319" s="6" t="e">
        <f>LOOKUP(2,1/(Debugging!C:C=B319),Debugging!H:H)</f>
        <v>#N/A</v>
      </c>
      <c r="G319" s="6" t="e">
        <f>LOOKUP(2,1/(Coding!C:C=B319),Coding!H:H)</f>
        <v>#N/A</v>
      </c>
      <c r="H319" s="8" t="e">
        <f>E319+F319+G319</f>
        <v>#N/A</v>
      </c>
      <c r="I319" s="4" t="str">
        <f>IF(J319&lt;&gt;"Complete","Not Active",IF(H319&gt;=75,"Good",IF(H319&gt;=50,"Satisfactory",IF(H319&gt;=25,"Need Attention","Intervention"))))</f>
        <v>Not Active</v>
      </c>
      <c r="J319" s="4" t="str">
        <f>IF(COUNTIF(E319:G319,"#N/A")=3,"Not Attempted",IF(OR(ISNA(E319),ISNA(F319),ISNA(G319)),"NotCompleted","Complete"))</f>
        <v>Not Attempted</v>
      </c>
    </row>
    <row r="320" spans="1:10" ht="15.6" x14ac:dyDescent="0.3">
      <c r="A320" s="17" t="s">
        <v>5487</v>
      </c>
      <c r="B320" s="20" t="s">
        <v>557</v>
      </c>
      <c r="C320" s="20" t="s">
        <v>6704</v>
      </c>
      <c r="D320" s="2" t="s">
        <v>123</v>
      </c>
      <c r="E320" s="6" t="str">
        <f>LOOKUP(2,1/(MCQ!C:C=B320),MCQ!H:H)</f>
        <v>25.00</v>
      </c>
      <c r="F320" s="6" t="str">
        <f>LOOKUP(2,1/(Debugging!C:C=B320),Debugging!H:H)</f>
        <v>50.00</v>
      </c>
      <c r="G320" s="6" t="str">
        <f>LOOKUP(2,1/(Coding!C:C=B320),Coding!H:H)</f>
        <v>25.00</v>
      </c>
      <c r="H320" s="8">
        <f>E320+F320+G320</f>
        <v>100</v>
      </c>
      <c r="I320" s="4" t="str">
        <f>IF(J320&lt;&gt;"Complete","Not Active",IF(H320&gt;=75,"Good",IF(H320&gt;=50,"Satisfactory",IF(H320&gt;=25,"Need Attention","Intervention"))))</f>
        <v>Good</v>
      </c>
      <c r="J320" s="4" t="str">
        <f>IF(COUNTIF(E320:G320,"#N/A")=3,"Not Attempted",IF(OR(ISNA(E320),ISNA(F320),ISNA(G320)),"NotCompleted","Complete"))</f>
        <v>Complete</v>
      </c>
    </row>
    <row r="321" spans="1:10" ht="15.6" x14ac:dyDescent="0.3">
      <c r="A321" s="17" t="s">
        <v>5487</v>
      </c>
      <c r="B321" s="20" t="s">
        <v>559</v>
      </c>
      <c r="C321" s="20" t="s">
        <v>6705</v>
      </c>
      <c r="D321" s="2" t="s">
        <v>31</v>
      </c>
      <c r="E321" s="6" t="str">
        <f>LOOKUP(2,1/(MCQ!C:C=B321),MCQ!H:H)</f>
        <v>24.00</v>
      </c>
      <c r="F321" s="6" t="str">
        <f>LOOKUP(2,1/(Debugging!C:C=B321),Debugging!H:H)</f>
        <v>46.00</v>
      </c>
      <c r="G321" s="6" t="str">
        <f>LOOKUP(2,1/(Coding!C:C=B321),Coding!H:H)</f>
        <v>24.00</v>
      </c>
      <c r="H321" s="8">
        <f>E321+F321+G321</f>
        <v>94</v>
      </c>
      <c r="I321" s="4" t="str">
        <f>IF(J321&lt;&gt;"Complete","Not Active",IF(H321&gt;=75,"Good",IF(H321&gt;=50,"Satisfactory",IF(H321&gt;=25,"Need Attention","Intervention"))))</f>
        <v>Good</v>
      </c>
      <c r="J321" s="4" t="str">
        <f>IF(COUNTIF(E321:G321,"#N/A")=3,"Not Attempted",IF(OR(ISNA(E321),ISNA(F321),ISNA(G321)),"NotCompleted","Complete"))</f>
        <v>Complete</v>
      </c>
    </row>
    <row r="322" spans="1:10" ht="15.6" x14ac:dyDescent="0.3">
      <c r="A322" s="17" t="s">
        <v>5487</v>
      </c>
      <c r="B322" s="20" t="s">
        <v>5716</v>
      </c>
      <c r="C322" s="20" t="s">
        <v>6706</v>
      </c>
      <c r="D322" s="2" t="s">
        <v>221</v>
      </c>
      <c r="E322" s="6" t="str">
        <f>LOOKUP(2,1/(MCQ!C:C=B322),MCQ!H:H)</f>
        <v>22.00</v>
      </c>
      <c r="F322" s="6" t="e">
        <f>LOOKUP(2,1/(Debugging!C:C=B322),Debugging!H:H)</f>
        <v>#N/A</v>
      </c>
      <c r="G322" s="6" t="e">
        <f>LOOKUP(2,1/(Coding!C:C=B322),Coding!H:H)</f>
        <v>#N/A</v>
      </c>
      <c r="H322" s="8" t="e">
        <f>E322+F322+G322</f>
        <v>#N/A</v>
      </c>
      <c r="I322" s="4" t="str">
        <f>IF(J322&lt;&gt;"Complete","Not Active",IF(H322&gt;=75,"Good",IF(H322&gt;=50,"Satisfactory",IF(H322&gt;=25,"Need Attention","Intervention"))))</f>
        <v>Not Active</v>
      </c>
      <c r="J322" s="4" t="str">
        <f>IF(COUNTIF(E322:G322,"#N/A")=3,"Not Attempted",IF(OR(ISNA(E322),ISNA(F322),ISNA(G322)),"NotCompleted","Complete"))</f>
        <v>NotCompleted</v>
      </c>
    </row>
    <row r="323" spans="1:10" ht="15.6" x14ac:dyDescent="0.3">
      <c r="A323" s="17" t="s">
        <v>5487</v>
      </c>
      <c r="B323" s="20" t="s">
        <v>6416</v>
      </c>
      <c r="C323" s="20" t="s">
        <v>6707</v>
      </c>
      <c r="D323" s="2" t="s">
        <v>19</v>
      </c>
      <c r="E323" s="6" t="e">
        <f>LOOKUP(2,1/(MCQ!C:C=B323),MCQ!H:H)</f>
        <v>#N/A</v>
      </c>
      <c r="F323" s="6" t="e">
        <f>LOOKUP(2,1/(Debugging!C:C=B323),Debugging!H:H)</f>
        <v>#N/A</v>
      </c>
      <c r="G323" s="6" t="e">
        <f>LOOKUP(2,1/(Coding!C:C=B323),Coding!H:H)</f>
        <v>#N/A</v>
      </c>
      <c r="H323" s="8" t="e">
        <f>E323+F323+G323</f>
        <v>#N/A</v>
      </c>
      <c r="I323" s="4" t="str">
        <f>IF(J323&lt;&gt;"Complete","Not Active",IF(H323&gt;=75,"Good",IF(H323&gt;=50,"Satisfactory",IF(H323&gt;=25,"Need Attention","Intervention"))))</f>
        <v>Not Active</v>
      </c>
      <c r="J323" s="4" t="str">
        <f>IF(COUNTIF(E323:G323,"#N/A")=3,"Not Attempted",IF(OR(ISNA(E323),ISNA(F323),ISNA(G323)),"NotCompleted","Complete"))</f>
        <v>Not Attempted</v>
      </c>
    </row>
    <row r="324" spans="1:10" ht="15.6" x14ac:dyDescent="0.3">
      <c r="A324" s="17" t="s">
        <v>5487</v>
      </c>
      <c r="B324" s="20" t="s">
        <v>561</v>
      </c>
      <c r="C324" s="20" t="s">
        <v>6708</v>
      </c>
      <c r="D324" s="2" t="s">
        <v>8</v>
      </c>
      <c r="E324" s="6" t="str">
        <f>LOOKUP(2,1/(MCQ!C:C=B324),MCQ!H:H)</f>
        <v>19.00</v>
      </c>
      <c r="F324" s="6" t="str">
        <f>LOOKUP(2,1/(Debugging!C:C=B324),Debugging!H:H)</f>
        <v>37.00</v>
      </c>
      <c r="G324" s="6" t="str">
        <f>LOOKUP(2,1/(Coding!C:C=B324),Coding!H:H)</f>
        <v>25.00</v>
      </c>
      <c r="H324" s="8">
        <f>E324+F324+G324</f>
        <v>81</v>
      </c>
      <c r="I324" s="4" t="str">
        <f>IF(J324&lt;&gt;"Complete","Not Active",IF(H324&gt;=75,"Good",IF(H324&gt;=50,"Satisfactory",IF(H324&gt;=25,"Need Attention","Intervention"))))</f>
        <v>Good</v>
      </c>
      <c r="J324" s="4" t="str">
        <f>IF(COUNTIF(E324:G324,"#N/A")=3,"Not Attempted",IF(OR(ISNA(E324),ISNA(F324),ISNA(G324)),"NotCompleted","Complete"))</f>
        <v>Complete</v>
      </c>
    </row>
    <row r="325" spans="1:10" ht="15.6" x14ac:dyDescent="0.3">
      <c r="A325" s="17" t="s">
        <v>5487</v>
      </c>
      <c r="B325" s="20" t="s">
        <v>5726</v>
      </c>
      <c r="C325" s="20" t="s">
        <v>6709</v>
      </c>
      <c r="D325" s="2" t="s">
        <v>228</v>
      </c>
      <c r="E325" s="6" t="str">
        <f>LOOKUP(2,1/(MCQ!C:C=B325),MCQ!H:H)</f>
        <v>23.00</v>
      </c>
      <c r="F325" s="6" t="str">
        <f>LOOKUP(2,1/(Debugging!C:C=B325),Debugging!H:H)</f>
        <v>35.00</v>
      </c>
      <c r="G325" s="6" t="e">
        <f>LOOKUP(2,1/(Coding!C:C=B325),Coding!H:H)</f>
        <v>#N/A</v>
      </c>
      <c r="H325" s="8" t="e">
        <f>E325+F325+G325</f>
        <v>#N/A</v>
      </c>
      <c r="I325" s="4" t="str">
        <f>IF(J325&lt;&gt;"Complete","Not Active",IF(H325&gt;=75,"Good",IF(H325&gt;=50,"Satisfactory",IF(H325&gt;=25,"Need Attention","Intervention"))))</f>
        <v>Not Active</v>
      </c>
      <c r="J325" s="4" t="str">
        <f>IF(COUNTIF(E325:G325,"#N/A")=3,"Not Attempted",IF(OR(ISNA(E325),ISNA(F325),ISNA(G325)),"NotCompleted","Complete"))</f>
        <v>NotCompleted</v>
      </c>
    </row>
    <row r="326" spans="1:10" ht="15.6" x14ac:dyDescent="0.3">
      <c r="A326" s="17" t="s">
        <v>5487</v>
      </c>
      <c r="B326" s="20" t="s">
        <v>6417</v>
      </c>
      <c r="C326" s="20" t="s">
        <v>6710</v>
      </c>
      <c r="D326" s="2" t="s">
        <v>28</v>
      </c>
      <c r="E326" s="6" t="e">
        <f>LOOKUP(2,1/(MCQ!C:C=B326),MCQ!H:H)</f>
        <v>#N/A</v>
      </c>
      <c r="F326" s="6" t="e">
        <f>LOOKUP(2,1/(Debugging!C:C=B326),Debugging!H:H)</f>
        <v>#N/A</v>
      </c>
      <c r="G326" s="6" t="e">
        <f>LOOKUP(2,1/(Coding!C:C=B326),Coding!H:H)</f>
        <v>#N/A</v>
      </c>
      <c r="H326" s="8" t="e">
        <f>E326+F326+G326</f>
        <v>#N/A</v>
      </c>
      <c r="I326" s="4" t="str">
        <f>IF(J326&lt;&gt;"Complete","Not Active",IF(H326&gt;=75,"Good",IF(H326&gt;=50,"Satisfactory",IF(H326&gt;=25,"Need Attention","Intervention"))))</f>
        <v>Not Active</v>
      </c>
      <c r="J326" s="4" t="str">
        <f>IF(COUNTIF(E326:G326,"#N/A")=3,"Not Attempted",IF(OR(ISNA(E326),ISNA(F326),ISNA(G326)),"NotCompleted","Complete"))</f>
        <v>Not Attempted</v>
      </c>
    </row>
    <row r="327" spans="1:10" ht="15.6" x14ac:dyDescent="0.3">
      <c r="A327" s="17" t="s">
        <v>5487</v>
      </c>
      <c r="B327" s="20" t="s">
        <v>564</v>
      </c>
      <c r="C327" s="20" t="s">
        <v>6711</v>
      </c>
      <c r="D327" s="2" t="s">
        <v>8</v>
      </c>
      <c r="E327" s="6" t="str">
        <f>LOOKUP(2,1/(MCQ!C:C=B327),MCQ!H:H)</f>
        <v>24.00</v>
      </c>
      <c r="F327" s="6" t="str">
        <f>LOOKUP(2,1/(Debugging!C:C=B327),Debugging!H:H)</f>
        <v>46.00</v>
      </c>
      <c r="G327" s="6" t="str">
        <f>LOOKUP(2,1/(Coding!C:C=B327),Coding!H:H)</f>
        <v>17.00</v>
      </c>
      <c r="H327" s="8">
        <f>E327+F327+G327</f>
        <v>87</v>
      </c>
      <c r="I327" s="4" t="str">
        <f>IF(J327&lt;&gt;"Complete","Not Active",IF(H327&gt;=75,"Good",IF(H327&gt;=50,"Satisfactory",IF(H327&gt;=25,"Need Attention","Intervention"))))</f>
        <v>Good</v>
      </c>
      <c r="J327" s="4" t="str">
        <f>IF(COUNTIF(E327:G327,"#N/A")=3,"Not Attempted",IF(OR(ISNA(E327),ISNA(F327),ISNA(G327)),"NotCompleted","Complete"))</f>
        <v>Complete</v>
      </c>
    </row>
    <row r="328" spans="1:10" ht="15.6" x14ac:dyDescent="0.3">
      <c r="A328" s="17" t="s">
        <v>5487</v>
      </c>
      <c r="B328" s="20" t="s">
        <v>566</v>
      </c>
      <c r="C328" s="20" t="s">
        <v>6712</v>
      </c>
      <c r="D328" s="2" t="s">
        <v>55</v>
      </c>
      <c r="E328" s="6" t="str">
        <f>LOOKUP(2,1/(MCQ!C:C=B328),MCQ!H:H)</f>
        <v>25.00</v>
      </c>
      <c r="F328" s="6" t="str">
        <f>LOOKUP(2,1/(Debugging!C:C=B328),Debugging!H:H)</f>
        <v>45.00</v>
      </c>
      <c r="G328" s="6" t="str">
        <f>LOOKUP(2,1/(Coding!C:C=B328),Coding!H:H)</f>
        <v>25.00</v>
      </c>
      <c r="H328" s="8">
        <f>E328+F328+G328</f>
        <v>95</v>
      </c>
      <c r="I328" s="4" t="str">
        <f>IF(J328&lt;&gt;"Complete","Not Active",IF(H328&gt;=75,"Good",IF(H328&gt;=50,"Satisfactory",IF(H328&gt;=25,"Need Attention","Intervention"))))</f>
        <v>Good</v>
      </c>
      <c r="J328" s="4" t="str">
        <f>IF(COUNTIF(E328:G328,"#N/A")=3,"Not Attempted",IF(OR(ISNA(E328),ISNA(F328),ISNA(G328)),"NotCompleted","Complete"))</f>
        <v>Complete</v>
      </c>
    </row>
    <row r="329" spans="1:10" ht="15.6" x14ac:dyDescent="0.3">
      <c r="A329" s="17" t="s">
        <v>5487</v>
      </c>
      <c r="B329" s="20" t="s">
        <v>568</v>
      </c>
      <c r="C329" s="20" t="s">
        <v>6713</v>
      </c>
      <c r="D329" s="2" t="s">
        <v>49</v>
      </c>
      <c r="E329" s="6" t="str">
        <f>LOOKUP(2,1/(MCQ!C:C=B329),MCQ!H:H)</f>
        <v>25.00</v>
      </c>
      <c r="F329" s="6" t="str">
        <f>LOOKUP(2,1/(Debugging!C:C=B329),Debugging!H:H)</f>
        <v>43.00</v>
      </c>
      <c r="G329" s="6" t="str">
        <f>LOOKUP(2,1/(Coding!C:C=B329),Coding!H:H)</f>
        <v>23.50</v>
      </c>
      <c r="H329" s="8">
        <f>E329+F329+G329</f>
        <v>91.5</v>
      </c>
      <c r="I329" s="4" t="str">
        <f>IF(J329&lt;&gt;"Complete","Not Active",IF(H329&gt;=75,"Good",IF(H329&gt;=50,"Satisfactory",IF(H329&gt;=25,"Need Attention","Intervention"))))</f>
        <v>Good</v>
      </c>
      <c r="J329" s="4" t="str">
        <f>IF(COUNTIF(E329:G329,"#N/A")=3,"Not Attempted",IF(OR(ISNA(E329),ISNA(F329),ISNA(G329)),"NotCompleted","Complete"))</f>
        <v>Complete</v>
      </c>
    </row>
    <row r="330" spans="1:10" ht="15.6" x14ac:dyDescent="0.3">
      <c r="A330" s="17" t="s">
        <v>5487</v>
      </c>
      <c r="B330" s="20" t="s">
        <v>570</v>
      </c>
      <c r="C330" s="20" t="s">
        <v>6714</v>
      </c>
      <c r="D330" s="2" t="s">
        <v>31</v>
      </c>
      <c r="E330" s="6" t="str">
        <f>LOOKUP(2,1/(MCQ!C:C=B330),MCQ!H:H)</f>
        <v>25.00</v>
      </c>
      <c r="F330" s="6" t="str">
        <f>LOOKUP(2,1/(Debugging!C:C=B330),Debugging!H:H)</f>
        <v>42.00</v>
      </c>
      <c r="G330" s="6" t="str">
        <f>LOOKUP(2,1/(Coding!C:C=B330),Coding!H:H)</f>
        <v>25.00</v>
      </c>
      <c r="H330" s="8">
        <f>E330+F330+G330</f>
        <v>92</v>
      </c>
      <c r="I330" s="4" t="str">
        <f>IF(J330&lt;&gt;"Complete","Not Active",IF(H330&gt;=75,"Good",IF(H330&gt;=50,"Satisfactory",IF(H330&gt;=25,"Need Attention","Intervention"))))</f>
        <v>Good</v>
      </c>
      <c r="J330" s="4" t="str">
        <f>IF(COUNTIF(E330:G330,"#N/A")=3,"Not Attempted",IF(OR(ISNA(E330),ISNA(F330),ISNA(G330)),"NotCompleted","Complete"))</f>
        <v>Complete</v>
      </c>
    </row>
    <row r="331" spans="1:10" ht="15.6" x14ac:dyDescent="0.3">
      <c r="A331" s="17" t="s">
        <v>5487</v>
      </c>
      <c r="B331" s="20" t="s">
        <v>5744</v>
      </c>
      <c r="C331" s="20" t="s">
        <v>6715</v>
      </c>
      <c r="D331" s="2" t="s">
        <v>31</v>
      </c>
      <c r="E331" s="6" t="str">
        <f>LOOKUP(2,1/(MCQ!C:C=B331),MCQ!H:H)</f>
        <v>25.00</v>
      </c>
      <c r="F331" s="6" t="str">
        <f>LOOKUP(2,1/(Debugging!C:C=B331),Debugging!H:H)</f>
        <v>45.00</v>
      </c>
      <c r="G331" s="6" t="e">
        <f>LOOKUP(2,1/(Coding!C:C=B331),Coding!H:H)</f>
        <v>#N/A</v>
      </c>
      <c r="H331" s="8" t="e">
        <f>E331+F331+G331</f>
        <v>#N/A</v>
      </c>
      <c r="I331" s="4" t="str">
        <f>IF(J331&lt;&gt;"Complete","Not Active",IF(H331&gt;=75,"Good",IF(H331&gt;=50,"Satisfactory",IF(H331&gt;=25,"Need Attention","Intervention"))))</f>
        <v>Not Active</v>
      </c>
      <c r="J331" s="4" t="str">
        <f>IF(COUNTIF(E331:G331,"#N/A")=3,"Not Attempted",IF(OR(ISNA(E331),ISNA(F331),ISNA(G331)),"NotCompleted","Complete"))</f>
        <v>NotCompleted</v>
      </c>
    </row>
    <row r="332" spans="1:10" ht="15.6" x14ac:dyDescent="0.3">
      <c r="A332" s="17" t="s">
        <v>5487</v>
      </c>
      <c r="B332" s="20" t="s">
        <v>5755</v>
      </c>
      <c r="C332" s="20" t="s">
        <v>6716</v>
      </c>
      <c r="D332" s="2" t="s">
        <v>19</v>
      </c>
      <c r="E332" s="6" t="str">
        <f>LOOKUP(2,1/(MCQ!C:C=B332),MCQ!H:H)</f>
        <v>23.00</v>
      </c>
      <c r="F332" s="6" t="str">
        <f>LOOKUP(2,1/(Debugging!C:C=B332),Debugging!H:H)</f>
        <v>27.00</v>
      </c>
      <c r="G332" s="6" t="e">
        <f>LOOKUP(2,1/(Coding!C:C=B332),Coding!H:H)</f>
        <v>#N/A</v>
      </c>
      <c r="H332" s="8" t="e">
        <f>E332+F332+G332</f>
        <v>#N/A</v>
      </c>
      <c r="I332" s="4" t="str">
        <f>IF(J332&lt;&gt;"Complete","Not Active",IF(H332&gt;=75,"Good",IF(H332&gt;=50,"Satisfactory",IF(H332&gt;=25,"Need Attention","Intervention"))))</f>
        <v>Not Active</v>
      </c>
      <c r="J332" s="4" t="str">
        <f>IF(COUNTIF(E332:G332,"#N/A")=3,"Not Attempted",IF(OR(ISNA(E332),ISNA(F332),ISNA(G332)),"NotCompleted","Complete"))</f>
        <v>NotCompleted</v>
      </c>
    </row>
    <row r="333" spans="1:10" ht="15.6" x14ac:dyDescent="0.3">
      <c r="A333" s="17" t="s">
        <v>5487</v>
      </c>
      <c r="B333" s="20" t="s">
        <v>5759</v>
      </c>
      <c r="C333" s="20" t="s">
        <v>6717</v>
      </c>
      <c r="D333" s="2" t="s">
        <v>8</v>
      </c>
      <c r="E333" s="6" t="str">
        <f>LOOKUP(2,1/(MCQ!C:C=B333),MCQ!H:H)</f>
        <v>25.00</v>
      </c>
      <c r="F333" s="6" t="str">
        <f>LOOKUP(2,1/(Debugging!C:C=B333),Debugging!H:H)</f>
        <v>47.00</v>
      </c>
      <c r="G333" s="6" t="e">
        <f>LOOKUP(2,1/(Coding!C:C=B333),Coding!H:H)</f>
        <v>#N/A</v>
      </c>
      <c r="H333" s="8" t="e">
        <f>E333+F333+G333</f>
        <v>#N/A</v>
      </c>
      <c r="I333" s="4" t="str">
        <f>IF(J333&lt;&gt;"Complete","Not Active",IF(H333&gt;=75,"Good",IF(H333&gt;=50,"Satisfactory",IF(H333&gt;=25,"Need Attention","Intervention"))))</f>
        <v>Not Active</v>
      </c>
      <c r="J333" s="4" t="str">
        <f>IF(COUNTIF(E333:G333,"#N/A")=3,"Not Attempted",IF(OR(ISNA(E333),ISNA(F333),ISNA(G333)),"NotCompleted","Complete"))</f>
        <v>NotCompleted</v>
      </c>
    </row>
    <row r="334" spans="1:10" ht="15.6" x14ac:dyDescent="0.3">
      <c r="A334" s="17" t="s">
        <v>5487</v>
      </c>
      <c r="B334" s="20" t="s">
        <v>5763</v>
      </c>
      <c r="C334" s="20" t="s">
        <v>6718</v>
      </c>
      <c r="D334" s="2" t="s">
        <v>22</v>
      </c>
      <c r="E334" s="6" t="str">
        <f>LOOKUP(2,1/(MCQ!C:C=B334),MCQ!H:H)</f>
        <v>21.00</v>
      </c>
      <c r="F334" s="6" t="str">
        <f>LOOKUP(2,1/(Debugging!C:C=B334),Debugging!H:H)</f>
        <v>31.00</v>
      </c>
      <c r="G334" s="6" t="e">
        <f>LOOKUP(2,1/(Coding!C:C=B334),Coding!H:H)</f>
        <v>#N/A</v>
      </c>
      <c r="H334" s="8" t="e">
        <f>E334+F334+G334</f>
        <v>#N/A</v>
      </c>
      <c r="I334" s="4" t="str">
        <f>IF(J334&lt;&gt;"Complete","Not Active",IF(H334&gt;=75,"Good",IF(H334&gt;=50,"Satisfactory",IF(H334&gt;=25,"Need Attention","Intervention"))))</f>
        <v>Not Active</v>
      </c>
      <c r="J334" s="4" t="str">
        <f>IF(COUNTIF(E334:G334,"#N/A")=3,"Not Attempted",IF(OR(ISNA(E334),ISNA(F334),ISNA(G334)),"NotCompleted","Complete"))</f>
        <v>NotCompleted</v>
      </c>
    </row>
    <row r="335" spans="1:10" ht="15.6" x14ac:dyDescent="0.3">
      <c r="A335" s="17" t="s">
        <v>5487</v>
      </c>
      <c r="B335" s="20" t="s">
        <v>6418</v>
      </c>
      <c r="C335" s="20" t="s">
        <v>6719</v>
      </c>
      <c r="D335" s="2" t="s">
        <v>8</v>
      </c>
      <c r="E335" s="6" t="e">
        <f>LOOKUP(2,1/(MCQ!C:C=B335),MCQ!H:H)</f>
        <v>#N/A</v>
      </c>
      <c r="F335" s="6" t="e">
        <f>LOOKUP(2,1/(Debugging!C:C=B335),Debugging!H:H)</f>
        <v>#N/A</v>
      </c>
      <c r="G335" s="6" t="e">
        <f>LOOKUP(2,1/(Coding!C:C=B335),Coding!H:H)</f>
        <v>#N/A</v>
      </c>
      <c r="H335" s="8" t="e">
        <f>E335+F335+G335</f>
        <v>#N/A</v>
      </c>
      <c r="I335" s="4" t="str">
        <f>IF(J335&lt;&gt;"Complete","Not Active",IF(H335&gt;=75,"Good",IF(H335&gt;=50,"Satisfactory",IF(H335&gt;=25,"Need Attention","Intervention"))))</f>
        <v>Not Active</v>
      </c>
      <c r="J335" s="4" t="str">
        <f>IF(COUNTIF(E335:G335,"#N/A")=3,"Not Attempted",IF(OR(ISNA(E335),ISNA(F335),ISNA(G335)),"NotCompleted","Complete"))</f>
        <v>Not Attempted</v>
      </c>
    </row>
    <row r="336" spans="1:10" ht="15.6" x14ac:dyDescent="0.3">
      <c r="A336" s="17" t="s">
        <v>5487</v>
      </c>
      <c r="B336" s="20" t="s">
        <v>5770</v>
      </c>
      <c r="C336" s="20" t="s">
        <v>6720</v>
      </c>
      <c r="D336" s="2" t="s">
        <v>31</v>
      </c>
      <c r="E336" s="6" t="str">
        <f>LOOKUP(2,1/(MCQ!C:C=B336),MCQ!H:H)</f>
        <v>23.00</v>
      </c>
      <c r="F336" s="6" t="str">
        <f>LOOKUP(2,1/(Debugging!C:C=B336),Debugging!H:H)</f>
        <v>44.00</v>
      </c>
      <c r="G336" s="6" t="e">
        <f>LOOKUP(2,1/(Coding!C:C=B336),Coding!H:H)</f>
        <v>#N/A</v>
      </c>
      <c r="H336" s="8" t="e">
        <f>E336+F336+G336</f>
        <v>#N/A</v>
      </c>
      <c r="I336" s="4" t="str">
        <f>IF(J336&lt;&gt;"Complete","Not Active",IF(H336&gt;=75,"Good",IF(H336&gt;=50,"Satisfactory",IF(H336&gt;=25,"Need Attention","Intervention"))))</f>
        <v>Not Active</v>
      </c>
      <c r="J336" s="4" t="str">
        <f>IF(COUNTIF(E336:G336,"#N/A")=3,"Not Attempted",IF(OR(ISNA(E336),ISNA(F336),ISNA(G336)),"NotCompleted","Complete"))</f>
        <v>NotCompleted</v>
      </c>
    </row>
    <row r="337" spans="1:10" ht="15.6" x14ac:dyDescent="0.3">
      <c r="A337" s="17" t="s">
        <v>5487</v>
      </c>
      <c r="B337" s="20" t="s">
        <v>5775</v>
      </c>
      <c r="C337" s="20" t="s">
        <v>6721</v>
      </c>
      <c r="D337" s="2" t="s">
        <v>42</v>
      </c>
      <c r="E337" s="6" t="str">
        <f>LOOKUP(2,1/(MCQ!C:C=B337),MCQ!H:H)</f>
        <v>25.00</v>
      </c>
      <c r="F337" s="6" t="str">
        <f>LOOKUP(2,1/(Debugging!C:C=B337),Debugging!H:H)</f>
        <v>35.00</v>
      </c>
      <c r="G337" s="6" t="e">
        <f>LOOKUP(2,1/(Coding!C:C=B337),Coding!H:H)</f>
        <v>#N/A</v>
      </c>
      <c r="H337" s="8" t="e">
        <f>E337+F337+G337</f>
        <v>#N/A</v>
      </c>
      <c r="I337" s="4" t="str">
        <f>IF(J337&lt;&gt;"Complete","Not Active",IF(H337&gt;=75,"Good",IF(H337&gt;=50,"Satisfactory",IF(H337&gt;=25,"Need Attention","Intervention"))))</f>
        <v>Not Active</v>
      </c>
      <c r="J337" s="4" t="str">
        <f>IF(COUNTIF(E337:G337,"#N/A")=3,"Not Attempted",IF(OR(ISNA(E337),ISNA(F337),ISNA(G337)),"NotCompleted","Complete"))</f>
        <v>NotCompleted</v>
      </c>
    </row>
    <row r="338" spans="1:10" ht="15.6" x14ac:dyDescent="0.3">
      <c r="A338" s="17" t="s">
        <v>5487</v>
      </c>
      <c r="B338" s="20" t="s">
        <v>5780</v>
      </c>
      <c r="C338" s="20" t="s">
        <v>6722</v>
      </c>
      <c r="D338" s="2" t="s">
        <v>31</v>
      </c>
      <c r="E338" s="6" t="str">
        <f>LOOKUP(2,1/(MCQ!C:C=B338),MCQ!H:H)</f>
        <v>23.00</v>
      </c>
      <c r="F338" s="6" t="str">
        <f>LOOKUP(2,1/(Debugging!C:C=B338),Debugging!H:H)</f>
        <v>26.00</v>
      </c>
      <c r="G338" s="6" t="e">
        <f>LOOKUP(2,1/(Coding!C:C=B338),Coding!H:H)</f>
        <v>#N/A</v>
      </c>
      <c r="H338" s="8" t="e">
        <f>E338+F338+G338</f>
        <v>#N/A</v>
      </c>
      <c r="I338" s="4" t="str">
        <f>IF(J338&lt;&gt;"Complete","Not Active",IF(H338&gt;=75,"Good",IF(H338&gt;=50,"Satisfactory",IF(H338&gt;=25,"Need Attention","Intervention"))))</f>
        <v>Not Active</v>
      </c>
      <c r="J338" s="4" t="str">
        <f>IF(COUNTIF(E338:G338,"#N/A")=3,"Not Attempted",IF(OR(ISNA(E338),ISNA(F338),ISNA(G338)),"NotCompleted","Complete"))</f>
        <v>NotCompleted</v>
      </c>
    </row>
    <row r="339" spans="1:10" ht="15.6" x14ac:dyDescent="0.3">
      <c r="A339" s="17" t="s">
        <v>5487</v>
      </c>
      <c r="B339" s="20" t="s">
        <v>5787</v>
      </c>
      <c r="C339" s="20" t="s">
        <v>6723</v>
      </c>
      <c r="D339" s="2" t="s">
        <v>25</v>
      </c>
      <c r="E339" s="6" t="str">
        <f>LOOKUP(2,1/(MCQ!C:C=B339),MCQ!H:H)</f>
        <v>25.00</v>
      </c>
      <c r="F339" s="6" t="str">
        <f>LOOKUP(2,1/(Debugging!C:C=B339),Debugging!H:H)</f>
        <v>49.00</v>
      </c>
      <c r="G339" s="6" t="e">
        <f>LOOKUP(2,1/(Coding!C:C=B339),Coding!H:H)</f>
        <v>#N/A</v>
      </c>
      <c r="H339" s="8" t="e">
        <f>E339+F339+G339</f>
        <v>#N/A</v>
      </c>
      <c r="I339" s="4" t="str">
        <f>IF(J339&lt;&gt;"Complete","Not Active",IF(H339&gt;=75,"Good",IF(H339&gt;=50,"Satisfactory",IF(H339&gt;=25,"Need Attention","Intervention"))))</f>
        <v>Not Active</v>
      </c>
      <c r="J339" s="4" t="str">
        <f>IF(COUNTIF(E339:G339,"#N/A")=3,"Not Attempted",IF(OR(ISNA(E339),ISNA(F339),ISNA(G339)),"NotCompleted","Complete"))</f>
        <v>NotCompleted</v>
      </c>
    </row>
    <row r="340" spans="1:10" ht="15.6" x14ac:dyDescent="0.3">
      <c r="A340" s="17" t="s">
        <v>5487</v>
      </c>
      <c r="B340" s="20" t="s">
        <v>5796</v>
      </c>
      <c r="C340" s="20" t="s">
        <v>6724</v>
      </c>
      <c r="D340" s="2" t="s">
        <v>31</v>
      </c>
      <c r="E340" s="6" t="str">
        <f>LOOKUP(2,1/(MCQ!C:C=B340),MCQ!H:H)</f>
        <v>24.00</v>
      </c>
      <c r="F340" s="6" t="e">
        <v>#N/A</v>
      </c>
      <c r="G340" s="6" t="e">
        <f>LOOKUP(2,1/(Coding!C:C=B340),Coding!H:H)</f>
        <v>#N/A</v>
      </c>
      <c r="H340" s="8" t="e">
        <f>E340+F340+G340</f>
        <v>#N/A</v>
      </c>
      <c r="I340" s="4" t="str">
        <f>IF(J340&lt;&gt;"Complete","Not Active",IF(H340&gt;=75,"Good",IF(H340&gt;=50,"Satisfactory",IF(H340&gt;=25,"Need Attention","Intervention"))))</f>
        <v>Not Active</v>
      </c>
      <c r="J340" s="4" t="str">
        <f>IF(COUNTIF(E340:G340,"#N/A")=3,"Not Attempted",IF(OR(ISNA(E340),ISNA(F340),ISNA(G340)),"NotCompleted","Complete"))</f>
        <v>NotCompleted</v>
      </c>
    </row>
    <row r="341" spans="1:10" ht="15.6" x14ac:dyDescent="0.3">
      <c r="A341" s="17" t="s">
        <v>5487</v>
      </c>
      <c r="B341" s="20" t="s">
        <v>571</v>
      </c>
      <c r="C341" s="20" t="s">
        <v>6725</v>
      </c>
      <c r="D341" s="2" t="s">
        <v>25</v>
      </c>
      <c r="E341" s="6" t="str">
        <f>LOOKUP(2,1/(MCQ!C:C=B341),MCQ!H:H)</f>
        <v>23.00</v>
      </c>
      <c r="F341" s="6" t="str">
        <f>LOOKUP(2,1/(Debugging!C:C=B341),Debugging!H:H)</f>
        <v>38.00</v>
      </c>
      <c r="G341" s="6" t="str">
        <f>LOOKUP(2,1/(Coding!C:C=B341),Coding!H:H)</f>
        <v>19.00</v>
      </c>
      <c r="H341" s="8">
        <f>E341+F341+G341</f>
        <v>80</v>
      </c>
      <c r="I341" s="4" t="str">
        <f>IF(J341&lt;&gt;"Complete","Not Active",IF(H341&gt;=75,"Good",IF(H341&gt;=50,"Satisfactory",IF(H341&gt;=25,"Need Attention","Intervention"))))</f>
        <v>Good</v>
      </c>
      <c r="J341" s="4" t="str">
        <f>IF(COUNTIF(E341:G341,"#N/A")=3,"Not Attempted",IF(OR(ISNA(E341),ISNA(F341),ISNA(G341)),"NotCompleted","Complete"))</f>
        <v>Complete</v>
      </c>
    </row>
    <row r="342" spans="1:10" ht="15.6" x14ac:dyDescent="0.3">
      <c r="A342" s="17" t="s">
        <v>5487</v>
      </c>
      <c r="B342" s="20" t="s">
        <v>573</v>
      </c>
      <c r="C342" s="20" t="s">
        <v>6726</v>
      </c>
      <c r="D342" s="2" t="s">
        <v>28</v>
      </c>
      <c r="E342" s="6" t="str">
        <f>LOOKUP(2,1/(MCQ!C:C=B342),MCQ!H:H)</f>
        <v>14.00</v>
      </c>
      <c r="F342" s="6" t="str">
        <f>LOOKUP(2,1/(Debugging!C:C=B342),Debugging!H:H)</f>
        <v>23.00</v>
      </c>
      <c r="G342" s="6" t="str">
        <f>LOOKUP(2,1/(Coding!C:C=B342),Coding!H:H)</f>
        <v>25.00</v>
      </c>
      <c r="H342" s="8">
        <f>E342+F342+G342</f>
        <v>62</v>
      </c>
      <c r="I342" s="4" t="str">
        <f>IF(J342&lt;&gt;"Complete","Not Active",IF(H342&gt;=75,"Good",IF(H342&gt;=50,"Satisfactory",IF(H342&gt;=25,"Need Attention","Intervention"))))</f>
        <v>Satisfactory</v>
      </c>
      <c r="J342" s="4" t="str">
        <f>IF(COUNTIF(E342:G342,"#N/A")=3,"Not Attempted",IF(OR(ISNA(E342),ISNA(F342),ISNA(G342)),"NotCompleted","Complete"))</f>
        <v>Complete</v>
      </c>
    </row>
    <row r="343" spans="1:10" ht="15.6" x14ac:dyDescent="0.3">
      <c r="A343" s="17" t="s">
        <v>5487</v>
      </c>
      <c r="B343" s="20" t="s">
        <v>576</v>
      </c>
      <c r="C343" s="20" t="s">
        <v>6727</v>
      </c>
      <c r="D343" s="2" t="s">
        <v>31</v>
      </c>
      <c r="E343" s="6" t="str">
        <f>LOOKUP(2,1/(MCQ!C:C=B343),MCQ!H:H)</f>
        <v>25.00</v>
      </c>
      <c r="F343" s="6" t="str">
        <f>LOOKUP(2,1/(Debugging!C:C=B343),Debugging!H:H)</f>
        <v>43.00</v>
      </c>
      <c r="G343" s="6" t="str">
        <f>LOOKUP(2,1/(Coding!C:C=B343),Coding!H:H)</f>
        <v>0.00</v>
      </c>
      <c r="H343" s="8">
        <f>E343+F343+G343</f>
        <v>68</v>
      </c>
      <c r="I343" s="4" t="str">
        <f>IF(J343&lt;&gt;"Complete","Not Active",IF(H343&gt;=75,"Good",IF(H343&gt;=50,"Satisfactory",IF(H343&gt;=25,"Need Attention","Intervention"))))</f>
        <v>Satisfactory</v>
      </c>
      <c r="J343" s="4" t="str">
        <f>IF(COUNTIF(E343:G343,"#N/A")=3,"Not Attempted",IF(OR(ISNA(E343),ISNA(F343),ISNA(G343)),"NotCompleted","Complete"))</f>
        <v>Complete</v>
      </c>
    </row>
    <row r="344" spans="1:10" ht="15.6" x14ac:dyDescent="0.3">
      <c r="A344" s="17" t="s">
        <v>5487</v>
      </c>
      <c r="B344" s="20" t="s">
        <v>577</v>
      </c>
      <c r="C344" s="20" t="s">
        <v>6728</v>
      </c>
      <c r="D344" s="2" t="s">
        <v>22</v>
      </c>
      <c r="E344" s="6" t="str">
        <f>LOOKUP(2,1/(MCQ!C:C=B344),MCQ!H:H)</f>
        <v>24.00</v>
      </c>
      <c r="F344" s="6" t="str">
        <f>LOOKUP(2,1/(Debugging!C:C=B344),Debugging!H:H)</f>
        <v>45.00</v>
      </c>
      <c r="G344" s="6" t="str">
        <f>LOOKUP(2,1/(Coding!C:C=B344),Coding!H:H)</f>
        <v>25.00</v>
      </c>
      <c r="H344" s="8">
        <f>E344+F344+G344</f>
        <v>94</v>
      </c>
      <c r="I344" s="4" t="str">
        <f>IF(J344&lt;&gt;"Complete","Not Active",IF(H344&gt;=75,"Good",IF(H344&gt;=50,"Satisfactory",IF(H344&gt;=25,"Need Attention","Intervention"))))</f>
        <v>Good</v>
      </c>
      <c r="J344" s="4" t="str">
        <f>IF(COUNTIF(E344:G344,"#N/A")=3,"Not Attempted",IF(OR(ISNA(E344),ISNA(F344),ISNA(G344)),"NotCompleted","Complete"))</f>
        <v>Complete</v>
      </c>
    </row>
    <row r="345" spans="1:10" ht="15.6" x14ac:dyDescent="0.3">
      <c r="A345" s="17" t="s">
        <v>5487</v>
      </c>
      <c r="B345" s="20" t="s">
        <v>578</v>
      </c>
      <c r="C345" s="20" t="s">
        <v>6729</v>
      </c>
      <c r="D345" s="2" t="s">
        <v>8</v>
      </c>
      <c r="E345" s="6" t="str">
        <f>LOOKUP(2,1/(MCQ!C:C=B345),MCQ!H:H)</f>
        <v>24.00</v>
      </c>
      <c r="F345" s="6" t="str">
        <f>LOOKUP(2,1/(Debugging!C:C=B345),Debugging!H:H)</f>
        <v>34.00</v>
      </c>
      <c r="G345" s="6" t="str">
        <f>LOOKUP(2,1/(Coding!C:C=B345),Coding!H:H)</f>
        <v>13.00</v>
      </c>
      <c r="H345" s="8">
        <f>E345+F345+G345</f>
        <v>71</v>
      </c>
      <c r="I345" s="4" t="str">
        <f>IF(J345&lt;&gt;"Complete","Not Active",IF(H345&gt;=75,"Good",IF(H345&gt;=50,"Satisfactory",IF(H345&gt;=25,"Need Attention","Intervention"))))</f>
        <v>Satisfactory</v>
      </c>
      <c r="J345" s="4" t="str">
        <f>IF(COUNTIF(E345:G345,"#N/A")=3,"Not Attempted",IF(OR(ISNA(E345),ISNA(F345),ISNA(G345)),"NotCompleted","Complete"))</f>
        <v>Complete</v>
      </c>
    </row>
    <row r="346" spans="1:10" ht="15.6" x14ac:dyDescent="0.3">
      <c r="A346" s="17" t="s">
        <v>5487</v>
      </c>
      <c r="B346" s="20" t="s">
        <v>580</v>
      </c>
      <c r="C346" s="20" t="s">
        <v>6730</v>
      </c>
      <c r="D346" s="2" t="s">
        <v>170</v>
      </c>
      <c r="E346" s="6" t="str">
        <f>LOOKUP(2,1/(MCQ!C:C=B346),MCQ!H:H)</f>
        <v>23.00</v>
      </c>
      <c r="F346" s="6" t="str">
        <f>LOOKUP(2,1/(Debugging!C:C=B346),Debugging!H:H)</f>
        <v>44.00</v>
      </c>
      <c r="G346" s="6" t="str">
        <f>LOOKUP(2,1/(Coding!C:C=B346),Coding!H:H)</f>
        <v>23.50</v>
      </c>
      <c r="H346" s="8">
        <f>E346+F346+G346</f>
        <v>90.5</v>
      </c>
      <c r="I346" s="4" t="str">
        <f>IF(J346&lt;&gt;"Complete","Not Active",IF(H346&gt;=75,"Good",IF(H346&gt;=50,"Satisfactory",IF(H346&gt;=25,"Need Attention","Intervention"))))</f>
        <v>Good</v>
      </c>
      <c r="J346" s="4" t="str">
        <f>IF(COUNTIF(E346:G346,"#N/A")=3,"Not Attempted",IF(OR(ISNA(E346),ISNA(F346),ISNA(G346)),"NotCompleted","Complete"))</f>
        <v>Complete</v>
      </c>
    </row>
    <row r="347" spans="1:10" ht="15.6" x14ac:dyDescent="0.3">
      <c r="A347" s="17" t="s">
        <v>5487</v>
      </c>
      <c r="B347" s="20" t="s">
        <v>581</v>
      </c>
      <c r="C347" s="20" t="s">
        <v>6731</v>
      </c>
      <c r="D347" s="2" t="s">
        <v>22</v>
      </c>
      <c r="E347" s="6" t="str">
        <f>LOOKUP(2,1/(MCQ!C:C=B347),MCQ!H:H)</f>
        <v>8.00</v>
      </c>
      <c r="F347" s="6" t="str">
        <f>LOOKUP(2,1/(Debugging!C:C=B347),Debugging!H:H)</f>
        <v>35.00</v>
      </c>
      <c r="G347" s="6" t="e">
        <f>LOOKUP(2,1/(Coding!C:C=B347),Coding!H:H)</f>
        <v>#N/A</v>
      </c>
      <c r="H347" s="8" t="e">
        <f>E347+F347+G347</f>
        <v>#N/A</v>
      </c>
      <c r="I347" s="4" t="str">
        <f>IF(J347&lt;&gt;"Complete","Not Active",IF(H347&gt;=75,"Good",IF(H347&gt;=50,"Satisfactory",IF(H347&gt;=25,"Need Attention","Intervention"))))</f>
        <v>Not Active</v>
      </c>
      <c r="J347" s="4" t="str">
        <f>IF(COUNTIF(E347:G347,"#N/A")=3,"Not Attempted",IF(OR(ISNA(E347),ISNA(F347),ISNA(G347)),"NotCompleted","Complete"))</f>
        <v>NotCompleted</v>
      </c>
    </row>
    <row r="348" spans="1:10" ht="15.6" x14ac:dyDescent="0.3">
      <c r="A348" s="17" t="s">
        <v>5487</v>
      </c>
      <c r="B348" s="20" t="s">
        <v>583</v>
      </c>
      <c r="C348" s="20" t="s">
        <v>6732</v>
      </c>
      <c r="D348" s="2" t="s">
        <v>22</v>
      </c>
      <c r="E348" s="6" t="str">
        <f>LOOKUP(2,1/(MCQ!C:C=B348),MCQ!H:H)</f>
        <v>24.00</v>
      </c>
      <c r="F348" s="6" t="str">
        <f>LOOKUP(2,1/(Debugging!C:C=B348),Debugging!H:H)</f>
        <v>43.00</v>
      </c>
      <c r="G348" s="6" t="e">
        <f>LOOKUP(2,1/(Coding!C:C=B348),Coding!H:H)</f>
        <v>#N/A</v>
      </c>
      <c r="H348" s="8" t="e">
        <f>E348+F348+G348</f>
        <v>#N/A</v>
      </c>
      <c r="I348" s="4" t="str">
        <f>IF(J348&lt;&gt;"Complete","Not Active",IF(H348&gt;=75,"Good",IF(H348&gt;=50,"Satisfactory",IF(H348&gt;=25,"Need Attention","Intervention"))))</f>
        <v>Not Active</v>
      </c>
      <c r="J348" s="4" t="str">
        <f>IF(COUNTIF(E348:G348,"#N/A")=3,"Not Attempted",IF(OR(ISNA(E348),ISNA(F348),ISNA(G348)),"NotCompleted","Complete"))</f>
        <v>NotCompleted</v>
      </c>
    </row>
    <row r="349" spans="1:10" ht="15.6" x14ac:dyDescent="0.3">
      <c r="A349" s="17" t="s">
        <v>5487</v>
      </c>
      <c r="B349" s="20" t="s">
        <v>586</v>
      </c>
      <c r="C349" s="20" t="s">
        <v>6733</v>
      </c>
      <c r="D349" s="2" t="s">
        <v>55</v>
      </c>
      <c r="E349" s="6" t="str">
        <f>LOOKUP(2,1/(MCQ!C:C=B349),MCQ!H:H)</f>
        <v>22.00</v>
      </c>
      <c r="F349" s="6" t="str">
        <f>LOOKUP(2,1/(Debugging!C:C=B349),Debugging!H:H)</f>
        <v>43.00</v>
      </c>
      <c r="G349" s="6" t="e">
        <f>LOOKUP(2,1/(Coding!C:C=B349),Coding!H:H)</f>
        <v>#N/A</v>
      </c>
      <c r="H349" s="8" t="e">
        <f>E349+F349+G349</f>
        <v>#N/A</v>
      </c>
      <c r="I349" s="4" t="str">
        <f>IF(J349&lt;&gt;"Complete","Not Active",IF(H349&gt;=75,"Good",IF(H349&gt;=50,"Satisfactory",IF(H349&gt;=25,"Need Attention","Intervention"))))</f>
        <v>Not Active</v>
      </c>
      <c r="J349" s="4" t="str">
        <f>IF(COUNTIF(E349:G349,"#N/A")=3,"Not Attempted",IF(OR(ISNA(E349),ISNA(F349),ISNA(G349)),"NotCompleted","Complete"))</f>
        <v>NotCompleted</v>
      </c>
    </row>
    <row r="350" spans="1:10" ht="15.6" x14ac:dyDescent="0.3">
      <c r="A350" s="17" t="s">
        <v>5487</v>
      </c>
      <c r="B350" s="20" t="s">
        <v>588</v>
      </c>
      <c r="C350" s="20" t="s">
        <v>6734</v>
      </c>
      <c r="D350" s="2" t="s">
        <v>80</v>
      </c>
      <c r="E350" s="6" t="str">
        <f>LOOKUP(2,1/(MCQ!C:C=B350),MCQ!H:H)</f>
        <v>24.00</v>
      </c>
      <c r="F350" s="6" t="e">
        <f>LOOKUP(2,1/(Debugging!C:C=B350),Debugging!H:H)</f>
        <v>#N/A</v>
      </c>
      <c r="G350" s="6" t="e">
        <f>LOOKUP(2,1/(Coding!C:C=B350),Coding!H:H)</f>
        <v>#N/A</v>
      </c>
      <c r="H350" s="8" t="e">
        <f>E350+F350+G350</f>
        <v>#N/A</v>
      </c>
      <c r="I350" s="4" t="str">
        <f>IF(J350&lt;&gt;"Complete","Not Active",IF(H350&gt;=75,"Good",IF(H350&gt;=50,"Satisfactory",IF(H350&gt;=25,"Need Attention","Intervention"))))</f>
        <v>Not Active</v>
      </c>
      <c r="J350" s="4" t="str">
        <f>IF(COUNTIF(E350:G350,"#N/A")=3,"Not Attempted",IF(OR(ISNA(E350),ISNA(F350),ISNA(G350)),"NotCompleted","Complete"))</f>
        <v>NotCompleted</v>
      </c>
    </row>
    <row r="351" spans="1:10" ht="15.6" x14ac:dyDescent="0.3">
      <c r="A351" s="18" t="s">
        <v>5487</v>
      </c>
      <c r="B351" s="20" t="s">
        <v>5574</v>
      </c>
      <c r="C351" s="21" t="s">
        <v>6735</v>
      </c>
      <c r="D351" s="2" t="s">
        <v>280</v>
      </c>
      <c r="E351" s="6" t="str">
        <f>LOOKUP(2,1/(MCQ!C:C=B351),MCQ!H:H)</f>
        <v>23.00</v>
      </c>
      <c r="F351" s="6" t="str">
        <f>LOOKUP(2,1/(Debugging!C:C=B351),Debugging!H:H)</f>
        <v>48.00</v>
      </c>
      <c r="G351" s="6" t="e">
        <f>LOOKUP(2,1/(Coding!C:C=B351),Coding!H:H)</f>
        <v>#N/A</v>
      </c>
      <c r="H351" s="8" t="e">
        <f>E351+F351+G351</f>
        <v>#N/A</v>
      </c>
      <c r="I351" s="4" t="str">
        <f>IF(J351&lt;&gt;"Complete","Not Active",IF(H351&gt;=75,"Good",IF(H351&gt;=50,"Satisfactory",IF(H351&gt;=25,"Need Attention","Intervention"))))</f>
        <v>Not Active</v>
      </c>
      <c r="J351" s="4" t="str">
        <f>IF(COUNTIF(E351:G351,"#N/A")=3,"Not Attempted",IF(OR(ISNA(E351),ISNA(F351),ISNA(G351)),"NotCompleted","Complete"))</f>
        <v>NotCompleted</v>
      </c>
    </row>
    <row r="352" spans="1:10" ht="15.6" x14ac:dyDescent="0.3">
      <c r="A352" s="18" t="s">
        <v>5487</v>
      </c>
      <c r="B352" s="20" t="s">
        <v>719</v>
      </c>
      <c r="C352" s="21" t="s">
        <v>6736</v>
      </c>
      <c r="D352" s="2" t="s">
        <v>16</v>
      </c>
      <c r="E352" s="6" t="str">
        <f>LOOKUP(2,1/(MCQ!C:C=B352),MCQ!H:H)</f>
        <v>21.00</v>
      </c>
      <c r="F352" s="6" t="str">
        <f>LOOKUP(2,1/(Debugging!C:C=B352),Debugging!H:H)</f>
        <v>46.00</v>
      </c>
      <c r="G352" s="6" t="str">
        <f>LOOKUP(2,1/(Coding!C:C=B352),Coding!H:H)</f>
        <v>23.50</v>
      </c>
      <c r="H352" s="8">
        <f>E352+F352+G352</f>
        <v>90.5</v>
      </c>
      <c r="I352" s="4" t="str">
        <f>IF(J352&lt;&gt;"Complete","Not Active",IF(H352&gt;=75,"Good",IF(H352&gt;=50,"Satisfactory",IF(H352&gt;=25,"Need Attention","Intervention"))))</f>
        <v>Good</v>
      </c>
      <c r="J352" s="4" t="str">
        <f>IF(COUNTIF(E352:G352,"#N/A")=3,"Not Attempted",IF(OR(ISNA(E352),ISNA(F352),ISNA(G352)),"NotCompleted","Complete"))</f>
        <v>Complete</v>
      </c>
    </row>
    <row r="353" spans="1:10" ht="15.6" x14ac:dyDescent="0.3">
      <c r="A353" s="18" t="s">
        <v>5487</v>
      </c>
      <c r="B353" s="20" t="s">
        <v>5620</v>
      </c>
      <c r="C353" s="21" t="s">
        <v>6737</v>
      </c>
      <c r="D353" s="2" t="s">
        <v>28</v>
      </c>
      <c r="E353" s="6" t="str">
        <f>LOOKUP(2,1/(MCQ!C:C=B353),MCQ!H:H)</f>
        <v>23.00</v>
      </c>
      <c r="F353" s="6" t="str">
        <f>LOOKUP(2,1/(Debugging!C:C=B353),Debugging!H:H)</f>
        <v>35.00</v>
      </c>
      <c r="G353" s="6" t="e">
        <f>LOOKUP(2,1/(Coding!C:C=B353),Coding!H:H)</f>
        <v>#N/A</v>
      </c>
      <c r="H353" s="8" t="e">
        <f>E353+F353+G353</f>
        <v>#N/A</v>
      </c>
      <c r="I353" s="4" t="str">
        <f>IF(J353&lt;&gt;"Complete","Not Active",IF(H353&gt;=75,"Good",IF(H353&gt;=50,"Satisfactory",IF(H353&gt;=25,"Need Attention","Intervention"))))</f>
        <v>Not Active</v>
      </c>
      <c r="J353" s="4" t="str">
        <f>IF(COUNTIF(E353:G353,"#N/A")=3,"Not Attempted",IF(OR(ISNA(E353),ISNA(F353),ISNA(G353)),"NotCompleted","Complete"))</f>
        <v>NotCompleted</v>
      </c>
    </row>
    <row r="354" spans="1:10" ht="15.6" x14ac:dyDescent="0.3">
      <c r="A354" s="18" t="s">
        <v>5487</v>
      </c>
      <c r="B354" s="20" t="s">
        <v>721</v>
      </c>
      <c r="C354" s="21" t="s">
        <v>6738</v>
      </c>
      <c r="D354" s="2" t="s">
        <v>11</v>
      </c>
      <c r="E354" s="6" t="str">
        <f>LOOKUP(2,1/(MCQ!C:C=B354),MCQ!H:H)</f>
        <v>24.00</v>
      </c>
      <c r="F354" s="6" t="str">
        <f>LOOKUP(2,1/(Debugging!C:C=B354),Debugging!H:H)</f>
        <v>47.00</v>
      </c>
      <c r="G354" s="6" t="str">
        <f>LOOKUP(2,1/(Coding!C:C=B354),Coding!H:H)</f>
        <v>24.00</v>
      </c>
      <c r="H354" s="8">
        <f>E354+F354+G354</f>
        <v>95</v>
      </c>
      <c r="I354" s="4" t="str">
        <f>IF(J354&lt;&gt;"Complete","Not Active",IF(H354&gt;=75,"Good",IF(H354&gt;=50,"Satisfactory",IF(H354&gt;=25,"Need Attention","Intervention"))))</f>
        <v>Good</v>
      </c>
      <c r="J354" s="4" t="str">
        <f>IF(COUNTIF(E354:G354,"#N/A")=3,"Not Attempted",IF(OR(ISNA(E354),ISNA(F354),ISNA(G354)),"NotCompleted","Complete"))</f>
        <v>Complete</v>
      </c>
    </row>
    <row r="355" spans="1:10" ht="15.6" x14ac:dyDescent="0.3">
      <c r="A355" s="18" t="s">
        <v>5487</v>
      </c>
      <c r="B355" s="20" t="s">
        <v>5932</v>
      </c>
      <c r="C355" s="21" t="s">
        <v>6739</v>
      </c>
      <c r="D355" s="2" t="s">
        <v>31</v>
      </c>
      <c r="E355" s="6" t="e">
        <f>LOOKUP(2,1/(Debugging!B:B=A355),Debugging!G:G)</f>
        <v>#N/A</v>
      </c>
      <c r="F355" s="6" t="e">
        <f>LOOKUP(2,1/(Debugging!C:C=B355),Debugging!H:H)</f>
        <v>#N/A</v>
      </c>
      <c r="G355" s="6" t="e">
        <f>LOOKUP(2,1/(Coding!C:C=B355),Coding!H:H)</f>
        <v>#N/A</v>
      </c>
      <c r="H355" s="8" t="e">
        <f>E355+F355+G355</f>
        <v>#N/A</v>
      </c>
      <c r="I355" s="4" t="str">
        <f>IF(J355&lt;&gt;"Complete","Not Active",IF(H355&gt;=75,"Good",IF(H355&gt;=50,"Satisfactory",IF(H355&gt;=25,"Need Attention","Intervention"))))</f>
        <v>Not Active</v>
      </c>
      <c r="J355" s="4" t="str">
        <f>IF(COUNTIF(E355:G355,"#N/A")=3,"Not Attempted",IF(OR(ISNA(E355),ISNA(F355),ISNA(G355)),"NotCompleted","Complete"))</f>
        <v>Not Attempted</v>
      </c>
    </row>
    <row r="356" spans="1:10" ht="15.6" x14ac:dyDescent="0.3">
      <c r="A356" s="18" t="s">
        <v>5487</v>
      </c>
      <c r="B356" s="20" t="s">
        <v>724</v>
      </c>
      <c r="C356" s="21" t="s">
        <v>6740</v>
      </c>
      <c r="D356" s="2" t="s">
        <v>11</v>
      </c>
      <c r="E356" s="6" t="str">
        <f>LOOKUP(2,1/(MCQ!C:C=B356),MCQ!H:H)</f>
        <v>25.00</v>
      </c>
      <c r="F356" s="6" t="e">
        <f>LOOKUP(2,1/(Debugging!C:C=B356),Debugging!H:H)</f>
        <v>#N/A</v>
      </c>
      <c r="G356" s="6" t="e">
        <f>LOOKUP(2,1/(Coding!C:C=B356),Coding!H:H)</f>
        <v>#N/A</v>
      </c>
      <c r="H356" s="8" t="e">
        <f>E356+F356+G356</f>
        <v>#N/A</v>
      </c>
      <c r="I356" s="4" t="str">
        <f>IF(J356&lt;&gt;"Complete","Not Active",IF(H356&gt;=75,"Good",IF(H356&gt;=50,"Satisfactory",IF(H356&gt;=25,"Need Attention","Intervention"))))</f>
        <v>Not Active</v>
      </c>
      <c r="J356" s="4" t="str">
        <f>IF(COUNTIF(E356:G356,"#N/A")=3,"Not Attempted",IF(OR(ISNA(E356),ISNA(F356),ISNA(G356)),"NotCompleted","Complete"))</f>
        <v>NotCompleted</v>
      </c>
    </row>
    <row r="357" spans="1:10" ht="15.6" x14ac:dyDescent="0.3">
      <c r="A357" s="18" t="s">
        <v>5487</v>
      </c>
      <c r="B357" s="20" t="s">
        <v>6028</v>
      </c>
      <c r="C357" s="21" t="s">
        <v>6741</v>
      </c>
      <c r="D357" s="2" t="s">
        <v>293</v>
      </c>
      <c r="E357" s="6" t="str">
        <f>LOOKUP(2,1/(MCQ!C:C=B357),MCQ!H:H)</f>
        <v>20.00</v>
      </c>
      <c r="F357" s="6" t="str">
        <f>LOOKUP(2,1/(Debugging!C:C=B357),Debugging!H:H)</f>
        <v>39.00</v>
      </c>
      <c r="G357" s="6" t="e">
        <f>LOOKUP(2,1/(Coding!C:C=B357),Coding!H:H)</f>
        <v>#N/A</v>
      </c>
      <c r="H357" s="8" t="e">
        <f>E357+F357+G357</f>
        <v>#N/A</v>
      </c>
      <c r="I357" s="4" t="str">
        <f>IF(J357&lt;&gt;"Complete","Not Active",IF(H357&gt;=75,"Good",IF(H357&gt;=50,"Satisfactory",IF(H357&gt;=25,"Need Attention","Intervention"))))</f>
        <v>Not Active</v>
      </c>
      <c r="J357" s="4" t="str">
        <f>IF(COUNTIF(E357:G357,"#N/A")=3,"Not Attempted",IF(OR(ISNA(E357),ISNA(F357),ISNA(G357)),"NotCompleted","Complete"))</f>
        <v>NotCompleted</v>
      </c>
    </row>
    <row r="358" spans="1:10" ht="15.6" x14ac:dyDescent="0.3">
      <c r="A358" s="17" t="s">
        <v>5487</v>
      </c>
      <c r="B358" s="20" t="s">
        <v>6419</v>
      </c>
      <c r="C358" s="20" t="s">
        <v>6742</v>
      </c>
      <c r="D358" s="2" t="s">
        <v>42</v>
      </c>
      <c r="E358" s="6" t="e">
        <f>LOOKUP(2,1/(MCQ!C:C=B358),MCQ!H:H)</f>
        <v>#N/A</v>
      </c>
      <c r="F358" s="6" t="e">
        <f>LOOKUP(2,1/(Debugging!C:C=B358),Debugging!H:H)</f>
        <v>#N/A</v>
      </c>
      <c r="G358" s="6" t="e">
        <f>LOOKUP(2,1/(Coding!C:C=B358),Coding!H:H)</f>
        <v>#N/A</v>
      </c>
      <c r="H358" s="8" t="e">
        <f>E358+F358+G358</f>
        <v>#N/A</v>
      </c>
      <c r="I358" s="4" t="str">
        <f>IF(J358&lt;&gt;"Complete","Not Active",IF(H358&gt;=75,"Good",IF(H358&gt;=50,"Satisfactory",IF(H358&gt;=25,"Need Attention","Intervention"))))</f>
        <v>Not Active</v>
      </c>
      <c r="J358" s="4" t="str">
        <f>IF(COUNTIF(E358:G358,"#N/A")=3,"Not Attempted",IF(OR(ISNA(E358),ISNA(F358),ISNA(G358)),"NotCompleted","Complete"))</f>
        <v>Not Attempted</v>
      </c>
    </row>
    <row r="359" spans="1:10" ht="15.6" x14ac:dyDescent="0.3">
      <c r="A359" s="17" t="s">
        <v>5487</v>
      </c>
      <c r="B359" s="20" t="s">
        <v>591</v>
      </c>
      <c r="C359" s="20" t="s">
        <v>6743</v>
      </c>
      <c r="D359" s="2" t="s">
        <v>16</v>
      </c>
      <c r="E359" s="6" t="str">
        <f>LOOKUP(2,1/(MCQ!C:C=B359),MCQ!H:H)</f>
        <v>21.00</v>
      </c>
      <c r="F359" s="6" t="str">
        <f>LOOKUP(2,1/(Debugging!C:C=B359),Debugging!H:H)</f>
        <v>41.00</v>
      </c>
      <c r="G359" s="6" t="str">
        <f>LOOKUP(2,1/(Coding!C:C=B359),Coding!H:H)</f>
        <v>25.00</v>
      </c>
      <c r="H359" s="8">
        <f>E359+F359+G359</f>
        <v>87</v>
      </c>
      <c r="I359" s="4" t="str">
        <f>IF(J359&lt;&gt;"Complete","Not Active",IF(H359&gt;=75,"Good",IF(H359&gt;=50,"Satisfactory",IF(H359&gt;=25,"Need Attention","Intervention"))))</f>
        <v>Good</v>
      </c>
      <c r="J359" s="4" t="str">
        <f>IF(COUNTIF(E359:G359,"#N/A")=3,"Not Attempted",IF(OR(ISNA(E359),ISNA(F359),ISNA(G359)),"NotCompleted","Complete"))</f>
        <v>Complete</v>
      </c>
    </row>
    <row r="360" spans="1:10" ht="15.6" x14ac:dyDescent="0.3">
      <c r="A360" s="17" t="s">
        <v>5487</v>
      </c>
      <c r="B360" s="20" t="s">
        <v>593</v>
      </c>
      <c r="C360" s="20" t="s">
        <v>6744</v>
      </c>
      <c r="D360" s="2" t="s">
        <v>42</v>
      </c>
      <c r="E360" s="6" t="str">
        <f>LOOKUP(2,1/(MCQ!C:C=B360),MCQ!H:H)</f>
        <v>13.00</v>
      </c>
      <c r="F360" s="6" t="str">
        <f>LOOKUP(2,1/(Debugging!C:C=B360),Debugging!H:H)</f>
        <v>31.00</v>
      </c>
      <c r="G360" s="6" t="e">
        <f>LOOKUP(2,1/(Coding!C:C=B360),Coding!H:H)</f>
        <v>#N/A</v>
      </c>
      <c r="H360" s="8" t="e">
        <f>E360+F360+G360</f>
        <v>#N/A</v>
      </c>
      <c r="I360" s="4" t="str">
        <f>IF(J360&lt;&gt;"Complete","Not Active",IF(H360&gt;=75,"Good",IF(H360&gt;=50,"Satisfactory",IF(H360&gt;=25,"Need Attention","Intervention"))))</f>
        <v>Not Active</v>
      </c>
      <c r="J360" s="4" t="str">
        <f>IF(COUNTIF(E360:G360,"#N/A")=3,"Not Attempted",IF(OR(ISNA(E360),ISNA(F360),ISNA(G360)),"NotCompleted","Complete"))</f>
        <v>NotCompleted</v>
      </c>
    </row>
    <row r="361" spans="1:10" ht="15.6" x14ac:dyDescent="0.3">
      <c r="A361" s="17" t="s">
        <v>5487</v>
      </c>
      <c r="B361" s="20" t="s">
        <v>6420</v>
      </c>
      <c r="C361" s="20" t="s">
        <v>6745</v>
      </c>
      <c r="D361" s="2" t="s">
        <v>31</v>
      </c>
      <c r="E361" s="6" t="e">
        <f>LOOKUP(2,1/(MCQ!C:C=B361),MCQ!H:H)</f>
        <v>#N/A</v>
      </c>
      <c r="F361" s="6" t="e">
        <f>LOOKUP(2,1/(Debugging!C:C=B361),Debugging!H:H)</f>
        <v>#N/A</v>
      </c>
      <c r="G361" s="6" t="e">
        <f>LOOKUP(2,1/(Coding!C:C=B361),Coding!H:H)</f>
        <v>#N/A</v>
      </c>
      <c r="H361" s="8" t="e">
        <f>E361+F361+G361</f>
        <v>#N/A</v>
      </c>
      <c r="I361" s="4" t="str">
        <f>IF(J361&lt;&gt;"Complete","Not Active",IF(H361&gt;=75,"Good",IF(H361&gt;=50,"Satisfactory",IF(H361&gt;=25,"Need Attention","Intervention"))))</f>
        <v>Not Active</v>
      </c>
      <c r="J361" s="4" t="str">
        <f>IF(COUNTIF(E361:G361,"#N/A")=3,"Not Attempted",IF(OR(ISNA(E361),ISNA(F361),ISNA(G361)),"NotCompleted","Complete"))</f>
        <v>Not Attempted</v>
      </c>
    </row>
    <row r="362" spans="1:10" ht="15.6" x14ac:dyDescent="0.3">
      <c r="A362" s="17" t="s">
        <v>5487</v>
      </c>
      <c r="B362" s="20" t="s">
        <v>5811</v>
      </c>
      <c r="C362" s="20" t="s">
        <v>6746</v>
      </c>
      <c r="D362" s="2" t="s">
        <v>304</v>
      </c>
      <c r="E362" s="6" t="str">
        <f>LOOKUP(2,1/(MCQ!C:C=B362),MCQ!H:H)</f>
        <v>22.00</v>
      </c>
      <c r="F362" s="6" t="e">
        <f>LOOKUP(2,1/(Debugging!C:C=B362),Debugging!H:H)</f>
        <v>#N/A</v>
      </c>
      <c r="G362" s="6" t="e">
        <f>LOOKUP(2,1/(Coding!C:C=B362),Coding!H:H)</f>
        <v>#N/A</v>
      </c>
      <c r="H362" s="8" t="e">
        <f>E362+F362+G362</f>
        <v>#N/A</v>
      </c>
      <c r="I362" s="4" t="str">
        <f>IF(J362&lt;&gt;"Complete","Not Active",IF(H362&gt;=75,"Good",IF(H362&gt;=50,"Satisfactory",IF(H362&gt;=25,"Need Attention","Intervention"))))</f>
        <v>Not Active</v>
      </c>
      <c r="J362" s="4" t="str">
        <f>IF(COUNTIF(E362:G362,"#N/A")=3,"Not Attempted",IF(OR(ISNA(E362),ISNA(F362),ISNA(G362)),"NotCompleted","Complete"))</f>
        <v>NotCompleted</v>
      </c>
    </row>
    <row r="363" spans="1:10" ht="15.6" x14ac:dyDescent="0.3">
      <c r="A363" s="17" t="s">
        <v>5487</v>
      </c>
      <c r="B363" s="20" t="s">
        <v>5815</v>
      </c>
      <c r="C363" s="20" t="s">
        <v>6747</v>
      </c>
      <c r="D363" s="2" t="s">
        <v>22</v>
      </c>
      <c r="E363" s="6" t="str">
        <f>LOOKUP(2,1/(MCQ!C:C=B363),MCQ!H:H)</f>
        <v>23.00</v>
      </c>
      <c r="F363" s="6" t="e">
        <f>LOOKUP(2,1/(Debugging!C:C=B363),Debugging!H:H)</f>
        <v>#N/A</v>
      </c>
      <c r="G363" s="6" t="e">
        <f>LOOKUP(2,1/(Coding!C:C=B363),Coding!H:H)</f>
        <v>#N/A</v>
      </c>
      <c r="H363" s="8" t="e">
        <f>E363+F363+G363</f>
        <v>#N/A</v>
      </c>
      <c r="I363" s="4" t="str">
        <f>IF(J363&lt;&gt;"Complete","Not Active",IF(H363&gt;=75,"Good",IF(H363&gt;=50,"Satisfactory",IF(H363&gt;=25,"Need Attention","Intervention"))))</f>
        <v>Not Active</v>
      </c>
      <c r="J363" s="4" t="str">
        <f>IF(COUNTIF(E363:G363,"#N/A")=3,"Not Attempted",IF(OR(ISNA(E363),ISNA(F363),ISNA(G363)),"NotCompleted","Complete"))</f>
        <v>NotCompleted</v>
      </c>
    </row>
    <row r="364" spans="1:10" ht="15.6" x14ac:dyDescent="0.3">
      <c r="A364" s="17" t="s">
        <v>5487</v>
      </c>
      <c r="B364" s="20" t="s">
        <v>5827</v>
      </c>
      <c r="C364" s="20" t="s">
        <v>6748</v>
      </c>
      <c r="D364" s="2" t="s">
        <v>19</v>
      </c>
      <c r="E364" s="6" t="str">
        <f>LOOKUP(2,1/(MCQ!C:C=B364),MCQ!H:H)</f>
        <v>25.00</v>
      </c>
      <c r="F364" s="6" t="str">
        <f>LOOKUP(2,1/(Debugging!C:C=B364),Debugging!H:H)</f>
        <v>38.00</v>
      </c>
      <c r="G364" s="6" t="e">
        <f>LOOKUP(2,1/(Coding!C:C=B364),Coding!H:H)</f>
        <v>#N/A</v>
      </c>
      <c r="H364" s="8" t="e">
        <f>E364+F364+G364</f>
        <v>#N/A</v>
      </c>
      <c r="I364" s="4" t="str">
        <f>IF(J364&lt;&gt;"Complete","Not Active",IF(H364&gt;=75,"Good",IF(H364&gt;=50,"Satisfactory",IF(H364&gt;=25,"Need Attention","Intervention"))))</f>
        <v>Not Active</v>
      </c>
      <c r="J364" s="4" t="str">
        <f>IF(COUNTIF(E364:G364,"#N/A")=3,"Not Attempted",IF(OR(ISNA(E364),ISNA(F364),ISNA(G364)),"NotCompleted","Complete"))</f>
        <v>NotCompleted</v>
      </c>
    </row>
    <row r="365" spans="1:10" ht="15.6" x14ac:dyDescent="0.3">
      <c r="A365" s="17" t="s">
        <v>5487</v>
      </c>
      <c r="B365" s="20" t="s">
        <v>595</v>
      </c>
      <c r="C365" s="20" t="s">
        <v>6749</v>
      </c>
      <c r="D365" s="2" t="s">
        <v>31</v>
      </c>
      <c r="E365" s="6" t="str">
        <f>LOOKUP(2,1/(MCQ!C:C=B365),MCQ!H:H)</f>
        <v>21.00</v>
      </c>
      <c r="F365" s="6" t="e">
        <f>LOOKUP(2,1/(Debugging!C:C=B365),Debugging!H:H)</f>
        <v>#N/A</v>
      </c>
      <c r="G365" s="6" t="e">
        <f>LOOKUP(2,1/(Coding!C:C=B365),Coding!H:H)</f>
        <v>#N/A</v>
      </c>
      <c r="H365" s="8" t="e">
        <f>E365+F365+G365</f>
        <v>#N/A</v>
      </c>
      <c r="I365" s="4" t="str">
        <f>IF(J365&lt;&gt;"Complete","Not Active",IF(H365&gt;=75,"Good",IF(H365&gt;=50,"Satisfactory",IF(H365&gt;=25,"Need Attention","Intervention"))))</f>
        <v>Not Active</v>
      </c>
      <c r="J365" s="4" t="str">
        <f>IF(COUNTIF(E365:G365,"#N/A")=3,"Not Attempted",IF(OR(ISNA(E365),ISNA(F365),ISNA(G365)),"NotCompleted","Complete"))</f>
        <v>NotCompleted</v>
      </c>
    </row>
    <row r="366" spans="1:10" ht="15.6" x14ac:dyDescent="0.3">
      <c r="A366" s="17" t="s">
        <v>5487</v>
      </c>
      <c r="B366" s="20" t="s">
        <v>6421</v>
      </c>
      <c r="C366" s="20" t="s">
        <v>6750</v>
      </c>
      <c r="D366" s="2" t="s">
        <v>312</v>
      </c>
      <c r="E366" s="6" t="e">
        <f>LOOKUP(2,1/(MCQ!C:C=B366),MCQ!H:H)</f>
        <v>#N/A</v>
      </c>
      <c r="F366" s="6" t="e">
        <f>LOOKUP(2,1/(Debugging!C:C=B366),Debugging!H:H)</f>
        <v>#N/A</v>
      </c>
      <c r="G366" s="6" t="e">
        <f>LOOKUP(2,1/(Coding!C:C=B366),Coding!H:H)</f>
        <v>#N/A</v>
      </c>
      <c r="H366" s="8" t="e">
        <f>E366+F366+G366</f>
        <v>#N/A</v>
      </c>
      <c r="I366" s="4" t="str">
        <f>IF(J366&lt;&gt;"Complete","Not Active",IF(H366&gt;=75,"Good",IF(H366&gt;=50,"Satisfactory",IF(H366&gt;=25,"Need Attention","Intervention"))))</f>
        <v>Not Active</v>
      </c>
      <c r="J366" s="4" t="str">
        <f>IF(COUNTIF(E366:G366,"#N/A")=3,"Not Attempted",IF(OR(ISNA(E366),ISNA(F366),ISNA(G366)),"NotCompleted","Complete"))</f>
        <v>Not Attempted</v>
      </c>
    </row>
    <row r="367" spans="1:10" ht="15.6" x14ac:dyDescent="0.3">
      <c r="A367" s="17" t="s">
        <v>5487</v>
      </c>
      <c r="B367" s="20" t="s">
        <v>597</v>
      </c>
      <c r="C367" s="20" t="s">
        <v>6751</v>
      </c>
      <c r="D367" s="2" t="s">
        <v>8</v>
      </c>
      <c r="E367" s="6" t="str">
        <f>LOOKUP(2,1/(MCQ!C:C=B367),MCQ!H:H)</f>
        <v>22.00</v>
      </c>
      <c r="F367" s="6" t="str">
        <f>LOOKUP(2,1/(Debugging!C:C=B367),Debugging!H:H)</f>
        <v>34.00</v>
      </c>
      <c r="G367" s="6" t="str">
        <f>LOOKUP(2,1/(Coding!C:C=B367),Coding!H:H)</f>
        <v>19.00</v>
      </c>
      <c r="H367" s="8">
        <f>E367+F367+G367</f>
        <v>75</v>
      </c>
      <c r="I367" s="4" t="str">
        <f>IF(J367&lt;&gt;"Complete","Not Active",IF(H367&gt;=75,"Good",IF(H367&gt;=50,"Satisfactory",IF(H367&gt;=25,"Need Attention","Intervention"))))</f>
        <v>Good</v>
      </c>
      <c r="J367" s="4" t="str">
        <f>IF(COUNTIF(E367:G367,"#N/A")=3,"Not Attempted",IF(OR(ISNA(E367),ISNA(F367),ISNA(G367)),"NotCompleted","Complete"))</f>
        <v>Complete</v>
      </c>
    </row>
    <row r="368" spans="1:10" ht="15.6" x14ac:dyDescent="0.3">
      <c r="A368" s="17" t="s">
        <v>5487</v>
      </c>
      <c r="B368" s="20" t="s">
        <v>6422</v>
      </c>
      <c r="C368" s="20" t="s">
        <v>6752</v>
      </c>
      <c r="D368" s="2" t="s">
        <v>317</v>
      </c>
      <c r="E368" s="6" t="e">
        <f>LOOKUP(2,1/(MCQ!C:C=B368),MCQ!H:H)</f>
        <v>#N/A</v>
      </c>
      <c r="F368" s="6" t="e">
        <f>LOOKUP(2,1/(Debugging!C:C=B368),Debugging!H:H)</f>
        <v>#N/A</v>
      </c>
      <c r="G368" s="6" t="e">
        <f>LOOKUP(2,1/(Coding!C:C=B368),Coding!H:H)</f>
        <v>#N/A</v>
      </c>
      <c r="H368" s="8" t="e">
        <f>E368+F368+G368</f>
        <v>#N/A</v>
      </c>
      <c r="I368" s="4" t="str">
        <f>IF(J368&lt;&gt;"Complete","Not Active",IF(H368&gt;=75,"Good",IF(H368&gt;=50,"Satisfactory",IF(H368&gt;=25,"Need Attention","Intervention"))))</f>
        <v>Not Active</v>
      </c>
      <c r="J368" s="4" t="str">
        <f>IF(COUNTIF(E368:G368,"#N/A")=3,"Not Attempted",IF(OR(ISNA(E368),ISNA(F368),ISNA(G368)),"NotCompleted","Complete"))</f>
        <v>Not Attempted</v>
      </c>
    </row>
    <row r="369" spans="1:10" ht="15.6" x14ac:dyDescent="0.3">
      <c r="A369" s="17" t="s">
        <v>5487</v>
      </c>
      <c r="B369" s="20" t="s">
        <v>6423</v>
      </c>
      <c r="C369" s="20" t="s">
        <v>6753</v>
      </c>
      <c r="D369" s="2" t="s">
        <v>8</v>
      </c>
      <c r="E369" s="6" t="e">
        <f>LOOKUP(2,1/(MCQ!C:C=B369),MCQ!H:H)</f>
        <v>#N/A</v>
      </c>
      <c r="F369" s="6" t="e">
        <f>LOOKUP(2,1/(Debugging!C:C=B369),Debugging!H:H)</f>
        <v>#N/A</v>
      </c>
      <c r="G369" s="6" t="e">
        <f>LOOKUP(2,1/(Coding!C:C=B369),Coding!H:H)</f>
        <v>#N/A</v>
      </c>
      <c r="H369" s="8" t="e">
        <f>E369+F369+G369</f>
        <v>#N/A</v>
      </c>
      <c r="I369" s="4" t="str">
        <f>IF(J369&lt;&gt;"Complete","Not Active",IF(H369&gt;=75,"Good",IF(H369&gt;=50,"Satisfactory",IF(H369&gt;=25,"Need Attention","Intervention"))))</f>
        <v>Not Active</v>
      </c>
      <c r="J369" s="4" t="str">
        <f>IF(COUNTIF(E369:G369,"#N/A")=3,"Not Attempted",IF(OR(ISNA(E369),ISNA(F369),ISNA(G369)),"NotCompleted","Complete"))</f>
        <v>Not Attempted</v>
      </c>
    </row>
    <row r="370" spans="1:10" ht="15.6" x14ac:dyDescent="0.3">
      <c r="A370" s="17" t="s">
        <v>5487</v>
      </c>
      <c r="B370" s="20" t="s">
        <v>598</v>
      </c>
      <c r="C370" s="20" t="s">
        <v>6754</v>
      </c>
      <c r="D370" s="2" t="s">
        <v>322</v>
      </c>
      <c r="E370" s="6" t="str">
        <f>LOOKUP(2,1/(MCQ!C:C=B370),MCQ!H:H)</f>
        <v>25.00</v>
      </c>
      <c r="F370" s="6" t="str">
        <f>LOOKUP(2,1/(Debugging!C:C=B370),Debugging!H:H)</f>
        <v>44.00</v>
      </c>
      <c r="G370" s="6" t="str">
        <f>LOOKUP(2,1/(Coding!C:C=B370),Coding!H:H)</f>
        <v>25.00</v>
      </c>
      <c r="H370" s="8">
        <f>E370+F370+G370</f>
        <v>94</v>
      </c>
      <c r="I370" s="4" t="str">
        <f>IF(J370&lt;&gt;"Complete","Not Active",IF(H370&gt;=75,"Good",IF(H370&gt;=50,"Satisfactory",IF(H370&gt;=25,"Need Attention","Intervention"))))</f>
        <v>Good</v>
      </c>
      <c r="J370" s="4" t="str">
        <f>IF(COUNTIF(E370:G370,"#N/A")=3,"Not Attempted",IF(OR(ISNA(E370),ISNA(F370),ISNA(G370)),"NotCompleted","Complete"))</f>
        <v>Complete</v>
      </c>
    </row>
    <row r="371" spans="1:10" ht="15.6" x14ac:dyDescent="0.3">
      <c r="A371" s="17" t="s">
        <v>5487</v>
      </c>
      <c r="B371" s="20" t="s">
        <v>6424</v>
      </c>
      <c r="C371" s="20" t="s">
        <v>6755</v>
      </c>
      <c r="D371" s="2" t="s">
        <v>325</v>
      </c>
      <c r="E371" s="6" t="e">
        <f>LOOKUP(2,1/(MCQ!C:C=B371),MCQ!H:H)</f>
        <v>#N/A</v>
      </c>
      <c r="F371" s="6" t="e">
        <f>LOOKUP(2,1/(Debugging!C:C=B371),Debugging!H:H)</f>
        <v>#N/A</v>
      </c>
      <c r="G371" s="6" t="e">
        <f>LOOKUP(2,1/(Coding!C:C=B371),Coding!H:H)</f>
        <v>#N/A</v>
      </c>
      <c r="H371" s="8" t="e">
        <f>E371+F371+G371</f>
        <v>#N/A</v>
      </c>
      <c r="I371" s="4" t="str">
        <f>IF(J371&lt;&gt;"Complete","Not Active",IF(H371&gt;=75,"Good",IF(H371&gt;=50,"Satisfactory",IF(H371&gt;=25,"Need Attention","Intervention"))))</f>
        <v>Not Active</v>
      </c>
      <c r="J371" s="4" t="str">
        <f>IF(COUNTIF(E371:G371,"#N/A")=3,"Not Attempted",IF(OR(ISNA(E371),ISNA(F371),ISNA(G371)),"NotCompleted","Complete"))</f>
        <v>Not Attempted</v>
      </c>
    </row>
    <row r="372" spans="1:10" ht="15.6" x14ac:dyDescent="0.3">
      <c r="A372" s="17" t="s">
        <v>5487</v>
      </c>
      <c r="B372" s="20" t="s">
        <v>6425</v>
      </c>
      <c r="C372" s="20" t="s">
        <v>6756</v>
      </c>
      <c r="D372" s="2" t="s">
        <v>133</v>
      </c>
      <c r="E372" s="6" t="e">
        <f>LOOKUP(2,1/(MCQ!C:C=B372),MCQ!H:H)</f>
        <v>#N/A</v>
      </c>
      <c r="F372" s="6" t="e">
        <f>LOOKUP(2,1/(Debugging!C:C=B372),Debugging!H:H)</f>
        <v>#N/A</v>
      </c>
      <c r="G372" s="6" t="e">
        <f>LOOKUP(2,1/(Coding!C:C=B372),Coding!H:H)</f>
        <v>#N/A</v>
      </c>
      <c r="H372" s="8" t="e">
        <f>E372+F372+G372</f>
        <v>#N/A</v>
      </c>
      <c r="I372" s="4" t="str">
        <f>IF(J372&lt;&gt;"Complete","Not Active",IF(H372&gt;=75,"Good",IF(H372&gt;=50,"Satisfactory",IF(H372&gt;=25,"Need Attention","Intervention"))))</f>
        <v>Not Active</v>
      </c>
      <c r="J372" s="4" t="str">
        <f>IF(COUNTIF(E372:G372,"#N/A")=3,"Not Attempted",IF(OR(ISNA(E372),ISNA(F372),ISNA(G372)),"NotCompleted","Complete"))</f>
        <v>Not Attempted</v>
      </c>
    </row>
    <row r="373" spans="1:10" ht="15.6" x14ac:dyDescent="0.3">
      <c r="A373" s="17" t="s">
        <v>5487</v>
      </c>
      <c r="B373" s="20" t="s">
        <v>6426</v>
      </c>
      <c r="C373" s="20" t="s">
        <v>6757</v>
      </c>
      <c r="D373" s="2" t="s">
        <v>8</v>
      </c>
      <c r="E373" s="6" t="e">
        <f>LOOKUP(2,1/(MCQ!C:C=B373),MCQ!H:H)</f>
        <v>#N/A</v>
      </c>
      <c r="F373" s="6" t="e">
        <f>LOOKUP(2,1/(Debugging!C:C=B373),Debugging!H:H)</f>
        <v>#N/A</v>
      </c>
      <c r="G373" s="6" t="e">
        <f>LOOKUP(2,1/(Coding!C:C=B373),Coding!H:H)</f>
        <v>#N/A</v>
      </c>
      <c r="H373" s="8" t="e">
        <f>E373+F373+G373</f>
        <v>#N/A</v>
      </c>
      <c r="I373" s="4" t="str">
        <f>IF(J373&lt;&gt;"Complete","Not Active",IF(H373&gt;=75,"Good",IF(H373&gt;=50,"Satisfactory",IF(H373&gt;=25,"Need Attention","Intervention"))))</f>
        <v>Not Active</v>
      </c>
      <c r="J373" s="4" t="str">
        <f>IF(COUNTIF(E373:G373,"#N/A")=3,"Not Attempted",IF(OR(ISNA(E373),ISNA(F373),ISNA(G373)),"NotCompleted","Complete"))</f>
        <v>Not Attempted</v>
      </c>
    </row>
    <row r="374" spans="1:10" ht="15.6" x14ac:dyDescent="0.3">
      <c r="A374" s="17" t="s">
        <v>5487</v>
      </c>
      <c r="B374" s="20" t="s">
        <v>5836</v>
      </c>
      <c r="C374" s="20" t="s">
        <v>6758</v>
      </c>
      <c r="D374" s="2" t="s">
        <v>280</v>
      </c>
      <c r="E374" s="6" t="str">
        <f>LOOKUP(2,1/(MCQ!C:C=B374),MCQ!H:H)</f>
        <v>20.00</v>
      </c>
      <c r="F374" s="6" t="e">
        <f>LOOKUP(2,1/(Debugging!C:C=B374),Debugging!H:H)</f>
        <v>#N/A</v>
      </c>
      <c r="G374" s="6" t="e">
        <f>LOOKUP(2,1/(Coding!C:C=B374),Coding!H:H)</f>
        <v>#N/A</v>
      </c>
      <c r="H374" s="8" t="e">
        <f>E374+F374+G374</f>
        <v>#N/A</v>
      </c>
      <c r="I374" s="4" t="str">
        <f>IF(J374&lt;&gt;"Complete","Not Active",IF(H374&gt;=75,"Good",IF(H374&gt;=50,"Satisfactory",IF(H374&gt;=25,"Need Attention","Intervention"))))</f>
        <v>Not Active</v>
      </c>
      <c r="J374" s="4" t="str">
        <f>IF(COUNTIF(E374:G374,"#N/A")=3,"Not Attempted",IF(OR(ISNA(E374),ISNA(F374),ISNA(G374)),"NotCompleted","Complete"))</f>
        <v>NotCompleted</v>
      </c>
    </row>
    <row r="375" spans="1:10" ht="15.6" x14ac:dyDescent="0.3">
      <c r="A375" s="17" t="s">
        <v>5487</v>
      </c>
      <c r="B375" s="20" t="s">
        <v>600</v>
      </c>
      <c r="C375" s="20" t="s">
        <v>6759</v>
      </c>
      <c r="D375" s="2" t="s">
        <v>22</v>
      </c>
      <c r="E375" s="6" t="str">
        <f>LOOKUP(2,1/(MCQ!C:C=B375),MCQ!H:H)</f>
        <v>21.00</v>
      </c>
      <c r="F375" s="6" t="str">
        <f>LOOKUP(2,1/(Debugging!C:C=B375),Debugging!H:H)</f>
        <v>41.00</v>
      </c>
      <c r="G375" s="6" t="str">
        <f>LOOKUP(2,1/(Coding!C:C=B375),Coding!H:H)</f>
        <v>23.50</v>
      </c>
      <c r="H375" s="8">
        <f>E375+F375+G375</f>
        <v>85.5</v>
      </c>
      <c r="I375" s="4" t="str">
        <f>IF(J375&lt;&gt;"Complete","Not Active",IF(H375&gt;=75,"Good",IF(H375&gt;=50,"Satisfactory",IF(H375&gt;=25,"Need Attention","Intervention"))))</f>
        <v>Good</v>
      </c>
      <c r="J375" s="4" t="str">
        <f>IF(COUNTIF(E375:G375,"#N/A")=3,"Not Attempted",IF(OR(ISNA(E375),ISNA(F375),ISNA(G375)),"NotCompleted","Complete"))</f>
        <v>Complete</v>
      </c>
    </row>
    <row r="376" spans="1:10" ht="15.6" x14ac:dyDescent="0.3">
      <c r="A376" s="17" t="s">
        <v>5487</v>
      </c>
      <c r="B376" s="20" t="s">
        <v>602</v>
      </c>
      <c r="C376" s="20" t="s">
        <v>6760</v>
      </c>
      <c r="D376" s="2" t="s">
        <v>55</v>
      </c>
      <c r="E376" s="6" t="str">
        <f>LOOKUP(2,1/(MCQ!C:C=B376),MCQ!H:H)</f>
        <v>24.00</v>
      </c>
      <c r="F376" s="6" t="str">
        <f>LOOKUP(2,1/(Debugging!C:C=B376),Debugging!H:H)</f>
        <v>42.00</v>
      </c>
      <c r="G376" s="6" t="str">
        <f>LOOKUP(2,1/(Coding!C:C=B376),Coding!H:H)</f>
        <v>20.00</v>
      </c>
      <c r="H376" s="8">
        <f>E376+F376+G376</f>
        <v>86</v>
      </c>
      <c r="I376" s="4" t="str">
        <f>IF(J376&lt;&gt;"Complete","Not Active",IF(H376&gt;=75,"Good",IF(H376&gt;=50,"Satisfactory",IF(H376&gt;=25,"Need Attention","Intervention"))))</f>
        <v>Good</v>
      </c>
      <c r="J376" s="4" t="str">
        <f>IF(COUNTIF(E376:G376,"#N/A")=3,"Not Attempted",IF(OR(ISNA(E376),ISNA(F376),ISNA(G376)),"NotCompleted","Complete"))</f>
        <v>Complete</v>
      </c>
    </row>
    <row r="377" spans="1:10" ht="15.6" x14ac:dyDescent="0.3">
      <c r="A377" s="17" t="s">
        <v>5487</v>
      </c>
      <c r="B377" s="20" t="s">
        <v>604</v>
      </c>
      <c r="C377" s="20" t="s">
        <v>6761</v>
      </c>
      <c r="D377" s="2" t="s">
        <v>28</v>
      </c>
      <c r="E377" s="6" t="str">
        <f>LOOKUP(2,1/(MCQ!C:C=B377),MCQ!H:H)</f>
        <v>24.00</v>
      </c>
      <c r="F377" s="6" t="e">
        <f>LOOKUP(2,1/(Coding!B:B=A377),Coding!G:G)</f>
        <v>#N/A</v>
      </c>
      <c r="G377" s="6" t="str">
        <f>LOOKUP(2,1/(Coding!C:C=B377),Coding!H:H)</f>
        <v>23.00</v>
      </c>
      <c r="H377" s="8" t="e">
        <f>E377+F377+G377</f>
        <v>#N/A</v>
      </c>
      <c r="I377" s="4" t="str">
        <f>IF(J377&lt;&gt;"Complete","Not Active",IF(H377&gt;=75,"Good",IF(H377&gt;=50,"Satisfactory",IF(H377&gt;=25,"Need Attention","Intervention"))))</f>
        <v>Not Active</v>
      </c>
      <c r="J377" s="4" t="str">
        <f>IF(COUNTIF(E377:G377,"#N/A")=3,"Not Attempted",IF(OR(ISNA(E377),ISNA(F377),ISNA(G377)),"NotCompleted","Complete"))</f>
        <v>NotCompleted</v>
      </c>
    </row>
    <row r="378" spans="1:10" ht="15.6" x14ac:dyDescent="0.3">
      <c r="A378" s="17" t="s">
        <v>5487</v>
      </c>
      <c r="B378" s="20" t="s">
        <v>6427</v>
      </c>
      <c r="C378" s="20" t="s">
        <v>6762</v>
      </c>
      <c r="D378" s="2" t="s">
        <v>337</v>
      </c>
      <c r="E378" s="6" t="e">
        <f>LOOKUP(2,1/(MCQ!C:C=B378),MCQ!H:H)</f>
        <v>#N/A</v>
      </c>
      <c r="F378" s="6" t="e">
        <f>LOOKUP(2,1/(Debugging!C:C=B378),Debugging!H:H)</f>
        <v>#N/A</v>
      </c>
      <c r="G378" s="6" t="e">
        <f>LOOKUP(2,1/(Coding!C:C=B378),Coding!H:H)</f>
        <v>#N/A</v>
      </c>
      <c r="H378" s="8" t="e">
        <f>E378+F378+G378</f>
        <v>#N/A</v>
      </c>
      <c r="I378" s="4" t="str">
        <f>IF(J378&lt;&gt;"Complete","Not Active",IF(H378&gt;=75,"Good",IF(H378&gt;=50,"Satisfactory",IF(H378&gt;=25,"Need Attention","Intervention"))))</f>
        <v>Not Active</v>
      </c>
      <c r="J378" s="4" t="str">
        <f>IF(COUNTIF(E378:G378,"#N/A")=3,"Not Attempted",IF(OR(ISNA(E378),ISNA(F378),ISNA(G378)),"NotCompleted","Complete"))</f>
        <v>Not Attempted</v>
      </c>
    </row>
    <row r="379" spans="1:10" ht="15.6" x14ac:dyDescent="0.3">
      <c r="A379" s="17" t="s">
        <v>5487</v>
      </c>
      <c r="B379" s="20" t="s">
        <v>6428</v>
      </c>
      <c r="C379" s="20" t="s">
        <v>6763</v>
      </c>
      <c r="D379" s="2" t="s">
        <v>340</v>
      </c>
      <c r="E379" s="6" t="e">
        <f>LOOKUP(2,1/(MCQ!C:C=B379),MCQ!H:H)</f>
        <v>#N/A</v>
      </c>
      <c r="F379" s="6" t="e">
        <f>LOOKUP(2,1/(Debugging!C:C=B379),Debugging!H:H)</f>
        <v>#N/A</v>
      </c>
      <c r="G379" s="6" t="e">
        <f>LOOKUP(2,1/(Coding!C:C=B379),Coding!H:H)</f>
        <v>#N/A</v>
      </c>
      <c r="H379" s="8" t="e">
        <f>E379+F379+G379</f>
        <v>#N/A</v>
      </c>
      <c r="I379" s="4" t="str">
        <f>IF(J379&lt;&gt;"Complete","Not Active",IF(H379&gt;=75,"Good",IF(H379&gt;=50,"Satisfactory",IF(H379&gt;=25,"Need Attention","Intervention"))))</f>
        <v>Not Active</v>
      </c>
      <c r="J379" s="4" t="str">
        <f>IF(COUNTIF(E379:G379,"#N/A")=3,"Not Attempted",IF(OR(ISNA(E379),ISNA(F379),ISNA(G379)),"NotCompleted","Complete"))</f>
        <v>Not Attempted</v>
      </c>
    </row>
    <row r="380" spans="1:10" ht="15.6" x14ac:dyDescent="0.3">
      <c r="A380" s="17" t="s">
        <v>5487</v>
      </c>
      <c r="B380" s="20" t="s">
        <v>606</v>
      </c>
      <c r="C380" s="20" t="s">
        <v>6764</v>
      </c>
      <c r="D380" s="2" t="s">
        <v>11</v>
      </c>
      <c r="E380" s="6" t="str">
        <f>LOOKUP(2,1/(MCQ!C:C=B380),MCQ!H:H)</f>
        <v>22.00</v>
      </c>
      <c r="F380" s="6" t="str">
        <f>LOOKUP(2,1/(Debugging!C:C=B380),Debugging!H:H)</f>
        <v>33.00</v>
      </c>
      <c r="G380" s="6" t="str">
        <f>LOOKUP(2,1/(Coding!C:C=B380),Coding!H:H)</f>
        <v>25.00</v>
      </c>
      <c r="H380" s="8">
        <f>E380+F380+G380</f>
        <v>80</v>
      </c>
      <c r="I380" s="4" t="str">
        <f>IF(J380&lt;&gt;"Complete","Not Active",IF(H380&gt;=75,"Good",IF(H380&gt;=50,"Satisfactory",IF(H380&gt;=25,"Need Attention","Intervention"))))</f>
        <v>Good</v>
      </c>
      <c r="J380" s="4" t="str">
        <f>IF(COUNTIF(E380:G380,"#N/A")=3,"Not Attempted",IF(OR(ISNA(E380),ISNA(F380),ISNA(G380)),"NotCompleted","Complete"))</f>
        <v>Complete</v>
      </c>
    </row>
    <row r="381" spans="1:10" ht="15.6" x14ac:dyDescent="0.3">
      <c r="A381" s="17" t="s">
        <v>5487</v>
      </c>
      <c r="B381" s="20" t="s">
        <v>6429</v>
      </c>
      <c r="C381" s="20" t="s">
        <v>6765</v>
      </c>
      <c r="D381" s="2" t="s">
        <v>345</v>
      </c>
      <c r="E381" s="6" t="e">
        <f>LOOKUP(2,1/(MCQ!C:C=B381),MCQ!H:H)</f>
        <v>#N/A</v>
      </c>
      <c r="F381" s="6" t="e">
        <f>LOOKUP(2,1/(Debugging!C:C=B381),Debugging!H:H)</f>
        <v>#N/A</v>
      </c>
      <c r="G381" s="6" t="e">
        <f>LOOKUP(2,1/(Coding!C:C=B381),Coding!H:H)</f>
        <v>#N/A</v>
      </c>
      <c r="H381" s="8" t="e">
        <f>E381+F381+G381</f>
        <v>#N/A</v>
      </c>
      <c r="I381" s="4" t="str">
        <f>IF(J381&lt;&gt;"Complete","Not Active",IF(H381&gt;=75,"Good",IF(H381&gt;=50,"Satisfactory",IF(H381&gt;=25,"Need Attention","Intervention"))))</f>
        <v>Not Active</v>
      </c>
      <c r="J381" s="4" t="str">
        <f>IF(COUNTIF(E381:G381,"#N/A")=3,"Not Attempted",IF(OR(ISNA(E381),ISNA(F381),ISNA(G381)),"NotCompleted","Complete"))</f>
        <v>Not Attempted</v>
      </c>
    </row>
    <row r="382" spans="1:10" ht="15.6" x14ac:dyDescent="0.3">
      <c r="A382" s="17" t="s">
        <v>5487</v>
      </c>
      <c r="B382" s="20" t="s">
        <v>607</v>
      </c>
      <c r="C382" s="20" t="s">
        <v>6766</v>
      </c>
      <c r="D382" s="2" t="s">
        <v>55</v>
      </c>
      <c r="E382" s="6" t="str">
        <f>LOOKUP(2,1/(MCQ!C:C=B382),MCQ!H:H)</f>
        <v>24.00</v>
      </c>
      <c r="F382" s="6" t="str">
        <f>LOOKUP(2,1/(Debugging!C:C=B382),Debugging!H:H)</f>
        <v>47.00</v>
      </c>
      <c r="G382" s="6" t="str">
        <f>LOOKUP(2,1/(Coding!C:C=B382),Coding!H:H)</f>
        <v>25.00</v>
      </c>
      <c r="H382" s="8">
        <f>E382+F382+G382</f>
        <v>96</v>
      </c>
      <c r="I382" s="4" t="str">
        <f>IF(J382&lt;&gt;"Complete","Not Active",IF(H382&gt;=75,"Good",IF(H382&gt;=50,"Satisfactory",IF(H382&gt;=25,"Need Attention","Intervention"))))</f>
        <v>Good</v>
      </c>
      <c r="J382" s="4" t="str">
        <f>IF(COUNTIF(E382:G382,"#N/A")=3,"Not Attempted",IF(OR(ISNA(E382),ISNA(F382),ISNA(G382)),"NotCompleted","Complete"))</f>
        <v>Complete</v>
      </c>
    </row>
    <row r="383" spans="1:10" ht="15.6" x14ac:dyDescent="0.3">
      <c r="A383" s="17" t="s">
        <v>5487</v>
      </c>
      <c r="B383" s="20" t="s">
        <v>5858</v>
      </c>
      <c r="C383" s="20" t="s">
        <v>6767</v>
      </c>
      <c r="D383" s="2" t="s">
        <v>350</v>
      </c>
      <c r="E383" s="6" t="e">
        <f>LOOKUP(2,1/(Debugging!B:B=A383),Debugging!G:G)</f>
        <v>#N/A</v>
      </c>
      <c r="F383" s="6" t="e">
        <f>LOOKUP(2,1/(Debugging!C:C=B383),Debugging!H:H)</f>
        <v>#N/A</v>
      </c>
      <c r="G383" s="6" t="e">
        <f>LOOKUP(2,1/(Coding!C:C=B383),Coding!H:H)</f>
        <v>#N/A</v>
      </c>
      <c r="H383" s="8" t="e">
        <f>E383+F383+G383</f>
        <v>#N/A</v>
      </c>
      <c r="I383" s="4" t="str">
        <f>IF(J383&lt;&gt;"Complete","Not Active",IF(H383&gt;=75,"Good",IF(H383&gt;=50,"Satisfactory",IF(H383&gt;=25,"Need Attention","Intervention"))))</f>
        <v>Not Active</v>
      </c>
      <c r="J383" s="4" t="str">
        <f>IF(COUNTIF(E383:G383,"#N/A")=3,"Not Attempted",IF(OR(ISNA(E383),ISNA(F383),ISNA(G383)),"NotCompleted","Complete"))</f>
        <v>Not Attempted</v>
      </c>
    </row>
    <row r="384" spans="1:10" ht="15.6" x14ac:dyDescent="0.3">
      <c r="A384" s="17" t="s">
        <v>5487</v>
      </c>
      <c r="B384" s="20" t="s">
        <v>6430</v>
      </c>
      <c r="C384" s="20" t="s">
        <v>6768</v>
      </c>
      <c r="D384" s="2" t="s">
        <v>353</v>
      </c>
      <c r="E384" s="6" t="e">
        <f>LOOKUP(2,1/(MCQ!C:C=B384),MCQ!H:H)</f>
        <v>#N/A</v>
      </c>
      <c r="F384" s="6" t="e">
        <f>LOOKUP(2,1/(Debugging!C:C=B384),Debugging!H:H)</f>
        <v>#N/A</v>
      </c>
      <c r="G384" s="6" t="e">
        <f>LOOKUP(2,1/(Coding!C:C=B384),Coding!H:H)</f>
        <v>#N/A</v>
      </c>
      <c r="H384" s="8" t="e">
        <f>E384+F384+G384</f>
        <v>#N/A</v>
      </c>
      <c r="I384" s="4" t="str">
        <f>IF(J384&lt;&gt;"Complete","Not Active",IF(H384&gt;=75,"Good",IF(H384&gt;=50,"Satisfactory",IF(H384&gt;=25,"Need Attention","Intervention"))))</f>
        <v>Not Active</v>
      </c>
      <c r="J384" s="4" t="str">
        <f>IF(COUNTIF(E384:G384,"#N/A")=3,"Not Attempted",IF(OR(ISNA(E384),ISNA(F384),ISNA(G384)),"NotCompleted","Complete"))</f>
        <v>Not Attempted</v>
      </c>
    </row>
    <row r="385" spans="1:10" ht="15.6" x14ac:dyDescent="0.3">
      <c r="A385" s="17" t="s">
        <v>5487</v>
      </c>
      <c r="B385" s="20" t="s">
        <v>6431</v>
      </c>
      <c r="C385" s="20" t="s">
        <v>6769</v>
      </c>
      <c r="D385" s="2" t="s">
        <v>8</v>
      </c>
      <c r="E385" s="6" t="e">
        <f>LOOKUP(2,1/(MCQ!C:C=B385),MCQ!H:H)</f>
        <v>#N/A</v>
      </c>
      <c r="F385" s="6" t="e">
        <f>LOOKUP(2,1/(Debugging!C:C=B385),Debugging!H:H)</f>
        <v>#N/A</v>
      </c>
      <c r="G385" s="6" t="e">
        <f>LOOKUP(2,1/(Coding!C:C=B385),Coding!H:H)</f>
        <v>#N/A</v>
      </c>
      <c r="H385" s="8" t="e">
        <f>E385+F385+G385</f>
        <v>#N/A</v>
      </c>
      <c r="I385" s="4" t="str">
        <f>IF(J385&lt;&gt;"Complete","Not Active",IF(H385&gt;=75,"Good",IF(H385&gt;=50,"Satisfactory",IF(H385&gt;=25,"Need Attention","Intervention"))))</f>
        <v>Not Active</v>
      </c>
      <c r="J385" s="4" t="str">
        <f>IF(COUNTIF(E385:G385,"#N/A")=3,"Not Attempted",IF(OR(ISNA(E385),ISNA(F385),ISNA(G385)),"NotCompleted","Complete"))</f>
        <v>Not Attempted</v>
      </c>
    </row>
    <row r="386" spans="1:10" ht="15.6" x14ac:dyDescent="0.3">
      <c r="A386" s="17" t="s">
        <v>5487</v>
      </c>
      <c r="B386" s="20" t="s">
        <v>5866</v>
      </c>
      <c r="C386" s="20" t="s">
        <v>6770</v>
      </c>
      <c r="D386" s="2" t="s">
        <v>228</v>
      </c>
      <c r="E386" s="6" t="str">
        <f>LOOKUP(2,1/(MCQ!C:C=B386),MCQ!H:H)</f>
        <v>25.00</v>
      </c>
      <c r="F386" s="6" t="e">
        <f>LOOKUP(2,1/(Debugging!C:C=B386),Debugging!H:H)</f>
        <v>#N/A</v>
      </c>
      <c r="G386" s="6" t="e">
        <f>LOOKUP(2,1/(Coding!C:C=B386),Coding!H:H)</f>
        <v>#N/A</v>
      </c>
      <c r="H386" s="8" t="e">
        <f>E386+F386+G386</f>
        <v>#N/A</v>
      </c>
      <c r="I386" s="4" t="str">
        <f>IF(J386&lt;&gt;"Complete","Not Active",IF(H386&gt;=75,"Good",IF(H386&gt;=50,"Satisfactory",IF(H386&gt;=25,"Need Attention","Intervention"))))</f>
        <v>Not Active</v>
      </c>
      <c r="J386" s="4" t="str">
        <f>IF(COUNTIF(E386:G386,"#N/A")=3,"Not Attempted",IF(OR(ISNA(E386),ISNA(F386),ISNA(G386)),"NotCompleted","Complete"))</f>
        <v>NotCompleted</v>
      </c>
    </row>
    <row r="387" spans="1:10" ht="15.6" x14ac:dyDescent="0.3">
      <c r="A387" s="17" t="s">
        <v>5487</v>
      </c>
      <c r="B387" s="20" t="s">
        <v>5870</v>
      </c>
      <c r="C387" s="20" t="s">
        <v>6771</v>
      </c>
      <c r="D387" s="2" t="s">
        <v>8</v>
      </c>
      <c r="E387" s="6" t="e">
        <f>LOOKUP(2,1/(Debugging!B:B=A387),Debugging!G:G)</f>
        <v>#N/A</v>
      </c>
      <c r="F387" s="6" t="e">
        <v>#N/A</v>
      </c>
      <c r="G387" s="6" t="e">
        <f>LOOKUP(2,1/(Coding!C:C=B387),Coding!H:H)</f>
        <v>#N/A</v>
      </c>
      <c r="H387" s="8" t="e">
        <f>E387+F387+G387</f>
        <v>#N/A</v>
      </c>
      <c r="I387" s="4" t="str">
        <f>IF(J387&lt;&gt;"Complete","Not Active",IF(H387&gt;=75,"Good",IF(H387&gt;=50,"Satisfactory",IF(H387&gt;=25,"Need Attention","Intervention"))))</f>
        <v>Not Active</v>
      </c>
      <c r="J387" s="4" t="str">
        <f>IF(COUNTIF(E387:G387,"#N/A")=3,"Not Attempted",IF(OR(ISNA(E387),ISNA(F387),ISNA(G387)),"NotCompleted","Complete"))</f>
        <v>Not Attempted</v>
      </c>
    </row>
    <row r="388" spans="1:10" ht="15.6" x14ac:dyDescent="0.3">
      <c r="A388" s="17" t="s">
        <v>5487</v>
      </c>
      <c r="B388" s="20" t="s">
        <v>609</v>
      </c>
      <c r="C388" s="20" t="s">
        <v>6772</v>
      </c>
      <c r="D388" s="2" t="s">
        <v>31</v>
      </c>
      <c r="E388" s="6" t="str">
        <f>LOOKUP(2,1/(MCQ!C:C=B388),MCQ!H:H)</f>
        <v>23.00</v>
      </c>
      <c r="F388" s="6" t="str">
        <f>LOOKUP(2,1/(Debugging!C:C=B388),Debugging!H:H)</f>
        <v>31.00</v>
      </c>
      <c r="G388" s="6" t="e">
        <f>LOOKUP(2,1/(Coding!C:C=B388),Coding!H:H)</f>
        <v>#N/A</v>
      </c>
      <c r="H388" s="8" t="e">
        <f>E388+F388+G388</f>
        <v>#N/A</v>
      </c>
      <c r="I388" s="4" t="str">
        <f>IF(J388&lt;&gt;"Complete","Not Active",IF(H388&gt;=75,"Good",IF(H388&gt;=50,"Satisfactory",IF(H388&gt;=25,"Need Attention","Intervention"))))</f>
        <v>Not Active</v>
      </c>
      <c r="J388" s="4" t="str">
        <f>IF(COUNTIF(E388:G388,"#N/A")=3,"Not Attempted",IF(OR(ISNA(E388),ISNA(F388),ISNA(G388)),"NotCompleted","Complete"))</f>
        <v>NotCompleted</v>
      </c>
    </row>
    <row r="389" spans="1:10" ht="15.6" x14ac:dyDescent="0.3">
      <c r="A389" s="17" t="s">
        <v>5487</v>
      </c>
      <c r="B389" s="20" t="s">
        <v>6432</v>
      </c>
      <c r="C389" s="20" t="s">
        <v>6773</v>
      </c>
      <c r="D389" s="2" t="s">
        <v>8</v>
      </c>
      <c r="E389" s="6" t="e">
        <f>LOOKUP(2,1/(MCQ!C:C=B389),MCQ!H:H)</f>
        <v>#N/A</v>
      </c>
      <c r="F389" s="6" t="e">
        <f>LOOKUP(2,1/(Debugging!C:C=B389),Debugging!H:H)</f>
        <v>#N/A</v>
      </c>
      <c r="G389" s="6" t="e">
        <f>LOOKUP(2,1/(Coding!C:C=B389),Coding!H:H)</f>
        <v>#N/A</v>
      </c>
      <c r="H389" s="8" t="e">
        <f>E389+F389+G389</f>
        <v>#N/A</v>
      </c>
      <c r="I389" s="4" t="str">
        <f>IF(J389&lt;&gt;"Complete","Not Active",IF(H389&gt;=75,"Good",IF(H389&gt;=50,"Satisfactory",IF(H389&gt;=25,"Need Attention","Intervention"))))</f>
        <v>Not Active</v>
      </c>
      <c r="J389" s="4" t="str">
        <f>IF(COUNTIF(E389:G389,"#N/A")=3,"Not Attempted",IF(OR(ISNA(E389),ISNA(F389),ISNA(G389)),"NotCompleted","Complete"))</f>
        <v>Not Attempted</v>
      </c>
    </row>
    <row r="390" spans="1:10" ht="15.6" x14ac:dyDescent="0.3">
      <c r="A390" s="17" t="s">
        <v>5487</v>
      </c>
      <c r="B390" s="20" t="s">
        <v>6433</v>
      </c>
      <c r="C390" s="20" t="s">
        <v>6774</v>
      </c>
      <c r="D390" s="2" t="s">
        <v>366</v>
      </c>
      <c r="E390" s="6" t="e">
        <f>LOOKUP(2,1/(MCQ!C:C=B390),MCQ!H:H)</f>
        <v>#N/A</v>
      </c>
      <c r="F390" s="6" t="e">
        <f>LOOKUP(2,1/(Debugging!C:C=B390),Debugging!H:H)</f>
        <v>#N/A</v>
      </c>
      <c r="G390" s="6" t="e">
        <f>LOOKUP(2,1/(Coding!C:C=B390),Coding!H:H)</f>
        <v>#N/A</v>
      </c>
      <c r="H390" s="8" t="e">
        <f>E390+F390+G390</f>
        <v>#N/A</v>
      </c>
      <c r="I390" s="4" t="str">
        <f>IF(J390&lt;&gt;"Complete","Not Active",IF(H390&gt;=75,"Good",IF(H390&gt;=50,"Satisfactory",IF(H390&gt;=25,"Need Attention","Intervention"))))</f>
        <v>Not Active</v>
      </c>
      <c r="J390" s="4" t="str">
        <f>IF(COUNTIF(E390:G390,"#N/A")=3,"Not Attempted",IF(OR(ISNA(E390),ISNA(F390),ISNA(G390)),"NotCompleted","Complete"))</f>
        <v>Not Attempted</v>
      </c>
    </row>
    <row r="391" spans="1:10" ht="15.6" x14ac:dyDescent="0.3">
      <c r="A391" s="17" t="s">
        <v>5487</v>
      </c>
      <c r="B391" s="20" t="s">
        <v>611</v>
      </c>
      <c r="C391" s="20" t="s">
        <v>5886</v>
      </c>
      <c r="D391" s="2" t="s">
        <v>19</v>
      </c>
      <c r="E391" s="6" t="str">
        <f>LOOKUP(2,1/(MCQ!C:C=B391),MCQ!H:H)</f>
        <v>24.00</v>
      </c>
      <c r="F391" s="6" t="str">
        <f>LOOKUP(2,1/(Debugging!C:C=B391),Debugging!H:H)</f>
        <v>48.00</v>
      </c>
      <c r="G391" s="6" t="str">
        <f>LOOKUP(2,1/(Coding!C:C=B391),Coding!H:H)</f>
        <v>25.00</v>
      </c>
      <c r="H391" s="8">
        <f>E391+F391+G391</f>
        <v>97</v>
      </c>
      <c r="I391" s="4" t="str">
        <f>IF(J391&lt;&gt;"Complete","Not Active",IF(H391&gt;=75,"Good",IF(H391&gt;=50,"Satisfactory",IF(H391&gt;=25,"Need Attention","Intervention"))))</f>
        <v>Good</v>
      </c>
      <c r="J391" s="4" t="str">
        <f>IF(COUNTIF(E391:G391,"#N/A")=3,"Not Attempted",IF(OR(ISNA(E391),ISNA(F391),ISNA(G391)),"NotCompleted","Complete"))</f>
        <v>Complete</v>
      </c>
    </row>
    <row r="392" spans="1:10" ht="15.6" x14ac:dyDescent="0.3">
      <c r="A392" s="17" t="s">
        <v>5487</v>
      </c>
      <c r="B392" s="20" t="s">
        <v>613</v>
      </c>
      <c r="C392" s="20" t="s">
        <v>6775</v>
      </c>
      <c r="D392" s="2" t="s">
        <v>8</v>
      </c>
      <c r="E392" s="6" t="str">
        <f>LOOKUP(2,1/(MCQ!C:C=B392),MCQ!H:H)</f>
        <v>24.00</v>
      </c>
      <c r="F392" s="6" t="e">
        <f>LOOKUP(2,1/(Debugging!C:C=B392),Debugging!H:H)</f>
        <v>#N/A</v>
      </c>
      <c r="G392" s="6" t="e">
        <f>LOOKUP(2,1/(Coding!C:C=B392),Coding!H:H)</f>
        <v>#N/A</v>
      </c>
      <c r="H392" s="8" t="e">
        <f>E392+F392+G392</f>
        <v>#N/A</v>
      </c>
      <c r="I392" s="4" t="str">
        <f>IF(J392&lt;&gt;"Complete","Not Active",IF(H392&gt;=75,"Good",IF(H392&gt;=50,"Satisfactory",IF(H392&gt;=25,"Need Attention","Intervention"))))</f>
        <v>Not Active</v>
      </c>
      <c r="J392" s="4" t="str">
        <f>IF(COUNTIF(E392:G392,"#N/A")=3,"Not Attempted",IF(OR(ISNA(E392),ISNA(F392),ISNA(G392)),"NotCompleted","Complete"))</f>
        <v>NotCompleted</v>
      </c>
    </row>
    <row r="393" spans="1:10" ht="15.6" x14ac:dyDescent="0.3">
      <c r="A393" s="17" t="s">
        <v>5487</v>
      </c>
      <c r="B393" s="20" t="s">
        <v>615</v>
      </c>
      <c r="C393" s="20" t="s">
        <v>6776</v>
      </c>
      <c r="D393" s="2" t="s">
        <v>19</v>
      </c>
      <c r="E393" s="6" t="str">
        <f>LOOKUP(2,1/(MCQ!C:C=B393),MCQ!H:H)</f>
        <v>25.00</v>
      </c>
      <c r="F393" s="6" t="str">
        <f>LOOKUP(2,1/(Debugging!C:C=B393),Debugging!H:H)</f>
        <v>25.00</v>
      </c>
      <c r="G393" s="6" t="str">
        <f>LOOKUP(2,1/(Coding!C:C=B393),Coding!H:H)</f>
        <v>12.00</v>
      </c>
      <c r="H393" s="8">
        <f>E393+F393+G393</f>
        <v>62</v>
      </c>
      <c r="I393" s="4" t="str">
        <f>IF(J393&lt;&gt;"Complete","Not Active",IF(H393&gt;=75,"Good",IF(H393&gt;=50,"Satisfactory",IF(H393&gt;=25,"Need Attention","Intervention"))))</f>
        <v>Satisfactory</v>
      </c>
      <c r="J393" s="4" t="str">
        <f>IF(COUNTIF(E393:G393,"#N/A")=3,"Not Attempted",IF(OR(ISNA(E393),ISNA(F393),ISNA(G393)),"NotCompleted","Complete"))</f>
        <v>Complete</v>
      </c>
    </row>
    <row r="394" spans="1:10" ht="15.6" x14ac:dyDescent="0.3">
      <c r="A394" s="17" t="s">
        <v>5487</v>
      </c>
      <c r="B394" s="20" t="s">
        <v>617</v>
      </c>
      <c r="C394" s="20" t="s">
        <v>6777</v>
      </c>
      <c r="D394" s="2" t="s">
        <v>375</v>
      </c>
      <c r="E394" s="6" t="str">
        <f>LOOKUP(2,1/(MCQ!C:C=B394),MCQ!H:H)</f>
        <v>25.00</v>
      </c>
      <c r="F394" s="6" t="str">
        <f>LOOKUP(2,1/(Debugging!C:C=B394),Debugging!H:H)</f>
        <v>41.00</v>
      </c>
      <c r="G394" s="6" t="str">
        <f>LOOKUP(2,1/(Coding!C:C=B394),Coding!H:H)</f>
        <v>23.50</v>
      </c>
      <c r="H394" s="8">
        <f>E394+F394+G394</f>
        <v>89.5</v>
      </c>
      <c r="I394" s="4" t="str">
        <f>IF(J394&lt;&gt;"Complete","Not Active",IF(H394&gt;=75,"Good",IF(H394&gt;=50,"Satisfactory",IF(H394&gt;=25,"Need Attention","Intervention"))))</f>
        <v>Good</v>
      </c>
      <c r="J394" s="4" t="str">
        <f>IF(COUNTIF(E394:G394,"#N/A")=3,"Not Attempted",IF(OR(ISNA(E394),ISNA(F394),ISNA(G394)),"NotCompleted","Complete"))</f>
        <v>Complete</v>
      </c>
    </row>
    <row r="395" spans="1:10" ht="15.6" x14ac:dyDescent="0.3">
      <c r="A395" s="17" t="s">
        <v>5487</v>
      </c>
      <c r="B395" s="20" t="s">
        <v>5893</v>
      </c>
      <c r="C395" s="20" t="s">
        <v>6778</v>
      </c>
      <c r="D395" s="2" t="s">
        <v>42</v>
      </c>
      <c r="E395" s="6" t="str">
        <f>LOOKUP(2,1/(MCQ!C:C=B395),MCQ!H:H)</f>
        <v>21.00</v>
      </c>
      <c r="F395" s="6" t="str">
        <f>LOOKUP(2,1/(Debugging!C:C=B395),Debugging!H:H)</f>
        <v>42.00</v>
      </c>
      <c r="G395" s="6" t="e">
        <f>LOOKUP(2,1/(Coding!C:C=B395),Coding!H:H)</f>
        <v>#N/A</v>
      </c>
      <c r="H395" s="8" t="e">
        <f>E395+F395+G395</f>
        <v>#N/A</v>
      </c>
      <c r="I395" s="4" t="str">
        <f>IF(J395&lt;&gt;"Complete","Not Active",IF(H395&gt;=75,"Good",IF(H395&gt;=50,"Satisfactory",IF(H395&gt;=25,"Need Attention","Intervention"))))</f>
        <v>Not Active</v>
      </c>
      <c r="J395" s="4" t="str">
        <f>IF(COUNTIF(E395:G395,"#N/A")=3,"Not Attempted",IF(OR(ISNA(E395),ISNA(F395),ISNA(G395)),"NotCompleted","Complete"))</f>
        <v>NotCompleted</v>
      </c>
    </row>
    <row r="396" spans="1:10" ht="15.6" x14ac:dyDescent="0.3">
      <c r="A396" s="17" t="s">
        <v>5487</v>
      </c>
      <c r="B396" s="20" t="s">
        <v>6434</v>
      </c>
      <c r="C396" s="20" t="s">
        <v>6779</v>
      </c>
      <c r="D396" s="2" t="s">
        <v>55</v>
      </c>
      <c r="E396" s="6" t="e">
        <f>LOOKUP(2,1/(MCQ!C:C=B396),MCQ!H:H)</f>
        <v>#N/A</v>
      </c>
      <c r="F396" s="6" t="e">
        <f>LOOKUP(2,1/(Debugging!C:C=B396),Debugging!H:H)</f>
        <v>#N/A</v>
      </c>
      <c r="G396" s="6" t="e">
        <f>LOOKUP(2,1/(Coding!C:C=B396),Coding!H:H)</f>
        <v>#N/A</v>
      </c>
      <c r="H396" s="8" t="e">
        <f>E396+F396+G396</f>
        <v>#N/A</v>
      </c>
      <c r="I396" s="4" t="str">
        <f>IF(J396&lt;&gt;"Complete","Not Active",IF(H396&gt;=75,"Good",IF(H396&gt;=50,"Satisfactory",IF(H396&gt;=25,"Need Attention","Intervention"))))</f>
        <v>Not Active</v>
      </c>
      <c r="J396" s="4" t="str">
        <f>IF(COUNTIF(E396:G396,"#N/A")=3,"Not Attempted",IF(OR(ISNA(E396),ISNA(F396),ISNA(G396)),"NotCompleted","Complete"))</f>
        <v>Not Attempted</v>
      </c>
    </row>
    <row r="397" spans="1:10" ht="15.6" x14ac:dyDescent="0.3">
      <c r="A397" s="17" t="s">
        <v>5487</v>
      </c>
      <c r="B397" s="20" t="s">
        <v>6435</v>
      </c>
      <c r="C397" s="20" t="s">
        <v>6780</v>
      </c>
      <c r="D397" s="2" t="s">
        <v>8</v>
      </c>
      <c r="E397" s="6" t="e">
        <f>LOOKUP(2,1/(Debugging!B:B=A397),Debugging!G:G)</f>
        <v>#N/A</v>
      </c>
      <c r="F397" s="6" t="e">
        <f>LOOKUP(2,1/(Debugging!C:C=B397),Debugging!H:H)</f>
        <v>#N/A</v>
      </c>
      <c r="G397" s="6" t="e">
        <f>LOOKUP(2,1/(Coding!C:C=B397),Coding!H:H)</f>
        <v>#N/A</v>
      </c>
      <c r="H397" s="8" t="e">
        <f>E397+F397+G397</f>
        <v>#N/A</v>
      </c>
      <c r="I397" s="4" t="str">
        <f>IF(J397&lt;&gt;"Complete","Not Active",IF(H397&gt;=75,"Good",IF(H397&gt;=50,"Satisfactory",IF(H397&gt;=25,"Need Attention","Intervention"))))</f>
        <v>Not Active</v>
      </c>
      <c r="J397" s="4" t="str">
        <f>IF(COUNTIF(E397:G397,"#N/A")=3,"Not Attempted",IF(OR(ISNA(E397),ISNA(F397),ISNA(G397)),"NotCompleted","Complete"))</f>
        <v>Not Attempted</v>
      </c>
    </row>
    <row r="398" spans="1:10" ht="15.6" x14ac:dyDescent="0.3">
      <c r="A398" s="17" t="s">
        <v>5487</v>
      </c>
      <c r="B398" s="20" t="s">
        <v>619</v>
      </c>
      <c r="C398" s="20" t="s">
        <v>6781</v>
      </c>
      <c r="D398" s="2" t="s">
        <v>55</v>
      </c>
      <c r="E398" s="6" t="str">
        <f>LOOKUP(2,1/(MCQ!C:C=B398),MCQ!H:H)</f>
        <v>25.00</v>
      </c>
      <c r="F398" s="6" t="str">
        <f>LOOKUP(2,1/(Debugging!C:C=B398),Debugging!H:H)</f>
        <v>42.00</v>
      </c>
      <c r="G398" s="6" t="str">
        <f>LOOKUP(2,1/(Coding!C:C=B398),Coding!H:H)</f>
        <v>25.00</v>
      </c>
      <c r="H398" s="8">
        <f>E398+F398+G398</f>
        <v>92</v>
      </c>
      <c r="I398" s="4" t="str">
        <f>IF(J398&lt;&gt;"Complete","Not Active",IF(H398&gt;=75,"Good",IF(H398&gt;=50,"Satisfactory",IF(H398&gt;=25,"Need Attention","Intervention"))))</f>
        <v>Good</v>
      </c>
      <c r="J398" s="4" t="str">
        <f>IF(COUNTIF(E398:G398,"#N/A")=3,"Not Attempted",IF(OR(ISNA(E398),ISNA(F398),ISNA(G398)),"NotCompleted","Complete"))</f>
        <v>Complete</v>
      </c>
    </row>
    <row r="399" spans="1:10" ht="15.6" x14ac:dyDescent="0.3">
      <c r="A399" s="17" t="s">
        <v>5487</v>
      </c>
      <c r="B399" s="20" t="s">
        <v>6436</v>
      </c>
      <c r="C399" s="20" t="s">
        <v>6782</v>
      </c>
      <c r="D399" s="2" t="s">
        <v>8</v>
      </c>
      <c r="E399" s="6" t="e">
        <f>LOOKUP(2,1/(MCQ!C:C=B399),MCQ!H:H)</f>
        <v>#N/A</v>
      </c>
      <c r="F399" s="6" t="e">
        <f>LOOKUP(2,1/(Debugging!C:C=B399),Debugging!H:H)</f>
        <v>#N/A</v>
      </c>
      <c r="G399" s="6" t="e">
        <f>LOOKUP(2,1/(Coding!C:C=B399),Coding!H:H)</f>
        <v>#N/A</v>
      </c>
      <c r="H399" s="8" t="e">
        <f>E399+F399+G399</f>
        <v>#N/A</v>
      </c>
      <c r="I399" s="4" t="str">
        <f>IF(J399&lt;&gt;"Complete","Not Active",IF(H399&gt;=75,"Good",IF(H399&gt;=50,"Satisfactory",IF(H399&gt;=25,"Need Attention","Intervention"))))</f>
        <v>Not Active</v>
      </c>
      <c r="J399" s="4" t="str">
        <f>IF(COUNTIF(E399:G399,"#N/A")=3,"Not Attempted",IF(OR(ISNA(E399),ISNA(F399),ISNA(G399)),"NotCompleted","Complete"))</f>
        <v>Not Attempted</v>
      </c>
    </row>
    <row r="400" spans="1:10" ht="15.6" x14ac:dyDescent="0.3">
      <c r="A400" s="17" t="s">
        <v>5487</v>
      </c>
      <c r="B400" s="20" t="s">
        <v>621</v>
      </c>
      <c r="C400" s="20" t="s">
        <v>6783</v>
      </c>
      <c r="D400" s="2" t="s">
        <v>31</v>
      </c>
      <c r="E400" s="6" t="str">
        <f>LOOKUP(2,1/(MCQ!C:C=B400),MCQ!H:H)</f>
        <v>22.00</v>
      </c>
      <c r="F400" s="6" t="e">
        <f>LOOKUP(2,1/(Coding!B:B=A400),Coding!G:G)</f>
        <v>#N/A</v>
      </c>
      <c r="G400" s="6" t="str">
        <f>LOOKUP(2,1/(Coding!C:C=B400),Coding!H:H)</f>
        <v>25.00</v>
      </c>
      <c r="H400" s="8" t="e">
        <f>E400+F400+G400</f>
        <v>#N/A</v>
      </c>
      <c r="I400" s="4" t="str">
        <f>IF(J400&lt;&gt;"Complete","Not Active",IF(H400&gt;=75,"Good",IF(H400&gt;=50,"Satisfactory",IF(H400&gt;=25,"Need Attention","Intervention"))))</f>
        <v>Not Active</v>
      </c>
      <c r="J400" s="4" t="str">
        <f>IF(COUNTIF(E400:G400,"#N/A")=3,"Not Attempted",IF(OR(ISNA(E400),ISNA(F400),ISNA(G400)),"NotCompleted","Complete"))</f>
        <v>NotCompleted</v>
      </c>
    </row>
    <row r="401" spans="1:10" ht="15.6" x14ac:dyDescent="0.3">
      <c r="A401" s="17" t="s">
        <v>5487</v>
      </c>
      <c r="B401" s="20" t="s">
        <v>6437</v>
      </c>
      <c r="C401" s="20" t="s">
        <v>6784</v>
      </c>
      <c r="D401" s="2" t="s">
        <v>390</v>
      </c>
      <c r="E401" s="6" t="e">
        <f>LOOKUP(2,1/(MCQ!C:C=B401),MCQ!H:H)</f>
        <v>#N/A</v>
      </c>
      <c r="F401" s="6" t="e">
        <f>LOOKUP(2,1/(Debugging!C:C=B401),Debugging!H:H)</f>
        <v>#N/A</v>
      </c>
      <c r="G401" s="6" t="e">
        <f>LOOKUP(2,1/(Coding!C:C=B401),Coding!H:H)</f>
        <v>#N/A</v>
      </c>
      <c r="H401" s="8" t="e">
        <f>E401+F401+G401</f>
        <v>#N/A</v>
      </c>
      <c r="I401" s="4" t="str">
        <f>IF(J401&lt;&gt;"Complete","Not Active",IF(H401&gt;=75,"Good",IF(H401&gt;=50,"Satisfactory",IF(H401&gt;=25,"Need Attention","Intervention"))))</f>
        <v>Not Active</v>
      </c>
      <c r="J401" s="4" t="str">
        <f>IF(COUNTIF(E401:G401,"#N/A")=3,"Not Attempted",IF(OR(ISNA(E401),ISNA(F401),ISNA(G401)),"NotCompleted","Complete"))</f>
        <v>Not Attempted</v>
      </c>
    </row>
    <row r="402" spans="1:10" ht="15.6" x14ac:dyDescent="0.3">
      <c r="A402" s="17" t="s">
        <v>5487</v>
      </c>
      <c r="B402" s="20" t="s">
        <v>624</v>
      </c>
      <c r="C402" s="20" t="s">
        <v>6785</v>
      </c>
      <c r="D402" s="2" t="s">
        <v>170</v>
      </c>
      <c r="E402" s="6" t="str">
        <f>LOOKUP(2,1/(MCQ!C:C=B402),MCQ!H:H)</f>
        <v>25.00</v>
      </c>
      <c r="F402" s="6" t="str">
        <f>LOOKUP(2,1/(Debugging!C:C=B402),Debugging!H:H)</f>
        <v>39.00</v>
      </c>
      <c r="G402" s="6" t="str">
        <f>LOOKUP(2,1/(Coding!C:C=B402),Coding!H:H)</f>
        <v>23.50</v>
      </c>
      <c r="H402" s="8">
        <f>E402+F402+G402</f>
        <v>87.5</v>
      </c>
      <c r="I402" s="4" t="str">
        <f>IF(J402&lt;&gt;"Complete","Not Active",IF(H402&gt;=75,"Good",IF(H402&gt;=50,"Satisfactory",IF(H402&gt;=25,"Need Attention","Intervention"))))</f>
        <v>Good</v>
      </c>
      <c r="J402" s="4" t="str">
        <f>IF(COUNTIF(E402:G402,"#N/A")=3,"Not Attempted",IF(OR(ISNA(E402),ISNA(F402),ISNA(G402)),"NotCompleted","Complete"))</f>
        <v>Complete</v>
      </c>
    </row>
    <row r="403" spans="1:10" ht="15.6" x14ac:dyDescent="0.3">
      <c r="A403" s="17" t="s">
        <v>5487</v>
      </c>
      <c r="B403" s="20" t="s">
        <v>626</v>
      </c>
      <c r="C403" s="20" t="s">
        <v>6786</v>
      </c>
      <c r="D403" s="2" t="s">
        <v>11</v>
      </c>
      <c r="E403" s="6" t="str">
        <f>LOOKUP(2,1/(MCQ!C:C=B403),MCQ!H:H)</f>
        <v>21.00</v>
      </c>
      <c r="F403" s="6" t="e">
        <f>LOOKUP(2,1/(Coding!B:B=A403),Coding!G:G)</f>
        <v>#N/A</v>
      </c>
      <c r="G403" s="6" t="str">
        <f>LOOKUP(2,1/(Coding!C:C=B403),Coding!H:H)</f>
        <v>25.00</v>
      </c>
      <c r="H403" s="8" t="e">
        <f>E403+F403+G403</f>
        <v>#N/A</v>
      </c>
      <c r="I403" s="4" t="str">
        <f>IF(J403&lt;&gt;"Complete","Not Active",IF(H403&gt;=75,"Good",IF(H403&gt;=50,"Satisfactory",IF(H403&gt;=25,"Need Attention","Intervention"))))</f>
        <v>Not Active</v>
      </c>
      <c r="J403" s="4" t="str">
        <f>IF(COUNTIF(E403:G403,"#N/A")=3,"Not Attempted",IF(OR(ISNA(E403),ISNA(F403),ISNA(G403)),"NotCompleted","Complete"))</f>
        <v>NotCompleted</v>
      </c>
    </row>
    <row r="404" spans="1:10" ht="15.6" x14ac:dyDescent="0.3">
      <c r="A404" s="17" t="s">
        <v>5487</v>
      </c>
      <c r="B404" s="20" t="s">
        <v>5917</v>
      </c>
      <c r="C404" s="20" t="s">
        <v>6787</v>
      </c>
      <c r="D404" s="2" t="s">
        <v>397</v>
      </c>
      <c r="E404" s="6" t="str">
        <f>LOOKUP(2,1/(MCQ!C:C=B404),MCQ!H:H)</f>
        <v>23.00</v>
      </c>
      <c r="F404" s="6" t="e">
        <f>LOOKUP(2,1/(Coding!B:B=A404),Coding!G:G)</f>
        <v>#N/A</v>
      </c>
      <c r="G404" s="6" t="e">
        <f>LOOKUP(2,1/(Coding!C:C=B404),Coding!H:H)</f>
        <v>#N/A</v>
      </c>
      <c r="H404" s="8" t="e">
        <f>E404+F404+G404</f>
        <v>#N/A</v>
      </c>
      <c r="I404" s="4" t="str">
        <f>IF(J404&lt;&gt;"Complete","Not Active",IF(H404&gt;=75,"Good",IF(H404&gt;=50,"Satisfactory",IF(H404&gt;=25,"Need Attention","Intervention"))))</f>
        <v>Not Active</v>
      </c>
      <c r="J404" s="4" t="str">
        <f>IF(COUNTIF(E404:G404,"#N/A")=3,"Not Attempted",IF(OR(ISNA(E404),ISNA(F404),ISNA(G404)),"NotCompleted","Complete"))</f>
        <v>NotCompleted</v>
      </c>
    </row>
    <row r="405" spans="1:10" ht="15.6" x14ac:dyDescent="0.3">
      <c r="A405" s="17" t="s">
        <v>5487</v>
      </c>
      <c r="B405" s="20" t="s">
        <v>6438</v>
      </c>
      <c r="C405" s="20" t="s">
        <v>6788</v>
      </c>
      <c r="D405" s="2" t="s">
        <v>337</v>
      </c>
      <c r="E405" s="6" t="e">
        <f>LOOKUP(2,1/(MCQ!C:C=B405),MCQ!H:H)</f>
        <v>#N/A</v>
      </c>
      <c r="F405" s="6" t="e">
        <f>LOOKUP(2,1/(Debugging!C:C=B405),Debugging!H:H)</f>
        <v>#N/A</v>
      </c>
      <c r="G405" s="6" t="e">
        <f>LOOKUP(2,1/(Coding!C:C=B405),Coding!H:H)</f>
        <v>#N/A</v>
      </c>
      <c r="H405" s="8" t="e">
        <f>E405+F405+G405</f>
        <v>#N/A</v>
      </c>
      <c r="I405" s="4" t="str">
        <f>IF(J405&lt;&gt;"Complete","Not Active",IF(H405&gt;=75,"Good",IF(H405&gt;=50,"Satisfactory",IF(H405&gt;=25,"Need Attention","Intervention"))))</f>
        <v>Not Active</v>
      </c>
      <c r="J405" s="4" t="str">
        <f>IF(COUNTIF(E405:G405,"#N/A")=3,"Not Attempted",IF(OR(ISNA(E405),ISNA(F405),ISNA(G405)),"NotCompleted","Complete"))</f>
        <v>Not Attempted</v>
      </c>
    </row>
    <row r="406" spans="1:10" ht="15.6" x14ac:dyDescent="0.3">
      <c r="A406" s="17" t="s">
        <v>5487</v>
      </c>
      <c r="B406" s="20" t="s">
        <v>628</v>
      </c>
      <c r="C406" s="20" t="s">
        <v>6789</v>
      </c>
      <c r="D406" s="2" t="s">
        <v>19</v>
      </c>
      <c r="E406" s="6" t="str">
        <f>LOOKUP(2,1/(MCQ!C:C=B406),MCQ!H:H)</f>
        <v>24.00</v>
      </c>
      <c r="F406" s="6" t="str">
        <f>LOOKUP(2,1/(Debugging!C:C=B406),Debugging!H:H)</f>
        <v>40.00</v>
      </c>
      <c r="G406" s="6" t="str">
        <f>LOOKUP(2,1/(Coding!C:C=B406),Coding!H:H)</f>
        <v>13.00</v>
      </c>
      <c r="H406" s="8">
        <f>E406+F406+G406</f>
        <v>77</v>
      </c>
      <c r="I406" s="4" t="str">
        <f>IF(J406&lt;&gt;"Complete","Not Active",IF(H406&gt;=75,"Good",IF(H406&gt;=50,"Satisfactory",IF(H406&gt;=25,"Need Attention","Intervention"))))</f>
        <v>Good</v>
      </c>
      <c r="J406" s="4" t="str">
        <f>IF(COUNTIF(E406:G406,"#N/A")=3,"Not Attempted",IF(OR(ISNA(E406),ISNA(F406),ISNA(G406)),"NotCompleted","Complete"))</f>
        <v>Complete</v>
      </c>
    </row>
    <row r="407" spans="1:10" ht="15.6" x14ac:dyDescent="0.3">
      <c r="A407" s="17" t="s">
        <v>5487</v>
      </c>
      <c r="B407" s="20" t="s">
        <v>630</v>
      </c>
      <c r="C407" s="20" t="s">
        <v>6790</v>
      </c>
      <c r="D407" s="2" t="s">
        <v>8</v>
      </c>
      <c r="E407" s="6" t="str">
        <f>LOOKUP(2,1/(MCQ!C:C=B407),MCQ!H:H)</f>
        <v>21.00</v>
      </c>
      <c r="F407" s="6" t="str">
        <f>LOOKUP(2,1/(Debugging!C:C=B407),Debugging!H:H)</f>
        <v>45.00</v>
      </c>
      <c r="G407" s="6" t="str">
        <f>LOOKUP(2,1/(Coding!C:C=B407),Coding!H:H)</f>
        <v>25.00</v>
      </c>
      <c r="H407" s="8">
        <f>E407+F407+G407</f>
        <v>91</v>
      </c>
      <c r="I407" s="4" t="str">
        <f>IF(J407&lt;&gt;"Complete","Not Active",IF(H407&gt;=75,"Good",IF(H407&gt;=50,"Satisfactory",IF(H407&gt;=25,"Need Attention","Intervention"))))</f>
        <v>Good</v>
      </c>
      <c r="J407" s="4" t="str">
        <f>IF(COUNTIF(E407:G407,"#N/A")=3,"Not Attempted",IF(OR(ISNA(E407),ISNA(F407),ISNA(G407)),"NotCompleted","Complete"))</f>
        <v>Complete</v>
      </c>
    </row>
    <row r="408" spans="1:10" ht="15.6" x14ac:dyDescent="0.3">
      <c r="A408" s="17" t="s">
        <v>5487</v>
      </c>
      <c r="B408" s="20" t="s">
        <v>632</v>
      </c>
      <c r="C408" s="20" t="s">
        <v>6791</v>
      </c>
      <c r="D408" s="2" t="s">
        <v>84</v>
      </c>
      <c r="E408" s="6" t="str">
        <f>LOOKUP(2,1/(MCQ!C:C=B408),MCQ!H:H)</f>
        <v>23.00</v>
      </c>
      <c r="F408" s="6" t="str">
        <f>LOOKUP(2,1/(Debugging!C:C=B408),Debugging!H:H)</f>
        <v>42.00</v>
      </c>
      <c r="G408" s="6" t="str">
        <f>LOOKUP(2,1/(Coding!C:C=B408),Coding!H:H)</f>
        <v>16.00</v>
      </c>
      <c r="H408" s="8">
        <f>E408+F408+G408</f>
        <v>81</v>
      </c>
      <c r="I408" s="4" t="str">
        <f>IF(J408&lt;&gt;"Complete","Not Active",IF(H408&gt;=75,"Good",IF(H408&gt;=50,"Satisfactory",IF(H408&gt;=25,"Need Attention","Intervention"))))</f>
        <v>Good</v>
      </c>
      <c r="J408" s="4" t="str">
        <f>IF(COUNTIF(E408:G408,"#N/A")=3,"Not Attempted",IF(OR(ISNA(E408),ISNA(F408),ISNA(G408)),"NotCompleted","Complete"))</f>
        <v>Complete</v>
      </c>
    </row>
    <row r="409" spans="1:10" ht="15.6" x14ac:dyDescent="0.3">
      <c r="A409" s="17" t="s">
        <v>5487</v>
      </c>
      <c r="B409" s="20" t="s">
        <v>635</v>
      </c>
      <c r="C409" s="20" t="s">
        <v>6792</v>
      </c>
      <c r="D409" s="2" t="s">
        <v>8</v>
      </c>
      <c r="E409" s="6" t="str">
        <f>LOOKUP(2,1/(MCQ!C:C=B409),MCQ!H:H)</f>
        <v>17.00</v>
      </c>
      <c r="F409" s="6" t="str">
        <f>LOOKUP(2,1/(Debugging!C:C=B409),Debugging!H:H)</f>
        <v>40.00</v>
      </c>
      <c r="G409" s="6" t="str">
        <f>LOOKUP(2,1/(Coding!C:C=B409),Coding!H:H)</f>
        <v>22.00</v>
      </c>
      <c r="H409" s="8">
        <f>E409+F409+G409</f>
        <v>79</v>
      </c>
      <c r="I409" s="4" t="str">
        <f>IF(J409&lt;&gt;"Complete","Not Active",IF(H409&gt;=75,"Good",IF(H409&gt;=50,"Satisfactory",IF(H409&gt;=25,"Need Attention","Intervention"))))</f>
        <v>Good</v>
      </c>
      <c r="J409" s="4" t="str">
        <f>IF(COUNTIF(E409:G409,"#N/A")=3,"Not Attempted",IF(OR(ISNA(E409),ISNA(F409),ISNA(G409)),"NotCompleted","Complete"))</f>
        <v>Complete</v>
      </c>
    </row>
    <row r="410" spans="1:10" ht="15.6" x14ac:dyDescent="0.3">
      <c r="A410" s="17" t="s">
        <v>5487</v>
      </c>
      <c r="B410" s="20" t="s">
        <v>637</v>
      </c>
      <c r="C410" s="20" t="s">
        <v>6793</v>
      </c>
      <c r="D410" s="2" t="s">
        <v>42</v>
      </c>
      <c r="E410" s="6" t="str">
        <f>LOOKUP(2,1/(MCQ!C:C=B410),MCQ!H:H)</f>
        <v>16.00</v>
      </c>
      <c r="F410" s="6" t="str">
        <f>LOOKUP(2,1/(Debugging!C:C=B410),Debugging!H:H)</f>
        <v>4.00</v>
      </c>
      <c r="G410" s="6" t="str">
        <f>LOOKUP(2,1/(Coding!C:C=B410),Coding!H:H)</f>
        <v>0.00</v>
      </c>
      <c r="H410" s="8">
        <f>E410+F410+G410</f>
        <v>20</v>
      </c>
      <c r="I410" s="4" t="str">
        <f>IF(J410&lt;&gt;"Complete","Not Active",IF(H410&gt;=75,"Good",IF(H410&gt;=50,"Satisfactory",IF(H410&gt;=25,"Need Attention","Intervention"))))</f>
        <v>Intervention</v>
      </c>
      <c r="J410" s="4" t="str">
        <f>IF(COUNTIF(E410:G410,"#N/A")=3,"Not Attempted",IF(OR(ISNA(E410),ISNA(F410),ISNA(G410)),"NotCompleted","Complete"))</f>
        <v>Complete</v>
      </c>
    </row>
    <row r="411" spans="1:10" ht="15.6" x14ac:dyDescent="0.3">
      <c r="A411" s="17" t="s">
        <v>5487</v>
      </c>
      <c r="B411" s="20" t="s">
        <v>639</v>
      </c>
      <c r="C411" s="20" t="s">
        <v>6794</v>
      </c>
      <c r="D411" s="2" t="s">
        <v>412</v>
      </c>
      <c r="E411" s="6" t="str">
        <f>LOOKUP(2,1/(MCQ!C:C=B411),MCQ!H:H)</f>
        <v>22.00</v>
      </c>
      <c r="F411" s="6" t="str">
        <f>LOOKUP(2,1/(Debugging!C:C=B411),Debugging!H:H)</f>
        <v>50.00</v>
      </c>
      <c r="G411" s="6" t="e">
        <f>LOOKUP(2,1/(Coding!C:C=B411),Coding!H:H)</f>
        <v>#N/A</v>
      </c>
      <c r="H411" s="8" t="e">
        <f>E411+F411+G411</f>
        <v>#N/A</v>
      </c>
      <c r="I411" s="4" t="str">
        <f>IF(J411&lt;&gt;"Complete","Not Active",IF(H411&gt;=75,"Good",IF(H411&gt;=50,"Satisfactory",IF(H411&gt;=25,"Need Attention","Intervention"))))</f>
        <v>Not Active</v>
      </c>
      <c r="J411" s="4" t="str">
        <f>IF(COUNTIF(E411:G411,"#N/A")=3,"Not Attempted",IF(OR(ISNA(E411),ISNA(F411),ISNA(G411)),"NotCompleted","Complete"))</f>
        <v>NotCompleted</v>
      </c>
    </row>
    <row r="412" spans="1:10" ht="15.6" x14ac:dyDescent="0.3">
      <c r="A412" s="17" t="s">
        <v>5487</v>
      </c>
      <c r="B412" s="20" t="s">
        <v>6439</v>
      </c>
      <c r="C412" s="20" t="s">
        <v>6795</v>
      </c>
      <c r="D412" s="2" t="s">
        <v>19</v>
      </c>
      <c r="E412" s="6" t="e">
        <f>LOOKUP(2,1/(MCQ!C:C=B412),MCQ!H:H)</f>
        <v>#N/A</v>
      </c>
      <c r="F412" s="6" t="e">
        <f>LOOKUP(2,1/(Debugging!C:C=B412),Debugging!H:H)</f>
        <v>#N/A</v>
      </c>
      <c r="G412" s="6" t="e">
        <f>LOOKUP(2,1/(Coding!C:C=B412),Coding!H:H)</f>
        <v>#N/A</v>
      </c>
      <c r="H412" s="8" t="e">
        <f>E412+F412+G412</f>
        <v>#N/A</v>
      </c>
      <c r="I412" s="4" t="str">
        <f>IF(J412&lt;&gt;"Complete","Not Active",IF(H412&gt;=75,"Good",IF(H412&gt;=50,"Satisfactory",IF(H412&gt;=25,"Need Attention","Intervention"))))</f>
        <v>Not Active</v>
      </c>
      <c r="J412" s="4" t="str">
        <f>IF(COUNTIF(E412:G412,"#N/A")=3,"Not Attempted",IF(OR(ISNA(E412),ISNA(F412),ISNA(G412)),"NotCompleted","Complete"))</f>
        <v>Not Attempted</v>
      </c>
    </row>
    <row r="413" spans="1:10" ht="15.6" x14ac:dyDescent="0.3">
      <c r="A413" s="17" t="s">
        <v>5487</v>
      </c>
      <c r="B413" s="20" t="s">
        <v>641</v>
      </c>
      <c r="C413" s="20" t="s">
        <v>6796</v>
      </c>
      <c r="D413" s="2" t="s">
        <v>22</v>
      </c>
      <c r="E413" s="6" t="str">
        <f>LOOKUP(2,1/(MCQ!C:C=B413),MCQ!H:H)</f>
        <v>24.00</v>
      </c>
      <c r="F413" s="6" t="e">
        <f>LOOKUP(2,1/(Debugging!C:C=B413),Debugging!H:H)</f>
        <v>#N/A</v>
      </c>
      <c r="G413" s="6" t="e">
        <f>LOOKUP(2,1/(Coding!C:C=B413),Coding!H:H)</f>
        <v>#N/A</v>
      </c>
      <c r="H413" s="8" t="e">
        <f>E413+F413+G413</f>
        <v>#N/A</v>
      </c>
      <c r="I413" s="4" t="str">
        <f>IF(J413&lt;&gt;"Complete","Not Active",IF(H413&gt;=75,"Good",IF(H413&gt;=50,"Satisfactory",IF(H413&gt;=25,"Need Attention","Intervention"))))</f>
        <v>Not Active</v>
      </c>
      <c r="J413" s="4" t="str">
        <f>IF(COUNTIF(E413:G413,"#N/A")=3,"Not Attempted",IF(OR(ISNA(E413),ISNA(F413),ISNA(G413)),"NotCompleted","Complete"))</f>
        <v>NotCompleted</v>
      </c>
    </row>
    <row r="414" spans="1:10" ht="15.6" x14ac:dyDescent="0.3">
      <c r="A414" s="17" t="s">
        <v>5487</v>
      </c>
      <c r="B414" s="20" t="s">
        <v>643</v>
      </c>
      <c r="C414" s="20" t="s">
        <v>6797</v>
      </c>
      <c r="D414" s="2" t="s">
        <v>49</v>
      </c>
      <c r="E414" s="6" t="e">
        <f>LOOKUP(2,1/(MCQ!C:C=B414),MCQ!H:H)</f>
        <v>#N/A</v>
      </c>
      <c r="F414" s="6" t="e">
        <f>LOOKUP(2,1/(Debugging!C:C=B414),Debugging!H:H)</f>
        <v>#N/A</v>
      </c>
      <c r="G414" s="6" t="e">
        <v>#N/A</v>
      </c>
      <c r="H414" s="8" t="e">
        <f>E414+F414+G414</f>
        <v>#N/A</v>
      </c>
      <c r="I414" s="4" t="str">
        <f>IF(J414&lt;&gt;"Complete","Not Active",IF(H414&gt;=75,"Good",IF(H414&gt;=50,"Satisfactory",IF(H414&gt;=25,"Need Attention","Intervention"))))</f>
        <v>Not Active</v>
      </c>
      <c r="J414" s="4" t="str">
        <f>IF(COUNTIF(E414:G414,"#N/A")=3,"Not Attempted",IF(OR(ISNA(E414),ISNA(F414),ISNA(G414)),"NotCompleted","Complete"))</f>
        <v>Not Attempted</v>
      </c>
    </row>
    <row r="415" spans="1:10" ht="15.6" x14ac:dyDescent="0.3">
      <c r="A415" s="17" t="s">
        <v>5487</v>
      </c>
      <c r="B415" s="20" t="s">
        <v>5928</v>
      </c>
      <c r="C415" s="20" t="s">
        <v>5933</v>
      </c>
      <c r="D415" s="2" t="s">
        <v>55</v>
      </c>
      <c r="E415" s="6" t="str">
        <f>LOOKUP(2,1/(MCQ!C:C=B415),MCQ!H:H)</f>
        <v>22.00</v>
      </c>
      <c r="F415" s="6" t="e">
        <f>LOOKUP(2,1/(Debugging!C:C=B415),Debugging!H:H)</f>
        <v>#N/A</v>
      </c>
      <c r="G415" s="6" t="e">
        <f>LOOKUP(2,1/(Coding!C:C=B415),Coding!H:H)</f>
        <v>#N/A</v>
      </c>
      <c r="H415" s="8" t="e">
        <f>E415+F415+G415</f>
        <v>#N/A</v>
      </c>
      <c r="I415" s="4" t="str">
        <f>IF(J415&lt;&gt;"Complete","Not Active",IF(H415&gt;=75,"Good",IF(H415&gt;=50,"Satisfactory",IF(H415&gt;=25,"Need Attention","Intervention"))))</f>
        <v>Not Active</v>
      </c>
      <c r="J415" s="4" t="str">
        <f>IF(COUNTIF(E415:G415,"#N/A")=3,"Not Attempted",IF(OR(ISNA(E415),ISNA(F415),ISNA(G415)),"NotCompleted","Complete"))</f>
        <v>NotCompleted</v>
      </c>
    </row>
    <row r="416" spans="1:10" ht="15.6" x14ac:dyDescent="0.3">
      <c r="A416" s="17" t="s">
        <v>5487</v>
      </c>
      <c r="B416" s="20" t="s">
        <v>6440</v>
      </c>
      <c r="C416" s="20" t="s">
        <v>6798</v>
      </c>
      <c r="D416" s="2" t="s">
        <v>25</v>
      </c>
      <c r="E416" s="6" t="e">
        <f>LOOKUP(2,1/(MCQ!C:C=B416),MCQ!H:H)</f>
        <v>#N/A</v>
      </c>
      <c r="F416" s="6" t="e">
        <f>LOOKUP(2,1/(Debugging!C:C=B416),Debugging!H:H)</f>
        <v>#N/A</v>
      </c>
      <c r="G416" s="6" t="e">
        <f>LOOKUP(2,1/(Coding!C:C=B416),Coding!H:H)</f>
        <v>#N/A</v>
      </c>
      <c r="H416" s="8" t="e">
        <f>E416+F416+G416</f>
        <v>#N/A</v>
      </c>
      <c r="I416" s="4" t="str">
        <f>IF(J416&lt;&gt;"Complete","Not Active",IF(H416&gt;=75,"Good",IF(H416&gt;=50,"Satisfactory",IF(H416&gt;=25,"Need Attention","Intervention"))))</f>
        <v>Not Active</v>
      </c>
      <c r="J416" s="4" t="str">
        <f>IF(COUNTIF(E416:G416,"#N/A")=3,"Not Attempted",IF(OR(ISNA(E416),ISNA(F416),ISNA(G416)),"NotCompleted","Complete"))</f>
        <v>Not Attempted</v>
      </c>
    </row>
    <row r="417" spans="1:10" ht="15.6" x14ac:dyDescent="0.3">
      <c r="A417" s="18" t="s">
        <v>5487</v>
      </c>
      <c r="B417" s="20" t="s">
        <v>6441</v>
      </c>
      <c r="C417" s="21" t="s">
        <v>6799</v>
      </c>
      <c r="D417" s="2" t="s">
        <v>179</v>
      </c>
      <c r="E417" s="6" t="e">
        <f>LOOKUP(2,1/(MCQ!C:C=B417),MCQ!H:H)</f>
        <v>#N/A</v>
      </c>
      <c r="F417" s="6" t="e">
        <f>LOOKUP(2,1/(Debugging!C:C=B417),Debugging!H:H)</f>
        <v>#N/A</v>
      </c>
      <c r="G417" s="6" t="e">
        <f>LOOKUP(2,1/(Coding!C:C=B417),Coding!H:H)</f>
        <v>#N/A</v>
      </c>
      <c r="H417" s="8" t="e">
        <f>E417+F417+G417</f>
        <v>#N/A</v>
      </c>
      <c r="I417" s="4" t="str">
        <f>IF(J417&lt;&gt;"Complete","Not Active",IF(H417&gt;=75,"Good",IF(H417&gt;=50,"Satisfactory",IF(H417&gt;=25,"Need Attention","Intervention"))))</f>
        <v>Not Active</v>
      </c>
      <c r="J417" s="4" t="str">
        <f>IF(COUNTIF(E417:G417,"#N/A")=3,"Not Attempted",IF(OR(ISNA(E417),ISNA(F417),ISNA(G417)),"NotCompleted","Complete"))</f>
        <v>Not Attempted</v>
      </c>
    </row>
    <row r="418" spans="1:10" ht="15.6" x14ac:dyDescent="0.3">
      <c r="A418" s="18" t="s">
        <v>5487</v>
      </c>
      <c r="B418" s="20" t="s">
        <v>726</v>
      </c>
      <c r="C418" s="21" t="s">
        <v>6800</v>
      </c>
      <c r="D418" s="2" t="s">
        <v>19</v>
      </c>
      <c r="E418" s="6" t="str">
        <f>LOOKUP(2,1/(MCQ!C:C=B418),MCQ!H:H)</f>
        <v>22.00</v>
      </c>
      <c r="F418" s="6" t="str">
        <f>LOOKUP(2,1/(Debugging!C:C=B418),Debugging!H:H)</f>
        <v>46.00</v>
      </c>
      <c r="G418" s="6" t="str">
        <f>LOOKUP(2,1/(Coding!C:C=B418),Coding!H:H)</f>
        <v>22.00</v>
      </c>
      <c r="H418" s="8">
        <f>E418+F418+G418</f>
        <v>90</v>
      </c>
      <c r="I418" s="4" t="str">
        <f>IF(J418&lt;&gt;"Complete","Not Active",IF(H418&gt;=75,"Good",IF(H418&gt;=50,"Satisfactory",IF(H418&gt;=25,"Need Attention","Intervention"))))</f>
        <v>Good</v>
      </c>
      <c r="J418" s="4" t="str">
        <f>IF(COUNTIF(E418:G418,"#N/A")=3,"Not Attempted",IF(OR(ISNA(E418),ISNA(F418),ISNA(G418)),"NotCompleted","Complete"))</f>
        <v>Complete</v>
      </c>
    </row>
    <row r="419" spans="1:10" ht="15.6" x14ac:dyDescent="0.3">
      <c r="A419" s="18" t="s">
        <v>5487</v>
      </c>
      <c r="B419" s="20" t="s">
        <v>6442</v>
      </c>
      <c r="C419" s="21" t="s">
        <v>6801</v>
      </c>
      <c r="D419" s="2" t="s">
        <v>8</v>
      </c>
      <c r="E419" s="6" t="e">
        <f>LOOKUP(2,1/(MCQ!C:C=B419),MCQ!H:H)</f>
        <v>#N/A</v>
      </c>
      <c r="F419" s="6" t="e">
        <f>LOOKUP(2,1/(Debugging!C:C=B419),Debugging!H:H)</f>
        <v>#N/A</v>
      </c>
      <c r="G419" s="6" t="e">
        <f>LOOKUP(2,1/(Coding!C:C=B419),Coding!H:H)</f>
        <v>#N/A</v>
      </c>
      <c r="H419" s="8" t="e">
        <f>E419+F419+G419</f>
        <v>#N/A</v>
      </c>
      <c r="I419" s="4" t="str">
        <f>IF(J419&lt;&gt;"Complete","Not Active",IF(H419&gt;=75,"Good",IF(H419&gt;=50,"Satisfactory",IF(H419&gt;=25,"Need Attention","Intervention"))))</f>
        <v>Not Active</v>
      </c>
      <c r="J419" s="4" t="str">
        <f>IF(COUNTIF(E419:G419,"#N/A")=3,"Not Attempted",IF(OR(ISNA(E419),ISNA(F419),ISNA(G419)),"NotCompleted","Complete"))</f>
        <v>Not Attempted</v>
      </c>
    </row>
    <row r="420" spans="1:10" ht="15.6" x14ac:dyDescent="0.3">
      <c r="A420" s="18" t="s">
        <v>5487</v>
      </c>
      <c r="B420" s="20" t="s">
        <v>6443</v>
      </c>
      <c r="C420" s="21" t="s">
        <v>6802</v>
      </c>
      <c r="D420" s="2" t="s">
        <v>430</v>
      </c>
      <c r="E420" s="6" t="e">
        <f>LOOKUP(2,1/(MCQ!C:C=B420),MCQ!H:H)</f>
        <v>#N/A</v>
      </c>
      <c r="F420" s="6" t="e">
        <f>LOOKUP(2,1/(Debugging!C:C=B420),Debugging!H:H)</f>
        <v>#N/A</v>
      </c>
      <c r="G420" s="6" t="e">
        <f>LOOKUP(2,1/(Coding!C:C=B420),Coding!H:H)</f>
        <v>#N/A</v>
      </c>
      <c r="H420" s="8" t="e">
        <f>E420+F420+G420</f>
        <v>#N/A</v>
      </c>
      <c r="I420" s="4" t="str">
        <f>IF(J420&lt;&gt;"Complete","Not Active",IF(H420&gt;=75,"Good",IF(H420&gt;=50,"Satisfactory",IF(H420&gt;=25,"Need Attention","Intervention"))))</f>
        <v>Not Active</v>
      </c>
      <c r="J420" s="4" t="str">
        <f>IF(COUNTIF(E420:G420,"#N/A")=3,"Not Attempted",IF(OR(ISNA(E420),ISNA(F420),ISNA(G420)),"NotCompleted","Complete"))</f>
        <v>Not Attempted</v>
      </c>
    </row>
    <row r="421" spans="1:10" ht="15.6" x14ac:dyDescent="0.3">
      <c r="A421" s="18" t="s">
        <v>5487</v>
      </c>
      <c r="B421" s="20" t="s">
        <v>728</v>
      </c>
      <c r="C421" s="21" t="s">
        <v>6803</v>
      </c>
      <c r="D421" s="2" t="s">
        <v>71</v>
      </c>
      <c r="E421" s="6" t="str">
        <f>LOOKUP(2,1/(MCQ!C:C=B421),MCQ!H:H)</f>
        <v>25.00</v>
      </c>
      <c r="F421" s="6" t="str">
        <f>LOOKUP(2,1/(Debugging!C:C=B421),Debugging!H:H)</f>
        <v>49.00</v>
      </c>
      <c r="G421" s="6" t="str">
        <f>LOOKUP(2,1/(Coding!C:C=B421),Coding!H:H)</f>
        <v>25.00</v>
      </c>
      <c r="H421" s="8">
        <f>E421+F421+G421</f>
        <v>99</v>
      </c>
      <c r="I421" s="4" t="str">
        <f>IF(J421&lt;&gt;"Complete","Not Active",IF(H421&gt;=75,"Good",IF(H421&gt;=50,"Satisfactory",IF(H421&gt;=25,"Need Attention","Intervention"))))</f>
        <v>Good</v>
      </c>
      <c r="J421" s="4" t="str">
        <f>IF(COUNTIF(E421:G421,"#N/A")=3,"Not Attempted",IF(OR(ISNA(E421),ISNA(F421),ISNA(G421)),"NotCompleted","Complete"))</f>
        <v>Complete</v>
      </c>
    </row>
    <row r="422" spans="1:10" ht="15.6" x14ac:dyDescent="0.3">
      <c r="A422" s="18" t="s">
        <v>5487</v>
      </c>
      <c r="B422" s="20" t="s">
        <v>6444</v>
      </c>
      <c r="C422" s="21" t="s">
        <v>6804</v>
      </c>
      <c r="D422" s="2" t="s">
        <v>31</v>
      </c>
      <c r="E422" s="6" t="e">
        <f>LOOKUP(2,1/(MCQ!C:C=B422),MCQ!H:H)</f>
        <v>#N/A</v>
      </c>
      <c r="F422" s="6" t="e">
        <f>LOOKUP(2,1/(Debugging!C:C=B422),Debugging!H:H)</f>
        <v>#N/A</v>
      </c>
      <c r="G422" s="6" t="e">
        <f>LOOKUP(2,1/(Coding!C:C=B422),Coding!H:H)</f>
        <v>#N/A</v>
      </c>
      <c r="H422" s="8" t="e">
        <f>E422+F422+G422</f>
        <v>#N/A</v>
      </c>
      <c r="I422" s="4" t="str">
        <f>IF(J422&lt;&gt;"Complete","Not Active",IF(H422&gt;=75,"Good",IF(H422&gt;=50,"Satisfactory",IF(H422&gt;=25,"Need Attention","Intervention"))))</f>
        <v>Not Active</v>
      </c>
      <c r="J422" s="4" t="str">
        <f>IF(COUNTIF(E422:G422,"#N/A")=3,"Not Attempted",IF(OR(ISNA(E422),ISNA(F422),ISNA(G422)),"NotCompleted","Complete"))</f>
        <v>Not Attempted</v>
      </c>
    </row>
    <row r="423" spans="1:10" ht="15.6" x14ac:dyDescent="0.3">
      <c r="A423" s="18" t="s">
        <v>5487</v>
      </c>
      <c r="B423" s="20" t="s">
        <v>6445</v>
      </c>
      <c r="C423" s="21" t="s">
        <v>6805</v>
      </c>
      <c r="D423" s="2" t="s">
        <v>25</v>
      </c>
      <c r="E423" s="6" t="e">
        <f>LOOKUP(2,1/(MCQ!C:C=B423),MCQ!H:H)</f>
        <v>#N/A</v>
      </c>
      <c r="F423" s="6" t="e">
        <f>LOOKUP(2,1/(Debugging!C:C=B423),Debugging!H:H)</f>
        <v>#N/A</v>
      </c>
      <c r="G423" s="6" t="e">
        <f>LOOKUP(2,1/(Coding!C:C=B423),Coding!H:H)</f>
        <v>#N/A</v>
      </c>
      <c r="H423" s="8" t="e">
        <f>E423+F423+G423</f>
        <v>#N/A</v>
      </c>
      <c r="I423" s="4" t="str">
        <f>IF(J423&lt;&gt;"Complete","Not Active",IF(H423&gt;=75,"Good",IF(H423&gt;=50,"Satisfactory",IF(H423&gt;=25,"Need Attention","Intervention"))))</f>
        <v>Not Active</v>
      </c>
      <c r="J423" s="4" t="str">
        <f>IF(COUNTIF(E423:G423,"#N/A")=3,"Not Attempted",IF(OR(ISNA(E423),ISNA(F423),ISNA(G423)),"NotCompleted","Complete"))</f>
        <v>Not Attempted</v>
      </c>
    </row>
    <row r="424" spans="1:10" ht="15.6" x14ac:dyDescent="0.3">
      <c r="A424" s="17" t="s">
        <v>5487</v>
      </c>
      <c r="B424" s="20" t="s">
        <v>6446</v>
      </c>
      <c r="C424" s="20" t="s">
        <v>6806</v>
      </c>
      <c r="D424" s="2" t="s">
        <v>8</v>
      </c>
      <c r="E424" s="6" t="e">
        <f>LOOKUP(2,1/(MCQ!C:C=B424),MCQ!H:H)</f>
        <v>#N/A</v>
      </c>
      <c r="F424" s="6" t="e">
        <f>LOOKUP(2,1/(Debugging!C:C=B424),Debugging!H:H)</f>
        <v>#N/A</v>
      </c>
      <c r="G424" s="6" t="e">
        <f>LOOKUP(2,1/(Coding!C:C=B424),Coding!H:H)</f>
        <v>#N/A</v>
      </c>
      <c r="H424" s="8" t="e">
        <f>E424+F424+G424</f>
        <v>#N/A</v>
      </c>
      <c r="I424" s="4" t="str">
        <f>IF(J424&lt;&gt;"Complete","Not Active",IF(H424&gt;=75,"Good",IF(H424&gt;=50,"Satisfactory",IF(H424&gt;=25,"Need Attention","Intervention"))))</f>
        <v>Not Active</v>
      </c>
      <c r="J424" s="4" t="str">
        <f>IF(COUNTIF(E424:G424,"#N/A")=3,"Not Attempted",IF(OR(ISNA(E424),ISNA(F424),ISNA(G424)),"NotCompleted","Complete"))</f>
        <v>Not Attempted</v>
      </c>
    </row>
    <row r="425" spans="1:10" ht="15.6" x14ac:dyDescent="0.3">
      <c r="A425" s="17" t="s">
        <v>5487</v>
      </c>
      <c r="B425" s="20" t="s">
        <v>6447</v>
      </c>
      <c r="C425" s="20" t="s">
        <v>6807</v>
      </c>
      <c r="D425" s="2" t="s">
        <v>170</v>
      </c>
      <c r="E425" s="6" t="e">
        <f>LOOKUP(2,1/(MCQ!C:C=B425),MCQ!H:H)</f>
        <v>#N/A</v>
      </c>
      <c r="F425" s="6" t="e">
        <f>LOOKUP(2,1/(Debugging!C:C=B425),Debugging!H:H)</f>
        <v>#N/A</v>
      </c>
      <c r="G425" s="6" t="e">
        <f>LOOKUP(2,1/(Coding!C:C=B425),Coding!H:H)</f>
        <v>#N/A</v>
      </c>
      <c r="H425" s="8" t="e">
        <f>E425+F425+G425</f>
        <v>#N/A</v>
      </c>
      <c r="I425" s="4" t="str">
        <f>IF(J425&lt;&gt;"Complete","Not Active",IF(H425&gt;=75,"Good",IF(H425&gt;=50,"Satisfactory",IF(H425&gt;=25,"Need Attention","Intervention"))))</f>
        <v>Not Active</v>
      </c>
      <c r="J425" s="4" t="str">
        <f>IF(COUNTIF(E425:G425,"#N/A")=3,"Not Attempted",IF(OR(ISNA(E425),ISNA(F425),ISNA(G425)),"NotCompleted","Complete"))</f>
        <v>Not Attempted</v>
      </c>
    </row>
    <row r="426" spans="1:10" ht="15.6" x14ac:dyDescent="0.3">
      <c r="A426" s="17" t="s">
        <v>5487</v>
      </c>
      <c r="B426" s="20" t="s">
        <v>645</v>
      </c>
      <c r="C426" s="20" t="s">
        <v>6808</v>
      </c>
      <c r="D426" s="2" t="s">
        <v>170</v>
      </c>
      <c r="E426" s="6" t="str">
        <f>LOOKUP(2,1/(MCQ!C:C=B426),MCQ!H:H)</f>
        <v>24.00</v>
      </c>
      <c r="F426" s="6" t="e">
        <f>LOOKUP(2,1/(Debugging!C:C=B426),Debugging!H:H)</f>
        <v>#N/A</v>
      </c>
      <c r="G426" s="6" t="e">
        <f>LOOKUP(2,1/(Coding!C:C=B426),Coding!H:H)</f>
        <v>#N/A</v>
      </c>
      <c r="H426" s="8" t="e">
        <f>E426+F426+G426</f>
        <v>#N/A</v>
      </c>
      <c r="I426" s="4" t="str">
        <f>IF(J426&lt;&gt;"Complete","Not Active",IF(H426&gt;=75,"Good",IF(H426&gt;=50,"Satisfactory",IF(H426&gt;=25,"Need Attention","Intervention"))))</f>
        <v>Not Active</v>
      </c>
      <c r="J426" s="4" t="str">
        <f>IF(COUNTIF(E426:G426,"#N/A")=3,"Not Attempted",IF(OR(ISNA(E426),ISNA(F426),ISNA(G426)),"NotCompleted","Complete"))</f>
        <v>NotCompleted</v>
      </c>
    </row>
    <row r="427" spans="1:10" ht="15.6" x14ac:dyDescent="0.3">
      <c r="A427" s="17" t="s">
        <v>5487</v>
      </c>
      <c r="B427" s="20" t="s">
        <v>6448</v>
      </c>
      <c r="C427" s="20" t="s">
        <v>6809</v>
      </c>
      <c r="D427" s="2" t="s">
        <v>31</v>
      </c>
      <c r="E427" s="6" t="e">
        <f>LOOKUP(2,1/(MCQ!C:C=B427),MCQ!H:H)</f>
        <v>#N/A</v>
      </c>
      <c r="F427" s="6" t="e">
        <f>LOOKUP(2,1/(Debugging!C:C=B427),Debugging!H:H)</f>
        <v>#N/A</v>
      </c>
      <c r="G427" s="6" t="e">
        <f>LOOKUP(2,1/(Coding!C:C=B427),Coding!H:H)</f>
        <v>#N/A</v>
      </c>
      <c r="H427" s="8" t="e">
        <f>E427+F427+G427</f>
        <v>#N/A</v>
      </c>
      <c r="I427" s="4" t="str">
        <f>IF(J427&lt;&gt;"Complete","Not Active",IF(H427&gt;=75,"Good",IF(H427&gt;=50,"Satisfactory",IF(H427&gt;=25,"Need Attention","Intervention"))))</f>
        <v>Not Active</v>
      </c>
      <c r="J427" s="4" t="str">
        <f>IF(COUNTIF(E427:G427,"#N/A")=3,"Not Attempted",IF(OR(ISNA(E427),ISNA(F427),ISNA(G427)),"NotCompleted","Complete"))</f>
        <v>Not Attempted</v>
      </c>
    </row>
    <row r="428" spans="1:10" ht="15.6" x14ac:dyDescent="0.3">
      <c r="A428" s="17" t="s">
        <v>5487</v>
      </c>
      <c r="B428" s="20" t="s">
        <v>6449</v>
      </c>
      <c r="C428" s="20" t="s">
        <v>6810</v>
      </c>
      <c r="D428" s="2" t="s">
        <v>25</v>
      </c>
      <c r="E428" s="6" t="e">
        <f>LOOKUP(2,1/(MCQ!C:C=B428),MCQ!H:H)</f>
        <v>#N/A</v>
      </c>
      <c r="F428" s="6" t="e">
        <f>LOOKUP(2,1/(Debugging!C:C=B428),Debugging!H:H)</f>
        <v>#N/A</v>
      </c>
      <c r="G428" s="6" t="e">
        <f>LOOKUP(2,1/(Coding!C:C=B428),Coding!H:H)</f>
        <v>#N/A</v>
      </c>
      <c r="H428" s="8" t="e">
        <f>E428+F428+G428</f>
        <v>#N/A</v>
      </c>
      <c r="I428" s="4" t="str">
        <f>IF(J428&lt;&gt;"Complete","Not Active",IF(H428&gt;=75,"Good",IF(H428&gt;=50,"Satisfactory",IF(H428&gt;=25,"Need Attention","Intervention"))))</f>
        <v>Not Active</v>
      </c>
      <c r="J428" s="4" t="str">
        <f>IF(COUNTIF(E428:G428,"#N/A")=3,"Not Attempted",IF(OR(ISNA(E428),ISNA(F428),ISNA(G428)),"NotCompleted","Complete"))</f>
        <v>Not Attempted</v>
      </c>
    </row>
    <row r="429" spans="1:10" ht="15.6" x14ac:dyDescent="0.3">
      <c r="A429" s="17" t="s">
        <v>5487</v>
      </c>
      <c r="B429" s="20" t="s">
        <v>5943</v>
      </c>
      <c r="C429" s="20" t="s">
        <v>6811</v>
      </c>
      <c r="D429" s="2" t="s">
        <v>8</v>
      </c>
      <c r="E429" s="6" t="str">
        <f>LOOKUP(2,1/(MCQ!C:C=B429),MCQ!H:H)</f>
        <v>24.00</v>
      </c>
      <c r="F429" s="6" t="str">
        <f>LOOKUP(2,1/(Debugging!C:C=B429),Debugging!H:H)</f>
        <v>41.00</v>
      </c>
      <c r="G429" s="6" t="e">
        <f>LOOKUP(2,1/(Coding!C:C=B429),Coding!H:H)</f>
        <v>#N/A</v>
      </c>
      <c r="H429" s="8" t="e">
        <f>E429+F429+G429</f>
        <v>#N/A</v>
      </c>
      <c r="I429" s="4" t="str">
        <f>IF(J429&lt;&gt;"Complete","Not Active",IF(H429&gt;=75,"Good",IF(H429&gt;=50,"Satisfactory",IF(H429&gt;=25,"Need Attention","Intervention"))))</f>
        <v>Not Active</v>
      </c>
      <c r="J429" s="4" t="str">
        <f>IF(COUNTIF(E429:G429,"#N/A")=3,"Not Attempted",IF(OR(ISNA(E429),ISNA(F429),ISNA(G429)),"NotCompleted","Complete"))</f>
        <v>NotCompleted</v>
      </c>
    </row>
    <row r="430" spans="1:10" ht="15.6" x14ac:dyDescent="0.3">
      <c r="A430" s="17" t="s">
        <v>5487</v>
      </c>
      <c r="B430" s="20" t="s">
        <v>646</v>
      </c>
      <c r="C430" s="20" t="s">
        <v>6812</v>
      </c>
      <c r="D430" s="2" t="s">
        <v>123</v>
      </c>
      <c r="E430" s="6" t="str">
        <f>LOOKUP(2,1/(MCQ!C:C=B430),MCQ!H:H)</f>
        <v>20.00</v>
      </c>
      <c r="F430" s="6" t="e">
        <f>LOOKUP(2,1/(Debugging!C:C=B430),Debugging!H:H)</f>
        <v>#N/A</v>
      </c>
      <c r="G430" s="6" t="e">
        <f>LOOKUP(2,1/(Coding!C:C=B430),Coding!H:H)</f>
        <v>#N/A</v>
      </c>
      <c r="H430" s="8" t="e">
        <f>E430+F430+G430</f>
        <v>#N/A</v>
      </c>
      <c r="I430" s="4" t="str">
        <f>IF(J430&lt;&gt;"Complete","Not Active",IF(H430&gt;=75,"Good",IF(H430&gt;=50,"Satisfactory",IF(H430&gt;=25,"Need Attention","Intervention"))))</f>
        <v>Not Active</v>
      </c>
      <c r="J430" s="4" t="str">
        <f>IF(COUNTIF(E430:G430,"#N/A")=3,"Not Attempted",IF(OR(ISNA(E430),ISNA(F430),ISNA(G430)),"NotCompleted","Complete"))</f>
        <v>NotCompleted</v>
      </c>
    </row>
    <row r="431" spans="1:10" ht="15.6" x14ac:dyDescent="0.3">
      <c r="A431" s="17" t="s">
        <v>5487</v>
      </c>
      <c r="B431" s="20" t="s">
        <v>648</v>
      </c>
      <c r="C431" s="20" t="s">
        <v>6813</v>
      </c>
      <c r="D431" s="2" t="s">
        <v>8</v>
      </c>
      <c r="E431" s="6" t="str">
        <f>LOOKUP(2,1/(MCQ!C:C=B431),MCQ!H:H)</f>
        <v>25.00</v>
      </c>
      <c r="F431" s="6" t="e">
        <v>#N/A</v>
      </c>
      <c r="G431" s="6" t="e">
        <f>LOOKUP(2,1/(Coding!C:C=B431),Coding!H:H)</f>
        <v>#N/A</v>
      </c>
      <c r="H431" s="8" t="e">
        <f>E431+F431+G431</f>
        <v>#N/A</v>
      </c>
      <c r="I431" s="4" t="str">
        <f>IF(J431&lt;&gt;"Complete","Not Active",IF(H431&gt;=75,"Good",IF(H431&gt;=50,"Satisfactory",IF(H431&gt;=25,"Need Attention","Intervention"))))</f>
        <v>Not Active</v>
      </c>
      <c r="J431" s="4" t="str">
        <f>IF(COUNTIF(E431:G431,"#N/A")=3,"Not Attempted",IF(OR(ISNA(E431),ISNA(F431),ISNA(G431)),"NotCompleted","Complete"))</f>
        <v>NotCompleted</v>
      </c>
    </row>
    <row r="432" spans="1:10" ht="15.6" x14ac:dyDescent="0.3">
      <c r="A432" s="17" t="s">
        <v>5487</v>
      </c>
      <c r="B432" s="20" t="s">
        <v>6450</v>
      </c>
      <c r="C432" s="21" t="s">
        <v>6814</v>
      </c>
      <c r="D432" s="2" t="s">
        <v>19</v>
      </c>
      <c r="E432" s="6" t="e">
        <f>LOOKUP(2,1/(MCQ!C:C=B432),MCQ!H:H)</f>
        <v>#N/A</v>
      </c>
      <c r="F432" s="6" t="e">
        <f>LOOKUP(2,1/(Debugging!C:C=B432),Debugging!H:H)</f>
        <v>#N/A</v>
      </c>
      <c r="G432" s="6" t="e">
        <f>LOOKUP(2,1/(Coding!C:C=B432),Coding!H:H)</f>
        <v>#N/A</v>
      </c>
      <c r="H432" s="8" t="e">
        <f>E432+F432+G432</f>
        <v>#N/A</v>
      </c>
      <c r="I432" s="4" t="str">
        <f>IF(J432&lt;&gt;"Complete","Not Active",IF(H432&gt;=75,"Good",IF(H432&gt;=50,"Satisfactory",IF(H432&gt;=25,"Need Attention","Intervention"))))</f>
        <v>Not Active</v>
      </c>
      <c r="J432" s="4" t="str">
        <f>IF(COUNTIF(E432:G432,"#N/A")=3,"Not Attempted",IF(OR(ISNA(E432),ISNA(F432),ISNA(G432)),"NotCompleted","Complete"))</f>
        <v>Not Attempted</v>
      </c>
    </row>
    <row r="433" spans="1:10" ht="15.6" x14ac:dyDescent="0.3">
      <c r="A433" s="17" t="s">
        <v>5487</v>
      </c>
      <c r="B433" s="20" t="s">
        <v>6451</v>
      </c>
      <c r="C433" s="21" t="s">
        <v>6815</v>
      </c>
      <c r="D433" s="2" t="s">
        <v>25</v>
      </c>
      <c r="E433" s="6" t="e">
        <f>LOOKUP(2,1/(MCQ!C:C=B433),MCQ!H:H)</f>
        <v>#N/A</v>
      </c>
      <c r="F433" s="6" t="e">
        <f>LOOKUP(2,1/(Debugging!C:C=B433),Debugging!H:H)</f>
        <v>#N/A</v>
      </c>
      <c r="G433" s="6" t="e">
        <f>LOOKUP(2,1/(Coding!C:C=B433),Coding!H:H)</f>
        <v>#N/A</v>
      </c>
      <c r="H433" s="8" t="e">
        <f>E433+F433+G433</f>
        <v>#N/A</v>
      </c>
      <c r="I433" s="4" t="str">
        <f>IF(J433&lt;&gt;"Complete","Not Active",IF(H433&gt;=75,"Good",IF(H433&gt;=50,"Satisfactory",IF(H433&gt;=25,"Need Attention","Intervention"))))</f>
        <v>Not Active</v>
      </c>
      <c r="J433" s="4" t="str">
        <f>IF(COUNTIF(E433:G433,"#N/A")=3,"Not Attempted",IF(OR(ISNA(E433),ISNA(F433),ISNA(G433)),"NotCompleted","Complete"))</f>
        <v>Not Attempted</v>
      </c>
    </row>
    <row r="434" spans="1:10" ht="15.6" x14ac:dyDescent="0.3">
      <c r="A434" s="17" t="s">
        <v>5487</v>
      </c>
      <c r="B434" s="20" t="s">
        <v>5947</v>
      </c>
      <c r="C434" s="21" t="s">
        <v>6816</v>
      </c>
      <c r="D434" s="2" t="s">
        <v>8</v>
      </c>
      <c r="E434" s="6" t="str">
        <f>LOOKUP(2,1/(MCQ!C:C=B434),MCQ!H:H)</f>
        <v>25.00</v>
      </c>
      <c r="F434" s="6" t="e">
        <f>LOOKUP(2,1/(Debugging!C:C=B434),Debugging!H:H)</f>
        <v>#N/A</v>
      </c>
      <c r="G434" s="6" t="e">
        <f>LOOKUP(2,1/(Coding!C:C=B434),Coding!H:H)</f>
        <v>#N/A</v>
      </c>
      <c r="H434" s="8" t="e">
        <f>E434+F434+G434</f>
        <v>#N/A</v>
      </c>
      <c r="I434" s="4" t="str">
        <f>IF(J434&lt;&gt;"Complete","Not Active",IF(H434&gt;=75,"Good",IF(H434&gt;=50,"Satisfactory",IF(H434&gt;=25,"Need Attention","Intervention"))))</f>
        <v>Not Active</v>
      </c>
      <c r="J434" s="4" t="str">
        <f>IF(COUNTIF(E434:G434,"#N/A")=3,"Not Attempted",IF(OR(ISNA(E434),ISNA(F434),ISNA(G434)),"NotCompleted","Complete"))</f>
        <v>NotCompleted</v>
      </c>
    </row>
    <row r="435" spans="1:10" ht="15.6" x14ac:dyDescent="0.3">
      <c r="A435" s="17" t="s">
        <v>5487</v>
      </c>
      <c r="B435" s="20" t="s">
        <v>650</v>
      </c>
      <c r="C435" s="21" t="s">
        <v>6817</v>
      </c>
      <c r="D435" s="2" t="s">
        <v>11</v>
      </c>
      <c r="E435" s="6" t="str">
        <f>LOOKUP(2,1/(MCQ!C:C=B435),MCQ!H:H)</f>
        <v>23.00</v>
      </c>
      <c r="F435" s="6" t="str">
        <f>LOOKUP(2,1/(Debugging!C:C=B435),Debugging!H:H)</f>
        <v>15.00</v>
      </c>
      <c r="G435" s="6" t="str">
        <f>LOOKUP(2,1/(Coding!C:C=B435),Coding!H:H)</f>
        <v>25.00</v>
      </c>
      <c r="H435" s="8">
        <f>E435+F435+G435</f>
        <v>63</v>
      </c>
      <c r="I435" s="4" t="str">
        <f>IF(J435&lt;&gt;"Complete","Not Active",IF(H435&gt;=75,"Good",IF(H435&gt;=50,"Satisfactory",IF(H435&gt;=25,"Need Attention","Intervention"))))</f>
        <v>Satisfactory</v>
      </c>
      <c r="J435" s="4" t="str">
        <f>IF(COUNTIF(E435:G435,"#N/A")=3,"Not Attempted",IF(OR(ISNA(E435),ISNA(F435),ISNA(G435)),"NotCompleted","Complete"))</f>
        <v>Complete</v>
      </c>
    </row>
    <row r="436" spans="1:10" ht="15.6" x14ac:dyDescent="0.3">
      <c r="A436" s="17" t="s">
        <v>5487</v>
      </c>
      <c r="B436" s="20" t="s">
        <v>5949</v>
      </c>
      <c r="C436" s="21" t="s">
        <v>6818</v>
      </c>
      <c r="D436" s="2" t="s">
        <v>42</v>
      </c>
      <c r="E436" s="6" t="e">
        <f>LOOKUP(2,1/(Debugging!B:B=A436),Debugging!G:G)</f>
        <v>#N/A</v>
      </c>
      <c r="F436" s="6" t="e">
        <f>LOOKUP(2,1/(Debugging!C:C=B436),Debugging!H:H)</f>
        <v>#N/A</v>
      </c>
      <c r="G436" s="6" t="e">
        <f>LOOKUP(2,1/(Coding!C:C=B436),Coding!H:H)</f>
        <v>#N/A</v>
      </c>
      <c r="H436" s="8" t="e">
        <f>E436+F436+G436</f>
        <v>#N/A</v>
      </c>
      <c r="I436" s="4" t="str">
        <f>IF(J436&lt;&gt;"Complete","Not Active",IF(H436&gt;=75,"Good",IF(H436&gt;=50,"Satisfactory",IF(H436&gt;=25,"Need Attention","Intervention"))))</f>
        <v>Not Active</v>
      </c>
      <c r="J436" s="4" t="str">
        <f>IF(COUNTIF(E436:G436,"#N/A")=3,"Not Attempted",IF(OR(ISNA(E436),ISNA(F436),ISNA(G436)),"NotCompleted","Complete"))</f>
        <v>Not Attempted</v>
      </c>
    </row>
    <row r="437" spans="1:10" ht="15.6" x14ac:dyDescent="0.3">
      <c r="A437" s="17" t="s">
        <v>5487</v>
      </c>
      <c r="B437" s="20" t="s">
        <v>653</v>
      </c>
      <c r="C437" s="21" t="s">
        <v>6819</v>
      </c>
      <c r="D437" s="2" t="s">
        <v>123</v>
      </c>
      <c r="E437" s="6" t="str">
        <f>LOOKUP(2,1/(MCQ!C:C=B437),MCQ!H:H)</f>
        <v>23.00</v>
      </c>
      <c r="F437" s="6" t="e">
        <f>LOOKUP(2,1/(Debugging!C:C=B437),Debugging!H:H)</f>
        <v>#N/A</v>
      </c>
      <c r="G437" s="6" t="e">
        <f>LOOKUP(2,1/(Coding!C:C=B437),Coding!H:H)</f>
        <v>#N/A</v>
      </c>
      <c r="H437" s="8" t="e">
        <f>E437+F437+G437</f>
        <v>#N/A</v>
      </c>
      <c r="I437" s="4" t="str">
        <f>IF(J437&lt;&gt;"Complete","Not Active",IF(H437&gt;=75,"Good",IF(H437&gt;=50,"Satisfactory",IF(H437&gt;=25,"Need Attention","Intervention"))))</f>
        <v>Not Active</v>
      </c>
      <c r="J437" s="4" t="str">
        <f>IF(COUNTIF(E437:G437,"#N/A")=3,"Not Attempted",IF(OR(ISNA(E437),ISNA(F437),ISNA(G437)),"NotCompleted","Complete"))</f>
        <v>NotCompleted</v>
      </c>
    </row>
    <row r="438" spans="1:10" ht="15.6" x14ac:dyDescent="0.3">
      <c r="A438" s="17" t="s">
        <v>5487</v>
      </c>
      <c r="B438" s="20" t="s">
        <v>5952</v>
      </c>
      <c r="C438" s="21" t="s">
        <v>6820</v>
      </c>
      <c r="D438" s="2" t="s">
        <v>170</v>
      </c>
      <c r="E438" s="6" t="str">
        <f>LOOKUP(2,1/(MCQ!C:C=B438),MCQ!H:H)</f>
        <v>24.00</v>
      </c>
      <c r="F438" s="6" t="e">
        <f>LOOKUP(2,1/(Debugging!C:C=B438),Debugging!H:H)</f>
        <v>#N/A</v>
      </c>
      <c r="G438" s="6" t="e">
        <f>LOOKUP(2,1/(Coding!C:C=B438),Coding!H:H)</f>
        <v>#N/A</v>
      </c>
      <c r="H438" s="8" t="e">
        <f>E438+F438+G438</f>
        <v>#N/A</v>
      </c>
      <c r="I438" s="4" t="str">
        <f>IF(J438&lt;&gt;"Complete","Not Active",IF(H438&gt;=75,"Good",IF(H438&gt;=50,"Satisfactory",IF(H438&gt;=25,"Need Attention","Intervention"))))</f>
        <v>Not Active</v>
      </c>
      <c r="J438" s="4" t="str">
        <f>IF(COUNTIF(E438:G438,"#N/A")=3,"Not Attempted",IF(OR(ISNA(E438),ISNA(F438),ISNA(G438)),"NotCompleted","Complete"))</f>
        <v>NotCompleted</v>
      </c>
    </row>
    <row r="439" spans="1:10" ht="15.6" x14ac:dyDescent="0.3">
      <c r="A439" s="17" t="s">
        <v>5487</v>
      </c>
      <c r="B439" s="20" t="s">
        <v>6452</v>
      </c>
      <c r="C439" s="21" t="s">
        <v>6821</v>
      </c>
      <c r="D439" s="2" t="s">
        <v>55</v>
      </c>
      <c r="E439" s="6" t="e">
        <f>LOOKUP(2,1/(MCQ!C:C=B439),MCQ!H:H)</f>
        <v>#N/A</v>
      </c>
      <c r="F439" s="6" t="e">
        <f>LOOKUP(2,1/(Debugging!C:C=B439),Debugging!H:H)</f>
        <v>#N/A</v>
      </c>
      <c r="G439" s="6" t="e">
        <f>LOOKUP(2,1/(Coding!C:C=B439),Coding!H:H)</f>
        <v>#N/A</v>
      </c>
      <c r="H439" s="8" t="e">
        <f>E439+F439+G439</f>
        <v>#N/A</v>
      </c>
      <c r="I439" s="4" t="str">
        <f>IF(J439&lt;&gt;"Complete","Not Active",IF(H439&gt;=75,"Good",IF(H439&gt;=50,"Satisfactory",IF(H439&gt;=25,"Need Attention","Intervention"))))</f>
        <v>Not Active</v>
      </c>
      <c r="J439" s="4" t="str">
        <f>IF(COUNTIF(E439:G439,"#N/A")=3,"Not Attempted",IF(OR(ISNA(E439),ISNA(F439),ISNA(G439)),"NotCompleted","Complete"))</f>
        <v>Not Attempted</v>
      </c>
    </row>
    <row r="440" spans="1:10" ht="15.6" x14ac:dyDescent="0.3">
      <c r="A440" s="17" t="s">
        <v>5487</v>
      </c>
      <c r="B440" s="20" t="s">
        <v>655</v>
      </c>
      <c r="C440" s="21" t="s">
        <v>6822</v>
      </c>
      <c r="D440" s="2" t="s">
        <v>471</v>
      </c>
      <c r="E440" s="6" t="str">
        <f>LOOKUP(2,1/(MCQ!C:C=B440),MCQ!H:H)</f>
        <v>24.00</v>
      </c>
      <c r="F440" s="6" t="str">
        <f>LOOKUP(2,1/(Debugging!C:C=B440),Debugging!H:H)</f>
        <v>47.00</v>
      </c>
      <c r="G440" s="6" t="str">
        <f>LOOKUP(2,1/(Coding!C:C=B440),Coding!H:H)</f>
        <v>23.50</v>
      </c>
      <c r="H440" s="8">
        <f>E440+F440+G440</f>
        <v>94.5</v>
      </c>
      <c r="I440" s="4" t="str">
        <f>IF(J440&lt;&gt;"Complete","Not Active",IF(H440&gt;=75,"Good",IF(H440&gt;=50,"Satisfactory",IF(H440&gt;=25,"Need Attention","Intervention"))))</f>
        <v>Good</v>
      </c>
      <c r="J440" s="4" t="str">
        <f>IF(COUNTIF(E440:G440,"#N/A")=3,"Not Attempted",IF(OR(ISNA(E440),ISNA(F440),ISNA(G440)),"NotCompleted","Complete"))</f>
        <v>Complete</v>
      </c>
    </row>
    <row r="441" spans="1:10" ht="15.6" x14ac:dyDescent="0.3">
      <c r="A441" s="17" t="s">
        <v>5487</v>
      </c>
      <c r="B441" s="20" t="s">
        <v>657</v>
      </c>
      <c r="C441" s="21" t="s">
        <v>6823</v>
      </c>
      <c r="D441" s="2" t="s">
        <v>8</v>
      </c>
      <c r="E441" s="6" t="str">
        <f>LOOKUP(2,1/(MCQ!C:C=B441),MCQ!H:H)</f>
        <v>25.00</v>
      </c>
      <c r="F441" s="6" t="str">
        <f>LOOKUP(2,1/(Debugging!C:C=B441),Debugging!H:H)</f>
        <v>49.00</v>
      </c>
      <c r="G441" s="6" t="str">
        <f>LOOKUP(2,1/(Coding!C:C=B441),Coding!H:H)</f>
        <v>23.50</v>
      </c>
      <c r="H441" s="8">
        <f>E441+F441+G441</f>
        <v>97.5</v>
      </c>
      <c r="I441" s="4" t="str">
        <f>IF(J441&lt;&gt;"Complete","Not Active",IF(H441&gt;=75,"Good",IF(H441&gt;=50,"Satisfactory",IF(H441&gt;=25,"Need Attention","Intervention"))))</f>
        <v>Good</v>
      </c>
      <c r="J441" s="4" t="str">
        <f>IF(COUNTIF(E441:G441,"#N/A")=3,"Not Attempted",IF(OR(ISNA(E441),ISNA(F441),ISNA(G441)),"NotCompleted","Complete"))</f>
        <v>Complete</v>
      </c>
    </row>
    <row r="442" spans="1:10" ht="15.6" x14ac:dyDescent="0.3">
      <c r="A442" s="17" t="s">
        <v>5487</v>
      </c>
      <c r="B442" s="20" t="s">
        <v>659</v>
      </c>
      <c r="C442" s="21" t="s">
        <v>6824</v>
      </c>
      <c r="D442" s="2" t="s">
        <v>42</v>
      </c>
      <c r="E442" s="6" t="str">
        <f>LOOKUP(2,1/(MCQ!C:C=B442),MCQ!H:H)</f>
        <v>23.00</v>
      </c>
      <c r="F442" s="6" t="e">
        <f>LOOKUP(2,1/(Debugging!C:C=B442),Debugging!H:H)</f>
        <v>#N/A</v>
      </c>
      <c r="G442" s="6" t="e">
        <f>LOOKUP(2,1/(Coding!C:C=B442),Coding!H:H)</f>
        <v>#N/A</v>
      </c>
      <c r="H442" s="8" t="e">
        <f>E442+F442+G442</f>
        <v>#N/A</v>
      </c>
      <c r="I442" s="4" t="str">
        <f>IF(J442&lt;&gt;"Complete","Not Active",IF(H442&gt;=75,"Good",IF(H442&gt;=50,"Satisfactory",IF(H442&gt;=25,"Need Attention","Intervention"))))</f>
        <v>Not Active</v>
      </c>
      <c r="J442" s="4" t="str">
        <f>IF(COUNTIF(E442:G442,"#N/A")=3,"Not Attempted",IF(OR(ISNA(E442),ISNA(F442),ISNA(G442)),"NotCompleted","Complete"))</f>
        <v>NotCompleted</v>
      </c>
    </row>
    <row r="443" spans="1:10" ht="15.6" x14ac:dyDescent="0.3">
      <c r="A443" s="17" t="s">
        <v>5487</v>
      </c>
      <c r="B443" s="20" t="s">
        <v>6453</v>
      </c>
      <c r="C443" s="21" t="s">
        <v>6825</v>
      </c>
      <c r="D443" s="2" t="s">
        <v>8</v>
      </c>
      <c r="E443" s="6" t="e">
        <f>LOOKUP(2,1/(MCQ!C:C=B443),MCQ!H:H)</f>
        <v>#N/A</v>
      </c>
      <c r="F443" s="6" t="e">
        <f>LOOKUP(2,1/(Debugging!C:C=B443),Debugging!H:H)</f>
        <v>#N/A</v>
      </c>
      <c r="G443" s="6" t="e">
        <f>LOOKUP(2,1/(Coding!C:C=B443),Coding!H:H)</f>
        <v>#N/A</v>
      </c>
      <c r="H443" s="8" t="e">
        <f>E443+F443+G443</f>
        <v>#N/A</v>
      </c>
      <c r="I443" s="4" t="str">
        <f>IF(J443&lt;&gt;"Complete","Not Active",IF(H443&gt;=75,"Good",IF(H443&gt;=50,"Satisfactory",IF(H443&gt;=25,"Need Attention","Intervention"))))</f>
        <v>Not Active</v>
      </c>
      <c r="J443" s="4" t="str">
        <f>IF(COUNTIF(E443:G443,"#N/A")=3,"Not Attempted",IF(OR(ISNA(E443),ISNA(F443),ISNA(G443)),"NotCompleted","Complete"))</f>
        <v>Not Attempted</v>
      </c>
    </row>
    <row r="444" spans="1:10" ht="15.6" x14ac:dyDescent="0.3">
      <c r="A444" s="17" t="s">
        <v>5487</v>
      </c>
      <c r="B444" s="20" t="s">
        <v>661</v>
      </c>
      <c r="C444" s="21" t="s">
        <v>6826</v>
      </c>
      <c r="D444" s="2" t="s">
        <v>42</v>
      </c>
      <c r="E444" s="6" t="str">
        <f>LOOKUP(2,1/(MCQ!C:C=B444),MCQ!H:H)</f>
        <v>25.00</v>
      </c>
      <c r="F444" s="6" t="str">
        <f>LOOKUP(2,1/(Debugging!C:C=B444),Debugging!H:H)</f>
        <v>43.00</v>
      </c>
      <c r="G444" s="6" t="e">
        <f>LOOKUP(2,1/(Coding!C:C=B444),Coding!H:H)</f>
        <v>#N/A</v>
      </c>
      <c r="H444" s="8" t="e">
        <f>E444+F444+G444</f>
        <v>#N/A</v>
      </c>
      <c r="I444" s="4" t="str">
        <f>IF(J444&lt;&gt;"Complete","Not Active",IF(H444&gt;=75,"Good",IF(H444&gt;=50,"Satisfactory",IF(H444&gt;=25,"Need Attention","Intervention"))))</f>
        <v>Not Active</v>
      </c>
      <c r="J444" s="4" t="str">
        <f>IF(COUNTIF(E444:G444,"#N/A")=3,"Not Attempted",IF(OR(ISNA(E444),ISNA(F444),ISNA(G444)),"NotCompleted","Complete"))</f>
        <v>NotCompleted</v>
      </c>
    </row>
    <row r="445" spans="1:10" ht="15.6" x14ac:dyDescent="0.3">
      <c r="A445" s="17" t="s">
        <v>5487</v>
      </c>
      <c r="B445" s="20" t="s">
        <v>663</v>
      </c>
      <c r="C445" s="21" t="s">
        <v>6827</v>
      </c>
      <c r="D445" s="2" t="s">
        <v>55</v>
      </c>
      <c r="E445" s="6" t="str">
        <f>LOOKUP(2,1/(MCQ!C:C=B445),MCQ!H:H)</f>
        <v>23.00</v>
      </c>
      <c r="F445" s="6" t="e">
        <f>LOOKUP(2,1/(Coding!B:B=A445),Coding!G:G)</f>
        <v>#N/A</v>
      </c>
      <c r="G445" s="6" t="str">
        <f>LOOKUP(2,1/(Coding!C:C=B445),Coding!H:H)</f>
        <v>25.00</v>
      </c>
      <c r="H445" s="8" t="e">
        <f>E445+F445+G445</f>
        <v>#N/A</v>
      </c>
      <c r="I445" s="4" t="str">
        <f>IF(J445&lt;&gt;"Complete","Not Active",IF(H445&gt;=75,"Good",IF(H445&gt;=50,"Satisfactory",IF(H445&gt;=25,"Need Attention","Intervention"))))</f>
        <v>Not Active</v>
      </c>
      <c r="J445" s="4" t="str">
        <f>IF(COUNTIF(E445:G445,"#N/A")=3,"Not Attempted",IF(OR(ISNA(E445),ISNA(F445),ISNA(G445)),"NotCompleted","Complete"))</f>
        <v>NotCompleted</v>
      </c>
    </row>
    <row r="446" spans="1:10" ht="15.6" x14ac:dyDescent="0.3">
      <c r="A446" s="17" t="s">
        <v>5487</v>
      </c>
      <c r="B446" s="20" t="s">
        <v>6454</v>
      </c>
      <c r="C446" s="21" t="s">
        <v>6828</v>
      </c>
      <c r="D446" s="2" t="s">
        <v>11</v>
      </c>
      <c r="E446" s="6" t="e">
        <f>LOOKUP(2,1/(MCQ!C:C=B446),MCQ!H:H)</f>
        <v>#N/A</v>
      </c>
      <c r="F446" s="6" t="e">
        <f>LOOKUP(2,1/(Debugging!C:C=B446),Debugging!H:H)</f>
        <v>#N/A</v>
      </c>
      <c r="G446" s="6" t="e">
        <f>LOOKUP(2,1/(Coding!C:C=B446),Coding!H:H)</f>
        <v>#N/A</v>
      </c>
      <c r="H446" s="8" t="e">
        <f>E446+F446+G446</f>
        <v>#N/A</v>
      </c>
      <c r="I446" s="4" t="str">
        <f>IF(J446&lt;&gt;"Complete","Not Active",IF(H446&gt;=75,"Good",IF(H446&gt;=50,"Satisfactory",IF(H446&gt;=25,"Need Attention","Intervention"))))</f>
        <v>Not Active</v>
      </c>
      <c r="J446" s="4" t="str">
        <f>IF(COUNTIF(E446:G446,"#N/A")=3,"Not Attempted",IF(OR(ISNA(E446),ISNA(F446),ISNA(G446)),"NotCompleted","Complete"))</f>
        <v>Not Attempted</v>
      </c>
    </row>
    <row r="447" spans="1:10" ht="15.6" x14ac:dyDescent="0.3">
      <c r="A447" s="17" t="s">
        <v>5487</v>
      </c>
      <c r="B447" s="20" t="s">
        <v>665</v>
      </c>
      <c r="C447" s="21" t="s">
        <v>6829</v>
      </c>
      <c r="D447" s="2" t="s">
        <v>31</v>
      </c>
      <c r="E447" s="6" t="str">
        <f>LOOKUP(2,1/(MCQ!C:C=B447),MCQ!H:H)</f>
        <v>19.00</v>
      </c>
      <c r="F447" s="6" t="str">
        <f>LOOKUP(2,1/(Debugging!C:C=B447),Debugging!H:H)</f>
        <v>42.00</v>
      </c>
      <c r="G447" s="6" t="str">
        <f>LOOKUP(2,1/(Coding!C:C=B447),Coding!H:H)</f>
        <v>25.00</v>
      </c>
      <c r="H447" s="8">
        <f>E447+F447+G447</f>
        <v>86</v>
      </c>
      <c r="I447" s="4" t="str">
        <f>IF(J447&lt;&gt;"Complete","Not Active",IF(H447&gt;=75,"Good",IF(H447&gt;=50,"Satisfactory",IF(H447&gt;=25,"Need Attention","Intervention"))))</f>
        <v>Good</v>
      </c>
      <c r="J447" s="4" t="str">
        <f>IF(COUNTIF(E447:G447,"#N/A")=3,"Not Attempted",IF(OR(ISNA(E447),ISNA(F447),ISNA(G447)),"NotCompleted","Complete"))</f>
        <v>Complete</v>
      </c>
    </row>
    <row r="448" spans="1:10" ht="15.6" x14ac:dyDescent="0.3">
      <c r="A448" s="17" t="s">
        <v>5487</v>
      </c>
      <c r="B448" s="20" t="s">
        <v>667</v>
      </c>
      <c r="C448" s="21" t="s">
        <v>6830</v>
      </c>
      <c r="D448" s="2" t="s">
        <v>8</v>
      </c>
      <c r="E448" s="6" t="str">
        <f>LOOKUP(2,1/(MCQ!C:C=B448),MCQ!H:H)</f>
        <v>22.00</v>
      </c>
      <c r="F448" s="6" t="str">
        <f>LOOKUP(2,1/(Debugging!C:C=B448),Debugging!H:H)</f>
        <v>44.00</v>
      </c>
      <c r="G448" s="6" t="str">
        <f>LOOKUP(2,1/(Coding!C:C=B448),Coding!H:H)</f>
        <v>25.00</v>
      </c>
      <c r="H448" s="8">
        <f>E448+F448+G448</f>
        <v>91</v>
      </c>
      <c r="I448" s="4" t="str">
        <f>IF(J448&lt;&gt;"Complete","Not Active",IF(H448&gt;=75,"Good",IF(H448&gt;=50,"Satisfactory",IF(H448&gt;=25,"Need Attention","Intervention"))))</f>
        <v>Good</v>
      </c>
      <c r="J448" s="4" t="str">
        <f>IF(COUNTIF(E448:G448,"#N/A")=3,"Not Attempted",IF(OR(ISNA(E448),ISNA(F448),ISNA(G448)),"NotCompleted","Complete"))</f>
        <v>Complete</v>
      </c>
    </row>
    <row r="449" spans="1:10" ht="15.6" x14ac:dyDescent="0.3">
      <c r="A449" s="17" t="s">
        <v>5487</v>
      </c>
      <c r="B449" s="20" t="s">
        <v>669</v>
      </c>
      <c r="C449" s="21" t="s">
        <v>6831</v>
      </c>
      <c r="D449" s="2" t="s">
        <v>490</v>
      </c>
      <c r="E449" s="6" t="str">
        <f>LOOKUP(2,1/(MCQ!C:C=B449),MCQ!H:H)</f>
        <v>25.00</v>
      </c>
      <c r="F449" s="6" t="e">
        <f>LOOKUP(2,1/(Debugging!C:C=B449),Debugging!H:H)</f>
        <v>#N/A</v>
      </c>
      <c r="G449" s="6" t="e">
        <f>LOOKUP(2,1/(Coding!C:C=B449),Coding!H:H)</f>
        <v>#N/A</v>
      </c>
      <c r="H449" s="8" t="e">
        <f>E449+F449+G449</f>
        <v>#N/A</v>
      </c>
      <c r="I449" s="4" t="str">
        <f>IF(J449&lt;&gt;"Complete","Not Active",IF(H449&gt;=75,"Good",IF(H449&gt;=50,"Satisfactory",IF(H449&gt;=25,"Need Attention","Intervention"))))</f>
        <v>Not Active</v>
      </c>
      <c r="J449" s="4" t="str">
        <f>IF(COUNTIF(E449:G449,"#N/A")=3,"Not Attempted",IF(OR(ISNA(E449),ISNA(F449),ISNA(G449)),"NotCompleted","Complete"))</f>
        <v>NotCompleted</v>
      </c>
    </row>
    <row r="450" spans="1:10" ht="15.6" x14ac:dyDescent="0.3">
      <c r="A450" s="17" t="s">
        <v>5487</v>
      </c>
      <c r="B450" s="20" t="s">
        <v>6455</v>
      </c>
      <c r="C450" s="21" t="s">
        <v>6832</v>
      </c>
      <c r="D450" s="2" t="s">
        <v>31</v>
      </c>
      <c r="E450" s="6" t="e">
        <f>LOOKUP(2,1/(MCQ!C:C=B450),MCQ!H:H)</f>
        <v>#N/A</v>
      </c>
      <c r="F450" s="6" t="e">
        <f>LOOKUP(2,1/(Debugging!C:C=B450),Debugging!H:H)</f>
        <v>#N/A</v>
      </c>
      <c r="G450" s="6" t="e">
        <f>LOOKUP(2,1/(Coding!C:C=B450),Coding!H:H)</f>
        <v>#N/A</v>
      </c>
      <c r="H450" s="8" t="e">
        <f>E450+F450+G450</f>
        <v>#N/A</v>
      </c>
      <c r="I450" s="4" t="str">
        <f>IF(J450&lt;&gt;"Complete","Not Active",IF(H450&gt;=75,"Good",IF(H450&gt;=50,"Satisfactory",IF(H450&gt;=25,"Need Attention","Intervention"))))</f>
        <v>Not Active</v>
      </c>
      <c r="J450" s="4" t="str">
        <f>IF(COUNTIF(E450:G450,"#N/A")=3,"Not Attempted",IF(OR(ISNA(E450),ISNA(F450),ISNA(G450)),"NotCompleted","Complete"))</f>
        <v>Not Attempted</v>
      </c>
    </row>
    <row r="451" spans="1:10" ht="15.6" x14ac:dyDescent="0.3">
      <c r="A451" s="17" t="s">
        <v>5487</v>
      </c>
      <c r="B451" s="20" t="s">
        <v>5978</v>
      </c>
      <c r="C451" s="21" t="s">
        <v>6833</v>
      </c>
      <c r="D451" s="2" t="s">
        <v>22</v>
      </c>
      <c r="E451" s="6" t="str">
        <f>LOOKUP(2,1/(MCQ!C:C=B451),MCQ!H:H)</f>
        <v>25.00</v>
      </c>
      <c r="F451" s="6" t="e">
        <f>LOOKUP(2,1/(Debugging!C:C=B451),Debugging!H:H)</f>
        <v>#N/A</v>
      </c>
      <c r="G451" s="6" t="e">
        <f>LOOKUP(2,1/(Coding!C:C=B451),Coding!H:H)</f>
        <v>#N/A</v>
      </c>
      <c r="H451" s="8" t="e">
        <f>E451+F451+G451</f>
        <v>#N/A</v>
      </c>
      <c r="I451" s="4" t="str">
        <f>IF(J451&lt;&gt;"Complete","Not Active",IF(H451&gt;=75,"Good",IF(H451&gt;=50,"Satisfactory",IF(H451&gt;=25,"Need Attention","Intervention"))))</f>
        <v>Not Active</v>
      </c>
      <c r="J451" s="4" t="str">
        <f>IF(COUNTIF(E451:G451,"#N/A")=3,"Not Attempted",IF(OR(ISNA(E451),ISNA(F451),ISNA(G451)),"NotCompleted","Complete"))</f>
        <v>NotCompleted</v>
      </c>
    </row>
    <row r="452" spans="1:10" ht="15.6" x14ac:dyDescent="0.3">
      <c r="A452" s="17" t="s">
        <v>5487</v>
      </c>
      <c r="B452" s="20" t="s">
        <v>671</v>
      </c>
      <c r="C452" s="21" t="s">
        <v>6834</v>
      </c>
      <c r="D452" s="2" t="s">
        <v>8</v>
      </c>
      <c r="E452" s="6" t="str">
        <f>LOOKUP(2,1/(MCQ!C:C=B452),MCQ!H:H)</f>
        <v>21.00</v>
      </c>
      <c r="F452" s="6" t="str">
        <f>LOOKUP(2,1/(Debugging!C:C=B452),Debugging!H:H)</f>
        <v>31.00</v>
      </c>
      <c r="G452" s="6" t="str">
        <f>LOOKUP(2,1/(Coding!C:C=B452),Coding!H:H)</f>
        <v>25.00</v>
      </c>
      <c r="H452" s="8">
        <f>E452+F452+G452</f>
        <v>77</v>
      </c>
      <c r="I452" s="4" t="str">
        <f>IF(J452&lt;&gt;"Complete","Not Active",IF(H452&gt;=75,"Good",IF(H452&gt;=50,"Satisfactory",IF(H452&gt;=25,"Need Attention","Intervention"))))</f>
        <v>Good</v>
      </c>
      <c r="J452" s="4" t="str">
        <f>IF(COUNTIF(E452:G452,"#N/A")=3,"Not Attempted",IF(OR(ISNA(E452),ISNA(F452),ISNA(G452)),"NotCompleted","Complete"))</f>
        <v>Complete</v>
      </c>
    </row>
    <row r="453" spans="1:10" ht="15.6" x14ac:dyDescent="0.3">
      <c r="A453" s="17" t="s">
        <v>5487</v>
      </c>
      <c r="B453" s="20" t="s">
        <v>673</v>
      </c>
      <c r="C453" s="21" t="s">
        <v>6835</v>
      </c>
      <c r="D453" s="2" t="s">
        <v>499</v>
      </c>
      <c r="E453" s="6" t="str">
        <f>LOOKUP(2,1/(MCQ!C:C=B453),MCQ!H:H)</f>
        <v>24.00</v>
      </c>
      <c r="F453" s="6" t="str">
        <f>LOOKUP(2,1/(Debugging!C:C=B453),Debugging!H:H)</f>
        <v>42.00</v>
      </c>
      <c r="G453" s="6" t="str">
        <f>LOOKUP(2,1/(Coding!C:C=B453),Coding!H:H)</f>
        <v>23.50</v>
      </c>
      <c r="H453" s="8">
        <f>E453+F453+G453</f>
        <v>89.5</v>
      </c>
      <c r="I453" s="4" t="str">
        <f>IF(J453&lt;&gt;"Complete","Not Active",IF(H453&gt;=75,"Good",IF(H453&gt;=50,"Satisfactory",IF(H453&gt;=25,"Need Attention","Intervention"))))</f>
        <v>Good</v>
      </c>
      <c r="J453" s="4" t="str">
        <f>IF(COUNTIF(E453:G453,"#N/A")=3,"Not Attempted",IF(OR(ISNA(E453),ISNA(F453),ISNA(G453)),"NotCompleted","Complete"))</f>
        <v>Complete</v>
      </c>
    </row>
    <row r="454" spans="1:10" ht="15.6" x14ac:dyDescent="0.3">
      <c r="A454" s="17" t="s">
        <v>5487</v>
      </c>
      <c r="B454" s="20" t="s">
        <v>675</v>
      </c>
      <c r="C454" s="21" t="s">
        <v>6836</v>
      </c>
      <c r="D454" s="2" t="s">
        <v>49</v>
      </c>
      <c r="E454" s="6" t="str">
        <f>LOOKUP(2,1/(MCQ!C:C=B454),MCQ!H:H)</f>
        <v>20.00</v>
      </c>
      <c r="F454" s="6" t="e">
        <f>LOOKUP(2,1/(Debugging!C:C=B454),Debugging!H:H)</f>
        <v>#N/A</v>
      </c>
      <c r="G454" s="6" t="e">
        <f>LOOKUP(2,1/(Coding!C:C=B454),Coding!H:H)</f>
        <v>#N/A</v>
      </c>
      <c r="H454" s="8" t="e">
        <f>E454+F454+G454</f>
        <v>#N/A</v>
      </c>
      <c r="I454" s="4" t="str">
        <f>IF(J454&lt;&gt;"Complete","Not Active",IF(H454&gt;=75,"Good",IF(H454&gt;=50,"Satisfactory",IF(H454&gt;=25,"Need Attention","Intervention"))))</f>
        <v>Not Active</v>
      </c>
      <c r="J454" s="4" t="str">
        <f>IF(COUNTIF(E454:G454,"#N/A")=3,"Not Attempted",IF(OR(ISNA(E454),ISNA(F454),ISNA(G454)),"NotCompleted","Complete"))</f>
        <v>NotCompleted</v>
      </c>
    </row>
    <row r="455" spans="1:10" ht="15.6" x14ac:dyDescent="0.3">
      <c r="A455" s="17" t="s">
        <v>5487</v>
      </c>
      <c r="B455" s="20" t="s">
        <v>6456</v>
      </c>
      <c r="C455" s="21" t="s">
        <v>6837</v>
      </c>
      <c r="D455" s="2" t="s">
        <v>31</v>
      </c>
      <c r="E455" s="6" t="e">
        <f>LOOKUP(2,1/(MCQ!C:C=B455),MCQ!H:H)</f>
        <v>#N/A</v>
      </c>
      <c r="F455" s="6" t="e">
        <f>LOOKUP(2,1/(Debugging!C:C=B455),Debugging!H:H)</f>
        <v>#N/A</v>
      </c>
      <c r="G455" s="6" t="e">
        <f>LOOKUP(2,1/(Coding!C:C=B455),Coding!H:H)</f>
        <v>#N/A</v>
      </c>
      <c r="H455" s="8" t="e">
        <f>E455+F455+G455</f>
        <v>#N/A</v>
      </c>
      <c r="I455" s="4" t="str">
        <f>IF(J455&lt;&gt;"Complete","Not Active",IF(H455&gt;=75,"Good",IF(H455&gt;=50,"Satisfactory",IF(H455&gt;=25,"Need Attention","Intervention"))))</f>
        <v>Not Active</v>
      </c>
      <c r="J455" s="4" t="str">
        <f>IF(COUNTIF(E455:G455,"#N/A")=3,"Not Attempted",IF(OR(ISNA(E455),ISNA(F455),ISNA(G455)),"NotCompleted","Complete"))</f>
        <v>Not Attempted</v>
      </c>
    </row>
    <row r="456" spans="1:10" ht="15.6" x14ac:dyDescent="0.3">
      <c r="A456" s="17" t="s">
        <v>5487</v>
      </c>
      <c r="B456" s="20" t="s">
        <v>6457</v>
      </c>
      <c r="C456" s="21" t="s">
        <v>6838</v>
      </c>
      <c r="D456" s="2" t="s">
        <v>28</v>
      </c>
      <c r="E456" s="6" t="e">
        <f>LOOKUP(2,1/(MCQ!C:C=B456),MCQ!H:H)</f>
        <v>#N/A</v>
      </c>
      <c r="F456" s="6" t="e">
        <f>LOOKUP(2,1/(Debugging!C:C=B456),Debugging!H:H)</f>
        <v>#N/A</v>
      </c>
      <c r="G456" s="6" t="e">
        <f>LOOKUP(2,1/(Coding!C:C=B456),Coding!H:H)</f>
        <v>#N/A</v>
      </c>
      <c r="H456" s="8" t="e">
        <f>E456+F456+G456</f>
        <v>#N/A</v>
      </c>
      <c r="I456" s="4" t="str">
        <f>IF(J456&lt;&gt;"Complete","Not Active",IF(H456&gt;=75,"Good",IF(H456&gt;=50,"Satisfactory",IF(H456&gt;=25,"Need Attention","Intervention"))))</f>
        <v>Not Active</v>
      </c>
      <c r="J456" s="4" t="str">
        <f>IF(COUNTIF(E456:G456,"#N/A")=3,"Not Attempted",IF(OR(ISNA(E456),ISNA(F456),ISNA(G456)),"NotCompleted","Complete"))</f>
        <v>Not Attempted</v>
      </c>
    </row>
    <row r="457" spans="1:10" ht="15.6" x14ac:dyDescent="0.3">
      <c r="A457" s="17" t="s">
        <v>5487</v>
      </c>
      <c r="B457" s="20" t="s">
        <v>6458</v>
      </c>
      <c r="C457" s="21" t="s">
        <v>6839</v>
      </c>
      <c r="D457" s="2" t="s">
        <v>49</v>
      </c>
      <c r="E457" s="6" t="e">
        <f>LOOKUP(2,1/(MCQ!C:C=B457),MCQ!H:H)</f>
        <v>#N/A</v>
      </c>
      <c r="F457" s="6" t="e">
        <f>LOOKUP(2,1/(Debugging!C:C=B457),Debugging!H:H)</f>
        <v>#N/A</v>
      </c>
      <c r="G457" s="6" t="e">
        <f>LOOKUP(2,1/(Coding!C:C=B457),Coding!H:H)</f>
        <v>#N/A</v>
      </c>
      <c r="H457" s="8" t="e">
        <f>E457+F457+G457</f>
        <v>#N/A</v>
      </c>
      <c r="I457" s="4" t="str">
        <f>IF(J457&lt;&gt;"Complete","Not Active",IF(H457&gt;=75,"Good",IF(H457&gt;=50,"Satisfactory",IF(H457&gt;=25,"Need Attention","Intervention"))))</f>
        <v>Not Active</v>
      </c>
      <c r="J457" s="4" t="str">
        <f>IF(COUNTIF(E457:G457,"#N/A")=3,"Not Attempted",IF(OR(ISNA(E457),ISNA(F457),ISNA(G457)),"NotCompleted","Complete"))</f>
        <v>Not Attempted</v>
      </c>
    </row>
    <row r="458" spans="1:10" ht="15.6" x14ac:dyDescent="0.3">
      <c r="A458" s="17" t="s">
        <v>5487</v>
      </c>
      <c r="B458" s="20" t="s">
        <v>677</v>
      </c>
      <c r="C458" s="21" t="s">
        <v>6840</v>
      </c>
      <c r="D458" s="2" t="s">
        <v>133</v>
      </c>
      <c r="E458" s="6" t="str">
        <f>LOOKUP(2,1/(MCQ!C:C=B458),MCQ!H:H)</f>
        <v>24.00</v>
      </c>
      <c r="F458" s="6" t="e">
        <f>LOOKUP(2,1/(Debugging!C:C=B458),Debugging!H:H)</f>
        <v>#N/A</v>
      </c>
      <c r="G458" s="6" t="str">
        <f>LOOKUP(2,1/(Coding!C:C=B458),Coding!H:H)</f>
        <v>25.00</v>
      </c>
      <c r="H458" s="8" t="e">
        <f>E458+F458+G458</f>
        <v>#N/A</v>
      </c>
      <c r="I458" s="4" t="str">
        <f>IF(J458&lt;&gt;"Complete","Not Active",IF(H458&gt;=75,"Good",IF(H458&gt;=50,"Satisfactory",IF(H458&gt;=25,"Need Attention","Intervention"))))</f>
        <v>Not Active</v>
      </c>
      <c r="J458" s="4" t="str">
        <f>IF(COUNTIF(E458:G458,"#N/A")=3,"Not Attempted",IF(OR(ISNA(E458),ISNA(F458),ISNA(G458)),"NotCompleted","Complete"))</f>
        <v>NotCompleted</v>
      </c>
    </row>
    <row r="459" spans="1:10" ht="15.6" x14ac:dyDescent="0.3">
      <c r="A459" s="17" t="s">
        <v>5487</v>
      </c>
      <c r="B459" s="20" t="s">
        <v>679</v>
      </c>
      <c r="C459" s="21" t="s">
        <v>6841</v>
      </c>
      <c r="D459" s="2" t="s">
        <v>8</v>
      </c>
      <c r="E459" s="6" t="str">
        <f>LOOKUP(2,1/(MCQ!C:C=B459),MCQ!H:H)</f>
        <v>24.00</v>
      </c>
      <c r="F459" s="6" t="str">
        <f>LOOKUP(2,1/(Debugging!C:C=B459),Debugging!H:H)</f>
        <v>48.00</v>
      </c>
      <c r="G459" s="6" t="str">
        <f>LOOKUP(2,1/(Coding!C:C=B459),Coding!H:H)</f>
        <v>25.00</v>
      </c>
      <c r="H459" s="8">
        <f>E459+F459+G459</f>
        <v>97</v>
      </c>
      <c r="I459" s="4" t="str">
        <f>IF(J459&lt;&gt;"Complete","Not Active",IF(H459&gt;=75,"Good",IF(H459&gt;=50,"Satisfactory",IF(H459&gt;=25,"Need Attention","Intervention"))))</f>
        <v>Good</v>
      </c>
      <c r="J459" s="4" t="str">
        <f>IF(COUNTIF(E459:G459,"#N/A")=3,"Not Attempted",IF(OR(ISNA(E459),ISNA(F459),ISNA(G459)),"NotCompleted","Complete"))</f>
        <v>Complete</v>
      </c>
    </row>
    <row r="460" spans="1:10" ht="15.6" x14ac:dyDescent="0.3">
      <c r="A460" s="17" t="s">
        <v>5487</v>
      </c>
      <c r="B460" s="20" t="s">
        <v>681</v>
      </c>
      <c r="C460" s="21" t="s">
        <v>6842</v>
      </c>
      <c r="D460" s="2" t="s">
        <v>8</v>
      </c>
      <c r="E460" s="6" t="str">
        <f>LOOKUP(2,1/(MCQ!C:C=B460),MCQ!H:H)</f>
        <v>24.00</v>
      </c>
      <c r="F460" s="6" t="e">
        <f>LOOKUP(2,1/(Coding!B:B=A460),Coding!G:G)</f>
        <v>#N/A</v>
      </c>
      <c r="G460" s="6" t="e">
        <f>LOOKUP(2,1/(Coding!C:C=B460),Coding!H:H)</f>
        <v>#N/A</v>
      </c>
      <c r="H460" s="8" t="e">
        <f>E460+F460+G460</f>
        <v>#N/A</v>
      </c>
      <c r="I460" s="4" t="str">
        <f>IF(J460&lt;&gt;"Complete","Not Active",IF(H460&gt;=75,"Good",IF(H460&gt;=50,"Satisfactory",IF(H460&gt;=25,"Need Attention","Intervention"))))</f>
        <v>Not Active</v>
      </c>
      <c r="J460" s="4" t="str">
        <f>IF(COUNTIF(E460:G460,"#N/A")=3,"Not Attempted",IF(OR(ISNA(E460),ISNA(F460),ISNA(G460)),"NotCompleted","Complete"))</f>
        <v>NotCompleted</v>
      </c>
    </row>
    <row r="461" spans="1:10" ht="15.6" x14ac:dyDescent="0.3">
      <c r="A461" s="17" t="s">
        <v>5487</v>
      </c>
      <c r="B461" s="20" t="s">
        <v>683</v>
      </c>
      <c r="C461" s="21" t="s">
        <v>6843</v>
      </c>
      <c r="D461" s="2" t="s">
        <v>170</v>
      </c>
      <c r="E461" s="6" t="str">
        <f>LOOKUP(2,1/(MCQ!C:C=B461),MCQ!H:H)</f>
        <v>20.00</v>
      </c>
      <c r="F461" s="6" t="str">
        <f>LOOKUP(2,1/(Debugging!C:C=B461),Debugging!H:H)</f>
        <v>47.00</v>
      </c>
      <c r="G461" s="6" t="str">
        <f>LOOKUP(2,1/(Coding!C:C=B461),Coding!H:H)</f>
        <v>25.00</v>
      </c>
      <c r="H461" s="8">
        <f>E461+F461+G461</f>
        <v>92</v>
      </c>
      <c r="I461" s="4" t="str">
        <f>IF(J461&lt;&gt;"Complete","Not Active",IF(H461&gt;=75,"Good",IF(H461&gt;=50,"Satisfactory",IF(H461&gt;=25,"Need Attention","Intervention"))))</f>
        <v>Good</v>
      </c>
      <c r="J461" s="4" t="str">
        <f>IF(COUNTIF(E461:G461,"#N/A")=3,"Not Attempted",IF(OR(ISNA(E461),ISNA(F461),ISNA(G461)),"NotCompleted","Complete"))</f>
        <v>Complete</v>
      </c>
    </row>
    <row r="462" spans="1:10" ht="15.6" x14ac:dyDescent="0.3">
      <c r="A462" s="17" t="s">
        <v>5487</v>
      </c>
      <c r="B462" s="20" t="s">
        <v>6459</v>
      </c>
      <c r="C462" s="21" t="s">
        <v>6844</v>
      </c>
      <c r="D462" s="2" t="s">
        <v>42</v>
      </c>
      <c r="E462" s="6" t="e">
        <f>LOOKUP(2,1/(MCQ!C:C=B462),MCQ!H:H)</f>
        <v>#N/A</v>
      </c>
      <c r="F462" s="6" t="e">
        <f>LOOKUP(2,1/(Debugging!C:C=B462),Debugging!H:H)</f>
        <v>#N/A</v>
      </c>
      <c r="G462" s="6" t="e">
        <f>LOOKUP(2,1/(Coding!C:C=B462),Coding!H:H)</f>
        <v>#N/A</v>
      </c>
      <c r="H462" s="8" t="e">
        <f>E462+F462+G462</f>
        <v>#N/A</v>
      </c>
      <c r="I462" s="4" t="str">
        <f>IF(J462&lt;&gt;"Complete","Not Active",IF(H462&gt;=75,"Good",IF(H462&gt;=50,"Satisfactory",IF(H462&gt;=25,"Need Attention","Intervention"))))</f>
        <v>Not Active</v>
      </c>
      <c r="J462" s="4" t="str">
        <f>IF(COUNTIF(E462:G462,"#N/A")=3,"Not Attempted",IF(OR(ISNA(E462),ISNA(F462),ISNA(G462)),"NotCompleted","Complete"))</f>
        <v>Not Attempted</v>
      </c>
    </row>
    <row r="463" spans="1:10" ht="15.6" x14ac:dyDescent="0.3">
      <c r="A463" s="17" t="s">
        <v>5487</v>
      </c>
      <c r="B463" s="20" t="s">
        <v>6460</v>
      </c>
      <c r="C463" s="21" t="s">
        <v>6845</v>
      </c>
      <c r="D463" s="2" t="s">
        <v>8</v>
      </c>
      <c r="E463" s="6" t="e">
        <f>LOOKUP(2,1/(MCQ!C:C=B463),MCQ!H:H)</f>
        <v>#N/A</v>
      </c>
      <c r="F463" s="6" t="e">
        <f>LOOKUP(2,1/(Debugging!C:C=B463),Debugging!H:H)</f>
        <v>#N/A</v>
      </c>
      <c r="G463" s="6" t="e">
        <f>LOOKUP(2,1/(Coding!C:C=B463),Coding!H:H)</f>
        <v>#N/A</v>
      </c>
      <c r="H463" s="8" t="e">
        <f>E463+F463+G463</f>
        <v>#N/A</v>
      </c>
      <c r="I463" s="4" t="str">
        <f>IF(J463&lt;&gt;"Complete","Not Active",IF(H463&gt;=75,"Good",IF(H463&gt;=50,"Satisfactory",IF(H463&gt;=25,"Need Attention","Intervention"))))</f>
        <v>Not Active</v>
      </c>
      <c r="J463" s="4" t="str">
        <f>IF(COUNTIF(E463:G463,"#N/A")=3,"Not Attempted",IF(OR(ISNA(E463),ISNA(F463),ISNA(G463)),"NotCompleted","Complete"))</f>
        <v>Not Attempted</v>
      </c>
    </row>
    <row r="464" spans="1:10" ht="15.6" x14ac:dyDescent="0.3">
      <c r="A464" s="17" t="s">
        <v>5487</v>
      </c>
      <c r="B464" s="20" t="s">
        <v>6577</v>
      </c>
      <c r="C464" s="21" t="s">
        <v>7511</v>
      </c>
      <c r="D464" s="23"/>
      <c r="E464" s="6" t="e">
        <f>LOOKUP(2,1/(MCQ!C:C=B464),MCQ!H:H)</f>
        <v>#N/A</v>
      </c>
      <c r="F464" s="6" t="e">
        <f>LOOKUP(2,1/(Debugging!C:C=B464),Debugging!H:H)</f>
        <v>#N/A</v>
      </c>
      <c r="G464" s="6" t="e">
        <f>LOOKUP(2,1/(Coding!C:C=B464),Coding!H:H)</f>
        <v>#N/A</v>
      </c>
      <c r="H464" s="8" t="e">
        <f>E464+F464+G464</f>
        <v>#N/A</v>
      </c>
      <c r="I464" s="4" t="str">
        <f>IF(J464&lt;&gt;"Complete","Not Active",IF(H464&gt;=75,"Good",IF(H464&gt;=50,"Satisfactory",IF(H464&gt;=25,"Need Attention","Intervention"))))</f>
        <v>Not Active</v>
      </c>
      <c r="J464" s="4" t="str">
        <f>IF(COUNTIF(E464:G464,"#N/A")=3,"Not Attempted",IF(OR(ISNA(E464),ISNA(F464),ISNA(G464)),"NotCompleted","Complete"))</f>
        <v>Not Attempted</v>
      </c>
    </row>
    <row r="465" spans="1:10" ht="15.6" x14ac:dyDescent="0.3">
      <c r="A465" s="17" t="s">
        <v>5487</v>
      </c>
      <c r="B465" s="20" t="s">
        <v>685</v>
      </c>
      <c r="C465" s="21" t="s">
        <v>7512</v>
      </c>
      <c r="D465" s="23"/>
      <c r="E465" s="6" t="str">
        <f>LOOKUP(2,1/(MCQ!C:C=B465),MCQ!H:H)</f>
        <v>23.00</v>
      </c>
      <c r="F465" s="6" t="str">
        <f>LOOKUP(2,1/(Debugging!C:C=B465),Debugging!H:H)</f>
        <v>45.00</v>
      </c>
      <c r="G465" s="6" t="str">
        <f>LOOKUP(2,1/(Coding!C:C=B465),Coding!H:H)</f>
        <v>18.50</v>
      </c>
      <c r="H465" s="8">
        <f>E465+F465+G465</f>
        <v>86.5</v>
      </c>
      <c r="I465" s="4" t="str">
        <f>IF(J465&lt;&gt;"Complete","Not Active",IF(H465&gt;=75,"Good",IF(H465&gt;=50,"Satisfactory",IF(H465&gt;=25,"Need Attention","Intervention"))))</f>
        <v>Good</v>
      </c>
      <c r="J465" s="4" t="str">
        <f>IF(COUNTIF(E465:G465,"#N/A")=3,"Not Attempted",IF(OR(ISNA(E465),ISNA(F465),ISNA(G465)),"NotCompleted","Complete"))</f>
        <v>Complete</v>
      </c>
    </row>
    <row r="466" spans="1:10" ht="15.6" x14ac:dyDescent="0.3">
      <c r="A466" s="17" t="s">
        <v>5487</v>
      </c>
      <c r="B466" s="20" t="s">
        <v>5996</v>
      </c>
      <c r="C466" s="21" t="s">
        <v>7513</v>
      </c>
      <c r="D466" s="23"/>
      <c r="E466" s="6" t="str">
        <f>LOOKUP(2,1/(MCQ!C:C=B466),MCQ!H:H)</f>
        <v>23.00</v>
      </c>
      <c r="F466" s="6" t="e">
        <f>LOOKUP(2,1/(Debugging!C:C=B466),Debugging!H:H)</f>
        <v>#N/A</v>
      </c>
      <c r="G466" s="6" t="e">
        <f>LOOKUP(2,1/(Coding!C:C=B466),Coding!H:H)</f>
        <v>#N/A</v>
      </c>
      <c r="H466" s="8" t="e">
        <f>E466+F466+G466</f>
        <v>#N/A</v>
      </c>
      <c r="I466" s="4" t="str">
        <f>IF(J466&lt;&gt;"Complete","Not Active",IF(H466&gt;=75,"Good",IF(H466&gt;=50,"Satisfactory",IF(H466&gt;=25,"Need Attention","Intervention"))))</f>
        <v>Not Active</v>
      </c>
      <c r="J466" s="4" t="str">
        <f>IF(COUNTIF(E466:G466,"#N/A")=3,"Not Attempted",IF(OR(ISNA(E466),ISNA(F466),ISNA(G466)),"NotCompleted","Complete"))</f>
        <v>NotCompleted</v>
      </c>
    </row>
    <row r="467" spans="1:10" ht="15.6" x14ac:dyDescent="0.3">
      <c r="A467" s="17" t="s">
        <v>5487</v>
      </c>
      <c r="B467" s="20" t="s">
        <v>6578</v>
      </c>
      <c r="C467" s="21" t="s">
        <v>7514</v>
      </c>
      <c r="D467" s="23"/>
      <c r="E467" s="6" t="e">
        <f>LOOKUP(2,1/(MCQ!C:C=B467),MCQ!H:H)</f>
        <v>#N/A</v>
      </c>
      <c r="F467" s="6" t="e">
        <f>LOOKUP(2,1/(Debugging!C:C=B467),Debugging!H:H)</f>
        <v>#N/A</v>
      </c>
      <c r="G467" s="6" t="e">
        <f>LOOKUP(2,1/(Coding!C:C=B467),Coding!H:H)</f>
        <v>#N/A</v>
      </c>
      <c r="H467" s="8" t="e">
        <f>E467+F467+G467</f>
        <v>#N/A</v>
      </c>
      <c r="I467" s="4" t="str">
        <f>IF(J467&lt;&gt;"Complete","Not Active",IF(H467&gt;=75,"Good",IF(H467&gt;=50,"Satisfactory",IF(H467&gt;=25,"Need Attention","Intervention"))))</f>
        <v>Not Active</v>
      </c>
      <c r="J467" s="4" t="str">
        <f>IF(COUNTIF(E467:G467,"#N/A")=3,"Not Attempted",IF(OR(ISNA(E467),ISNA(F467),ISNA(G467)),"NotCompleted","Complete"))</f>
        <v>Not Attempted</v>
      </c>
    </row>
    <row r="468" spans="1:10" ht="15.6" x14ac:dyDescent="0.3">
      <c r="A468" s="17" t="s">
        <v>5487</v>
      </c>
      <c r="B468" s="20" t="s">
        <v>6579</v>
      </c>
      <c r="C468" s="21" t="s">
        <v>7515</v>
      </c>
      <c r="D468" s="23"/>
      <c r="E468" s="6" t="e">
        <f>LOOKUP(2,1/(MCQ!C:C=B468),MCQ!H:H)</f>
        <v>#N/A</v>
      </c>
      <c r="F468" s="6" t="e">
        <f>LOOKUP(2,1/(Debugging!C:C=B468),Debugging!H:H)</f>
        <v>#N/A</v>
      </c>
      <c r="G468" s="6" t="e">
        <f>LOOKUP(2,1/(Coding!C:C=B468),Coding!H:H)</f>
        <v>#N/A</v>
      </c>
      <c r="H468" s="8" t="e">
        <f>E468+F468+G468</f>
        <v>#N/A</v>
      </c>
      <c r="I468" s="4" t="str">
        <f>IF(J468&lt;&gt;"Complete","Not Active",IF(H468&gt;=75,"Good",IF(H468&gt;=50,"Satisfactory",IF(H468&gt;=25,"Need Attention","Intervention"))))</f>
        <v>Not Active</v>
      </c>
      <c r="J468" s="4" t="str">
        <f>IF(COUNTIF(E468:G468,"#N/A")=3,"Not Attempted",IF(OR(ISNA(E468),ISNA(F468),ISNA(G468)),"NotCompleted","Complete"))</f>
        <v>Not Attempted</v>
      </c>
    </row>
    <row r="469" spans="1:10" ht="15.6" x14ac:dyDescent="0.3">
      <c r="A469" s="17" t="s">
        <v>5487</v>
      </c>
      <c r="B469" s="20" t="s">
        <v>687</v>
      </c>
      <c r="C469" s="21" t="s">
        <v>7516</v>
      </c>
      <c r="D469" s="23"/>
      <c r="E469" s="6" t="str">
        <f>LOOKUP(2,1/(MCQ!C:C=B469),MCQ!H:H)</f>
        <v>23.00</v>
      </c>
      <c r="F469" s="6" t="e">
        <f>LOOKUP(2,1/(Debugging!C:C=B469),Debugging!H:H)</f>
        <v>#N/A</v>
      </c>
      <c r="G469" s="6" t="e">
        <f>LOOKUP(2,1/(Coding!C:C=B469),Coding!H:H)</f>
        <v>#N/A</v>
      </c>
      <c r="H469" s="8" t="e">
        <f>E469+F469+G469</f>
        <v>#N/A</v>
      </c>
      <c r="I469" s="4" t="str">
        <f>IF(J469&lt;&gt;"Complete","Not Active",IF(H469&gt;=75,"Good",IF(H469&gt;=50,"Satisfactory",IF(H469&gt;=25,"Need Attention","Intervention"))))</f>
        <v>Not Active</v>
      </c>
      <c r="J469" s="4" t="str">
        <f>IF(COUNTIF(E469:G469,"#N/A")=3,"Not Attempted",IF(OR(ISNA(E469),ISNA(F469),ISNA(G469)),"NotCompleted","Complete"))</f>
        <v>NotCompleted</v>
      </c>
    </row>
    <row r="470" spans="1:10" ht="15.6" x14ac:dyDescent="0.3">
      <c r="A470" s="17" t="s">
        <v>5487</v>
      </c>
      <c r="B470" s="20" t="s">
        <v>689</v>
      </c>
      <c r="C470" s="21" t="s">
        <v>7517</v>
      </c>
      <c r="D470" s="23"/>
      <c r="E470" s="6" t="str">
        <f>LOOKUP(2,1/(MCQ!C:C=B470),MCQ!H:H)</f>
        <v>24.00</v>
      </c>
      <c r="F470" s="6" t="str">
        <f>LOOKUP(2,1/(Debugging!C:C=B470),Debugging!H:H)</f>
        <v>32.00</v>
      </c>
      <c r="G470" s="6" t="e">
        <v>#N/A</v>
      </c>
      <c r="H470" s="8" t="e">
        <f>E470+F470+G470</f>
        <v>#N/A</v>
      </c>
      <c r="I470" s="4" t="str">
        <f>IF(J470&lt;&gt;"Complete","Not Active",IF(H470&gt;=75,"Good",IF(H470&gt;=50,"Satisfactory",IF(H470&gt;=25,"Need Attention","Intervention"))))</f>
        <v>Not Active</v>
      </c>
      <c r="J470" s="4" t="str">
        <f>IF(COUNTIF(E470:G470,"#N/A")=3,"Not Attempted",IF(OR(ISNA(E470),ISNA(F470),ISNA(G470)),"NotCompleted","Complete"))</f>
        <v>NotCompleted</v>
      </c>
    </row>
    <row r="471" spans="1:10" ht="15.6" x14ac:dyDescent="0.3">
      <c r="A471" s="17" t="s">
        <v>5487</v>
      </c>
      <c r="B471" s="20" t="s">
        <v>6580</v>
      </c>
      <c r="C471" s="21" t="s">
        <v>7518</v>
      </c>
      <c r="D471" s="23"/>
      <c r="E471" s="6" t="e">
        <f>LOOKUP(2,1/(MCQ!C:C=B471),MCQ!H:H)</f>
        <v>#N/A</v>
      </c>
      <c r="F471" s="6" t="e">
        <f>LOOKUP(2,1/(Debugging!C:C=B471),Debugging!H:H)</f>
        <v>#N/A</v>
      </c>
      <c r="G471" s="6" t="e">
        <f>LOOKUP(2,1/(Coding!C:C=B471),Coding!H:H)</f>
        <v>#N/A</v>
      </c>
      <c r="H471" s="8" t="e">
        <f>E471+F471+G471</f>
        <v>#N/A</v>
      </c>
      <c r="I471" s="4" t="str">
        <f>IF(J471&lt;&gt;"Complete","Not Active",IF(H471&gt;=75,"Good",IF(H471&gt;=50,"Satisfactory",IF(H471&gt;=25,"Need Attention","Intervention"))))</f>
        <v>Not Active</v>
      </c>
      <c r="J471" s="4" t="str">
        <f>IF(COUNTIF(E471:G471,"#N/A")=3,"Not Attempted",IF(OR(ISNA(E471),ISNA(F471),ISNA(G471)),"NotCompleted","Complete"))</f>
        <v>Not Attempted</v>
      </c>
    </row>
    <row r="472" spans="1:10" ht="15.6" x14ac:dyDescent="0.3">
      <c r="A472" s="17" t="s">
        <v>5487</v>
      </c>
      <c r="B472" s="20" t="s">
        <v>691</v>
      </c>
      <c r="C472" s="21" t="s">
        <v>7519</v>
      </c>
      <c r="D472" s="23"/>
      <c r="E472" s="6" t="str">
        <f>LOOKUP(2,1/(MCQ!C:C=B472),MCQ!H:H)</f>
        <v>22.00</v>
      </c>
      <c r="F472" s="6" t="str">
        <f>LOOKUP(2,1/(Debugging!C:C=B472),Debugging!H:H)</f>
        <v>35.00</v>
      </c>
      <c r="G472" s="6" t="e">
        <f>LOOKUP(2,1/(Coding!C:C=B472),Coding!H:H)</f>
        <v>#N/A</v>
      </c>
      <c r="H472" s="8" t="e">
        <f>E472+F472+G472</f>
        <v>#N/A</v>
      </c>
      <c r="I472" s="4" t="str">
        <f>IF(J472&lt;&gt;"Complete","Not Active",IF(H472&gt;=75,"Good",IF(H472&gt;=50,"Satisfactory",IF(H472&gt;=25,"Need Attention","Intervention"))))</f>
        <v>Not Active</v>
      </c>
      <c r="J472" s="4" t="str">
        <f>IF(COUNTIF(E472:G472,"#N/A")=3,"Not Attempted",IF(OR(ISNA(E472),ISNA(F472),ISNA(G472)),"NotCompleted","Complete"))</f>
        <v>NotCompleted</v>
      </c>
    </row>
    <row r="473" spans="1:10" ht="15.6" x14ac:dyDescent="0.3">
      <c r="A473" s="17" t="s">
        <v>5487</v>
      </c>
      <c r="B473" s="20" t="s">
        <v>692</v>
      </c>
      <c r="C473" s="21" t="s">
        <v>7520</v>
      </c>
      <c r="D473" s="23"/>
      <c r="E473" s="6" t="str">
        <f>LOOKUP(2,1/(MCQ!C:C=B473),MCQ!H:H)</f>
        <v>23.00</v>
      </c>
      <c r="F473" s="6" t="str">
        <f>LOOKUP(2,1/(Debugging!C:C=B473),Debugging!H:H)</f>
        <v>41.00</v>
      </c>
      <c r="G473" s="6" t="e">
        <f>LOOKUP(2,1/(Coding!C:C=B473),Coding!H:H)</f>
        <v>#N/A</v>
      </c>
      <c r="H473" s="8" t="e">
        <f>E473+F473+G473</f>
        <v>#N/A</v>
      </c>
      <c r="I473" s="4" t="str">
        <f>IF(J473&lt;&gt;"Complete","Not Active",IF(H473&gt;=75,"Good",IF(H473&gt;=50,"Satisfactory",IF(H473&gt;=25,"Need Attention","Intervention"))))</f>
        <v>Not Active</v>
      </c>
      <c r="J473" s="4" t="str">
        <f>IF(COUNTIF(E473:G473,"#N/A")=3,"Not Attempted",IF(OR(ISNA(E473),ISNA(F473),ISNA(G473)),"NotCompleted","Complete"))</f>
        <v>NotCompleted</v>
      </c>
    </row>
    <row r="474" spans="1:10" ht="15.6" x14ac:dyDescent="0.3">
      <c r="A474" s="17" t="s">
        <v>5487</v>
      </c>
      <c r="B474" s="20" t="s">
        <v>694</v>
      </c>
      <c r="C474" s="21" t="s">
        <v>7521</v>
      </c>
      <c r="D474" s="23"/>
      <c r="E474" s="6" t="str">
        <f>LOOKUP(2,1/(MCQ!C:C=B474),MCQ!H:H)</f>
        <v>21.00</v>
      </c>
      <c r="F474" s="6" t="e">
        <f>LOOKUP(2,1/(Debugging!C:C=B474),Debugging!H:H)</f>
        <v>#N/A</v>
      </c>
      <c r="G474" s="6" t="e">
        <f>LOOKUP(2,1/(Coding!C:C=B474),Coding!H:H)</f>
        <v>#N/A</v>
      </c>
      <c r="H474" s="8" t="e">
        <f>E474+F474+G474</f>
        <v>#N/A</v>
      </c>
      <c r="I474" s="4" t="str">
        <f>IF(J474&lt;&gt;"Complete","Not Active",IF(H474&gt;=75,"Good",IF(H474&gt;=50,"Satisfactory",IF(H474&gt;=25,"Need Attention","Intervention"))))</f>
        <v>Not Active</v>
      </c>
      <c r="J474" s="4" t="str">
        <f>IF(COUNTIF(E474:G474,"#N/A")=3,"Not Attempted",IF(OR(ISNA(E474),ISNA(F474),ISNA(G474)),"NotCompleted","Complete"))</f>
        <v>NotCompleted</v>
      </c>
    </row>
    <row r="475" spans="1:10" ht="15.6" x14ac:dyDescent="0.3">
      <c r="A475" s="17" t="s">
        <v>5487</v>
      </c>
      <c r="B475" s="20" t="s">
        <v>6012</v>
      </c>
      <c r="C475" s="21" t="s">
        <v>7522</v>
      </c>
      <c r="D475" s="23"/>
      <c r="E475" s="6" t="str">
        <f>LOOKUP(2,1/(MCQ!C:C=B475),MCQ!H:H)</f>
        <v>25.00</v>
      </c>
      <c r="F475" s="6" t="e">
        <f>LOOKUP(2,1/(Debugging!C:C=B475),Debugging!H:H)</f>
        <v>#N/A</v>
      </c>
      <c r="G475" s="6" t="e">
        <f>LOOKUP(2,1/(Coding!C:C=B475),Coding!H:H)</f>
        <v>#N/A</v>
      </c>
      <c r="H475" s="8" t="e">
        <f>E475+F475+G475</f>
        <v>#N/A</v>
      </c>
      <c r="I475" s="4" t="str">
        <f>IF(J475&lt;&gt;"Complete","Not Active",IF(H475&gt;=75,"Good",IF(H475&gt;=50,"Satisfactory",IF(H475&gt;=25,"Need Attention","Intervention"))))</f>
        <v>Not Active</v>
      </c>
      <c r="J475" s="4" t="str">
        <f>IF(COUNTIF(E475:G475,"#N/A")=3,"Not Attempted",IF(OR(ISNA(E475),ISNA(F475),ISNA(G475)),"NotCompleted","Complete"))</f>
        <v>NotCompleted</v>
      </c>
    </row>
    <row r="476" spans="1:10" ht="15.6" x14ac:dyDescent="0.3">
      <c r="A476" s="17" t="s">
        <v>5487</v>
      </c>
      <c r="B476" s="20" t="s">
        <v>696</v>
      </c>
      <c r="C476" s="21" t="s">
        <v>7523</v>
      </c>
      <c r="D476" s="23"/>
      <c r="E476" s="6" t="str">
        <f>LOOKUP(2,1/(MCQ!C:C=B476),MCQ!H:H)</f>
        <v>22.00</v>
      </c>
      <c r="F476" s="6" t="e">
        <f>LOOKUP(2,1/(Debugging!C:C=B476),Debugging!H:H)</f>
        <v>#N/A</v>
      </c>
      <c r="G476" s="6" t="e">
        <f>LOOKUP(2,1/(Coding!C:C=B476),Coding!H:H)</f>
        <v>#N/A</v>
      </c>
      <c r="H476" s="8" t="e">
        <f>E476+F476+G476</f>
        <v>#N/A</v>
      </c>
      <c r="I476" s="4" t="str">
        <f>IF(J476&lt;&gt;"Complete","Not Active",IF(H476&gt;=75,"Good",IF(H476&gt;=50,"Satisfactory",IF(H476&gt;=25,"Need Attention","Intervention"))))</f>
        <v>Not Active</v>
      </c>
      <c r="J476" s="4" t="str">
        <f>IF(COUNTIF(E476:G476,"#N/A")=3,"Not Attempted",IF(OR(ISNA(E476),ISNA(F476),ISNA(G476)),"NotCompleted","Complete"))</f>
        <v>NotCompleted</v>
      </c>
    </row>
    <row r="477" spans="1:10" ht="15.6" x14ac:dyDescent="0.3">
      <c r="A477" s="17" t="s">
        <v>5487</v>
      </c>
      <c r="B477" s="20" t="s">
        <v>6581</v>
      </c>
      <c r="C477" s="21" t="s">
        <v>7390</v>
      </c>
      <c r="D477" s="23"/>
      <c r="E477" s="6" t="e">
        <f>LOOKUP(2,1/(MCQ!C:C=B477),MCQ!H:H)</f>
        <v>#N/A</v>
      </c>
      <c r="F477" s="6" t="e">
        <f>LOOKUP(2,1/(Debugging!C:C=B477),Debugging!H:H)</f>
        <v>#N/A</v>
      </c>
      <c r="G477" s="6" t="e">
        <f>LOOKUP(2,1/(Coding!C:C=B477),Coding!H:H)</f>
        <v>#N/A</v>
      </c>
      <c r="H477" s="8" t="e">
        <f>E477+F477+G477</f>
        <v>#N/A</v>
      </c>
      <c r="I477" s="4" t="str">
        <f>IF(J477&lt;&gt;"Complete","Not Active",IF(H477&gt;=75,"Good",IF(H477&gt;=50,"Satisfactory",IF(H477&gt;=25,"Need Attention","Intervention"))))</f>
        <v>Not Active</v>
      </c>
      <c r="J477" s="4" t="str">
        <f>IF(COUNTIF(E477:G477,"#N/A")=3,"Not Attempted",IF(OR(ISNA(E477),ISNA(F477),ISNA(G477)),"NotCompleted","Complete"))</f>
        <v>Not Attempted</v>
      </c>
    </row>
    <row r="478" spans="1:10" ht="15.6" x14ac:dyDescent="0.3">
      <c r="A478" s="17" t="s">
        <v>5487</v>
      </c>
      <c r="B478" s="20" t="s">
        <v>698</v>
      </c>
      <c r="C478" s="21" t="s">
        <v>7524</v>
      </c>
      <c r="D478" s="23"/>
      <c r="E478" s="6" t="str">
        <f>LOOKUP(2,1/(MCQ!C:C=B478),MCQ!H:H)</f>
        <v>9.00</v>
      </c>
      <c r="F478" s="6" t="e">
        <f>LOOKUP(2,1/(Debugging!C:C=B478),Debugging!H:H)</f>
        <v>#N/A</v>
      </c>
      <c r="G478" s="6" t="e">
        <v>#N/A</v>
      </c>
      <c r="H478" s="8" t="e">
        <f>E478+F478+G478</f>
        <v>#N/A</v>
      </c>
      <c r="I478" s="4" t="str">
        <f>IF(J478&lt;&gt;"Complete","Not Active",IF(H478&gt;=75,"Good",IF(H478&gt;=50,"Satisfactory",IF(H478&gt;=25,"Need Attention","Intervention"))))</f>
        <v>Not Active</v>
      </c>
      <c r="J478" s="4" t="str">
        <f>IF(COUNTIF(E478:G478,"#N/A")=3,"Not Attempted",IF(OR(ISNA(E478),ISNA(F478),ISNA(G478)),"NotCompleted","Complete"))</f>
        <v>NotCompleted</v>
      </c>
    </row>
    <row r="479" spans="1:10" ht="15.6" x14ac:dyDescent="0.3">
      <c r="A479" s="17" t="s">
        <v>5487</v>
      </c>
      <c r="B479" s="20" t="s">
        <v>6582</v>
      </c>
      <c r="C479" s="21" t="s">
        <v>7525</v>
      </c>
      <c r="D479" s="23"/>
      <c r="E479" s="6" t="e">
        <f>LOOKUP(2,1/(MCQ!C:C=B479),MCQ!H:H)</f>
        <v>#N/A</v>
      </c>
      <c r="F479" s="6" t="e">
        <f>LOOKUP(2,1/(Debugging!C:C=B479),Debugging!H:H)</f>
        <v>#N/A</v>
      </c>
      <c r="G479" s="6" t="e">
        <f>LOOKUP(2,1/(Coding!C:C=B479),Coding!H:H)</f>
        <v>#N/A</v>
      </c>
      <c r="H479" s="8" t="e">
        <f>E479+F479+G479</f>
        <v>#N/A</v>
      </c>
      <c r="I479" s="4" t="str">
        <f>IF(J479&lt;&gt;"Complete","Not Active",IF(H479&gt;=75,"Good",IF(H479&gt;=50,"Satisfactory",IF(H479&gt;=25,"Need Attention","Intervention"))))</f>
        <v>Not Active</v>
      </c>
      <c r="J479" s="4" t="str">
        <f>IF(COUNTIF(E479:G479,"#N/A")=3,"Not Attempted",IF(OR(ISNA(E479),ISNA(F479),ISNA(G479)),"NotCompleted","Complete"))</f>
        <v>Not Attempted</v>
      </c>
    </row>
    <row r="480" spans="1:10" ht="15.6" x14ac:dyDescent="0.3">
      <c r="A480" s="17" t="s">
        <v>5487</v>
      </c>
      <c r="B480" s="20" t="s">
        <v>699</v>
      </c>
      <c r="C480" s="21" t="s">
        <v>7526</v>
      </c>
      <c r="D480" s="23"/>
      <c r="E480" s="6" t="str">
        <f>LOOKUP(2,1/(MCQ!C:C=B480),MCQ!H:H)</f>
        <v>21.00</v>
      </c>
      <c r="F480" s="6" t="str">
        <f>LOOKUP(2,1/(Debugging!C:C=B480),Debugging!H:H)</f>
        <v>28.00</v>
      </c>
      <c r="G480" s="6" t="str">
        <f>LOOKUP(2,1/(Coding!C:C=B480),Coding!H:H)</f>
        <v>0.00</v>
      </c>
      <c r="H480" s="8">
        <f>E480+F480+G480</f>
        <v>49</v>
      </c>
      <c r="I480" s="4" t="str">
        <f>IF(J480&lt;&gt;"Complete","Not Active",IF(H480&gt;=75,"Good",IF(H480&gt;=50,"Satisfactory",IF(H480&gt;=25,"Need Attention","Intervention"))))</f>
        <v>Need Attention</v>
      </c>
      <c r="J480" s="4" t="str">
        <f>IF(COUNTIF(E480:G480,"#N/A")=3,"Not Attempted",IF(OR(ISNA(E480),ISNA(F480),ISNA(G480)),"NotCompleted","Complete"))</f>
        <v>Complete</v>
      </c>
    </row>
    <row r="481" spans="1:10" ht="15.6" x14ac:dyDescent="0.3">
      <c r="A481" s="17" t="s">
        <v>5487</v>
      </c>
      <c r="B481" s="20" t="s">
        <v>701</v>
      </c>
      <c r="C481" s="21" t="s">
        <v>7527</v>
      </c>
      <c r="D481" s="23"/>
      <c r="E481" s="6" t="str">
        <f>LOOKUP(2,1/(MCQ!C:C=B481),MCQ!H:H)</f>
        <v>21.00</v>
      </c>
      <c r="F481" s="6" t="str">
        <f>LOOKUP(2,1/(Debugging!C:C=B481),Debugging!H:H)</f>
        <v>42.00</v>
      </c>
      <c r="G481" s="6" t="str">
        <f>LOOKUP(2,1/(Coding!C:C=B481),Coding!H:H)</f>
        <v>25.00</v>
      </c>
      <c r="H481" s="8">
        <f>E481+F481+G481</f>
        <v>88</v>
      </c>
      <c r="I481" s="4" t="str">
        <f>IF(J481&lt;&gt;"Complete","Not Active",IF(H481&gt;=75,"Good",IF(H481&gt;=50,"Satisfactory",IF(H481&gt;=25,"Need Attention","Intervention"))))</f>
        <v>Good</v>
      </c>
      <c r="J481" s="4" t="str">
        <f>IF(COUNTIF(E481:G481,"#N/A")=3,"Not Attempted",IF(OR(ISNA(E481),ISNA(F481),ISNA(G481)),"NotCompleted","Complete"))</f>
        <v>Complete</v>
      </c>
    </row>
    <row r="482" spans="1:10" ht="15.6" x14ac:dyDescent="0.3">
      <c r="A482" s="17" t="s">
        <v>5487</v>
      </c>
      <c r="B482" s="20" t="s">
        <v>703</v>
      </c>
      <c r="C482" s="21" t="s">
        <v>7528</v>
      </c>
      <c r="D482" s="23"/>
      <c r="E482" s="6" t="str">
        <f>LOOKUP(2,1/(MCQ!C:C=B482),MCQ!H:H)</f>
        <v>25.00</v>
      </c>
      <c r="F482" s="6" t="str">
        <f>LOOKUP(2,1/(Debugging!C:C=B482),Debugging!H:H)</f>
        <v>33.00</v>
      </c>
      <c r="G482" s="6" t="str">
        <f>LOOKUP(2,1/(Coding!C:C=B482),Coding!H:H)</f>
        <v>25.00</v>
      </c>
      <c r="H482" s="8">
        <f>E482+F482+G482</f>
        <v>83</v>
      </c>
      <c r="I482" s="4" t="str">
        <f>IF(J482&lt;&gt;"Complete","Not Active",IF(H482&gt;=75,"Good",IF(H482&gt;=50,"Satisfactory",IF(H482&gt;=25,"Need Attention","Intervention"))))</f>
        <v>Good</v>
      </c>
      <c r="J482" s="4" t="str">
        <f>IF(COUNTIF(E482:G482,"#N/A")=3,"Not Attempted",IF(OR(ISNA(E482),ISNA(F482),ISNA(G482)),"NotCompleted","Complete"))</f>
        <v>Complete</v>
      </c>
    </row>
    <row r="483" spans="1:10" ht="15.6" x14ac:dyDescent="0.3">
      <c r="A483" s="17" t="s">
        <v>5487</v>
      </c>
      <c r="B483" s="20" t="s">
        <v>705</v>
      </c>
      <c r="C483" s="21" t="s">
        <v>7529</v>
      </c>
      <c r="D483" s="23"/>
      <c r="E483" s="6" t="str">
        <f>LOOKUP(2,1/(MCQ!C:C=B483),MCQ!H:H)</f>
        <v>24.00</v>
      </c>
      <c r="F483" s="6" t="str">
        <f>LOOKUP(2,1/(Debugging!C:C=B483),Debugging!H:H)</f>
        <v>43.00</v>
      </c>
      <c r="G483" s="6" t="str">
        <f>LOOKUP(2,1/(Coding!C:C=B483),Coding!H:H)</f>
        <v>19.00</v>
      </c>
      <c r="H483" s="8">
        <f>E483+F483+G483</f>
        <v>86</v>
      </c>
      <c r="I483" s="4" t="str">
        <f>IF(J483&lt;&gt;"Complete","Not Active",IF(H483&gt;=75,"Good",IF(H483&gt;=50,"Satisfactory",IF(H483&gt;=25,"Need Attention","Intervention"))))</f>
        <v>Good</v>
      </c>
      <c r="J483" s="4" t="str">
        <f>IF(COUNTIF(E483:G483,"#N/A")=3,"Not Attempted",IF(OR(ISNA(E483),ISNA(F483),ISNA(G483)),"NotCompleted","Complete"))</f>
        <v>Complete</v>
      </c>
    </row>
    <row r="484" spans="1:10" ht="15.6" x14ac:dyDescent="0.3">
      <c r="A484" s="17" t="s">
        <v>5487</v>
      </c>
      <c r="B484" s="24" t="s">
        <v>6036</v>
      </c>
      <c r="C484" s="21" t="s">
        <v>7530</v>
      </c>
      <c r="D484" s="23"/>
      <c r="E484" s="6" t="str">
        <f>LOOKUP(2,1/(MCQ!C:C=B484),MCQ!H:H)</f>
        <v>25.00</v>
      </c>
      <c r="F484" s="6" t="e">
        <f>LOOKUP(2,1/(Debugging!C:C=B484),Debugging!H:H)</f>
        <v>#N/A</v>
      </c>
      <c r="G484" s="6" t="e">
        <f>LOOKUP(2,1/(Coding!C:C=B484),Coding!H:H)</f>
        <v>#N/A</v>
      </c>
      <c r="H484" s="8" t="e">
        <f>E484+F484+G484</f>
        <v>#N/A</v>
      </c>
      <c r="I484" s="4" t="str">
        <f>IF(J484&lt;&gt;"Complete","Not Active",IF(H484&gt;=75,"Good",IF(H484&gt;=50,"Satisfactory",IF(H484&gt;=25,"Need Attention","Intervention"))))</f>
        <v>Not Active</v>
      </c>
      <c r="J484" s="4" t="str">
        <f>IF(COUNTIF(E484:G484,"#N/A")=3,"Not Attempted",IF(OR(ISNA(E484),ISNA(F484),ISNA(G484)),"NotCompleted","Complete"))</f>
        <v>NotCompleted</v>
      </c>
    </row>
    <row r="485" spans="1:10" ht="15.6" x14ac:dyDescent="0.3">
      <c r="A485" s="17" t="s">
        <v>5487</v>
      </c>
      <c r="B485" s="24" t="s">
        <v>707</v>
      </c>
      <c r="C485" s="21" t="s">
        <v>7531</v>
      </c>
      <c r="D485" s="23"/>
      <c r="E485" s="6" t="str">
        <f>LOOKUP(2,1/(MCQ!C:C=B485),MCQ!H:H)</f>
        <v>23.00</v>
      </c>
      <c r="F485" s="6" t="str">
        <f>LOOKUP(2,1/(Debugging!C:C=B485),Debugging!H:H)</f>
        <v>15.00</v>
      </c>
      <c r="G485" s="6" t="e">
        <f>LOOKUP(2,1/(Coding!C:C=B485),Coding!H:H)</f>
        <v>#N/A</v>
      </c>
      <c r="H485" s="8" t="e">
        <f>E485+F485+G485</f>
        <v>#N/A</v>
      </c>
      <c r="I485" s="4" t="str">
        <f>IF(J485&lt;&gt;"Complete","Not Active",IF(H485&gt;=75,"Good",IF(H485&gt;=50,"Satisfactory",IF(H485&gt;=25,"Need Attention","Intervention"))))</f>
        <v>Not Active</v>
      </c>
      <c r="J485" s="4" t="str">
        <f>IF(COUNTIF(E485:G485,"#N/A")=3,"Not Attempted",IF(OR(ISNA(E485),ISNA(F485),ISNA(G485)),"NotCompleted","Complete"))</f>
        <v>NotCompleted</v>
      </c>
    </row>
    <row r="486" spans="1:10" ht="15.6" x14ac:dyDescent="0.3">
      <c r="A486" s="18" t="s">
        <v>5487</v>
      </c>
      <c r="B486" s="20" t="s">
        <v>730</v>
      </c>
      <c r="C486" s="21" t="s">
        <v>7532</v>
      </c>
      <c r="D486" s="23"/>
      <c r="E486" s="6" t="str">
        <f>LOOKUP(2,1/(MCQ!C:C=B486),MCQ!H:H)</f>
        <v>24.00</v>
      </c>
      <c r="F486" s="6" t="str">
        <f>LOOKUP(2,1/(Debugging!C:C=B486),Debugging!H:H)</f>
        <v>50.00</v>
      </c>
      <c r="G486" s="6" t="str">
        <f>LOOKUP(2,1/(Coding!C:C=B486),Coding!H:H)</f>
        <v>24.00</v>
      </c>
      <c r="H486" s="8">
        <f>E486+F486+G486</f>
        <v>98</v>
      </c>
      <c r="I486" s="4" t="str">
        <f>IF(J486&lt;&gt;"Complete","Not Active",IF(H486&gt;=75,"Good",IF(H486&gt;=50,"Satisfactory",IF(H486&gt;=25,"Need Attention","Intervention"))))</f>
        <v>Good</v>
      </c>
      <c r="J486" s="4" t="str">
        <f>IF(COUNTIF(E486:G486,"#N/A")=3,"Not Attempted",IF(OR(ISNA(E486),ISNA(F486),ISNA(G486)),"NotCompleted","Complete"))</f>
        <v>Complete</v>
      </c>
    </row>
    <row r="487" spans="1:10" ht="15.6" x14ac:dyDescent="0.3">
      <c r="A487" s="18" t="s">
        <v>5487</v>
      </c>
      <c r="B487" s="20" t="s">
        <v>5914</v>
      </c>
      <c r="C487" s="21" t="s">
        <v>7533</v>
      </c>
      <c r="D487" s="23"/>
      <c r="E487" s="6" t="str">
        <f>LOOKUP(2,1/(MCQ!C:C=B487),MCQ!H:H)</f>
        <v>23.00</v>
      </c>
      <c r="F487" s="6" t="e">
        <f>LOOKUP(2,1/(Debugging!C:C=B487),Debugging!H:H)</f>
        <v>#N/A</v>
      </c>
      <c r="G487" s="6" t="e">
        <f>LOOKUP(2,1/(Coding!C:C=B487),Coding!H:H)</f>
        <v>#N/A</v>
      </c>
      <c r="H487" s="8" t="e">
        <f>E487+F487+G487</f>
        <v>#N/A</v>
      </c>
      <c r="I487" s="4" t="str">
        <f>IF(J487&lt;&gt;"Complete","Not Active",IF(H487&gt;=75,"Good",IF(H487&gt;=50,"Satisfactory",IF(H487&gt;=25,"Need Attention","Intervention"))))</f>
        <v>Not Active</v>
      </c>
      <c r="J487" s="4" t="str">
        <f>IF(COUNTIF(E487:G487,"#N/A")=3,"Not Attempted",IF(OR(ISNA(E487),ISNA(F487),ISNA(G487)),"NotCompleted","Complete"))</f>
        <v>NotCompleted</v>
      </c>
    </row>
    <row r="488" spans="1:10" ht="15.6" x14ac:dyDescent="0.3">
      <c r="A488" s="18" t="s">
        <v>5487</v>
      </c>
      <c r="B488" s="20" t="s">
        <v>6583</v>
      </c>
      <c r="C488" s="21" t="s">
        <v>7534</v>
      </c>
      <c r="D488" s="23"/>
      <c r="E488" s="6" t="e">
        <f>LOOKUP(2,1/(MCQ!C:C=B488),MCQ!H:H)</f>
        <v>#N/A</v>
      </c>
      <c r="F488" s="6" t="e">
        <f>LOOKUP(2,1/(Debugging!C:C=B488),Debugging!H:H)</f>
        <v>#N/A</v>
      </c>
      <c r="G488" s="6" t="e">
        <f>LOOKUP(2,1/(Coding!C:C=B488),Coding!H:H)</f>
        <v>#N/A</v>
      </c>
      <c r="H488" s="8" t="e">
        <f>E488+F488+G488</f>
        <v>#N/A</v>
      </c>
      <c r="I488" s="4" t="str">
        <f>IF(J488&lt;&gt;"Complete","Not Active",IF(H488&gt;=75,"Good",IF(H488&gt;=50,"Satisfactory",IF(H488&gt;=25,"Need Attention","Intervention"))))</f>
        <v>Not Active</v>
      </c>
      <c r="J488" s="4" t="str">
        <f>IF(COUNTIF(E488:G488,"#N/A")=3,"Not Attempted",IF(OR(ISNA(E488),ISNA(F488),ISNA(G488)),"NotCompleted","Complete"))</f>
        <v>Not Attempted</v>
      </c>
    </row>
    <row r="489" spans="1:10" ht="15.6" x14ac:dyDescent="0.3">
      <c r="A489" s="18" t="s">
        <v>5487</v>
      </c>
      <c r="B489" s="20" t="s">
        <v>732</v>
      </c>
      <c r="C489" s="21" t="s">
        <v>7535</v>
      </c>
      <c r="D489" s="23"/>
      <c r="E489" s="6" t="str">
        <f>LOOKUP(2,1/(MCQ!C:C=B489),MCQ!H:H)</f>
        <v>22.00</v>
      </c>
      <c r="F489" s="6" t="str">
        <f>LOOKUP(2,1/(Debugging!C:C=B489),Debugging!H:H)</f>
        <v>39.00</v>
      </c>
      <c r="G489" s="6" t="str">
        <f>LOOKUP(2,1/(Coding!C:C=B489),Coding!H:H)</f>
        <v>24.00</v>
      </c>
      <c r="H489" s="8">
        <f>E489+F489+G489</f>
        <v>85</v>
      </c>
      <c r="I489" s="4" t="str">
        <f>IF(J489&lt;&gt;"Complete","Not Active",IF(H489&gt;=75,"Good",IF(H489&gt;=50,"Satisfactory",IF(H489&gt;=25,"Need Attention","Intervention"))))</f>
        <v>Good</v>
      </c>
      <c r="J489" s="4" t="str">
        <f>IF(COUNTIF(E489:G489,"#N/A")=3,"Not Attempted",IF(OR(ISNA(E489),ISNA(F489),ISNA(G489)),"NotCompleted","Complete"))</f>
        <v>Complete</v>
      </c>
    </row>
    <row r="490" spans="1:10" ht="15.6" x14ac:dyDescent="0.3">
      <c r="A490" s="17" t="s">
        <v>5488</v>
      </c>
      <c r="B490" s="20" t="s">
        <v>734</v>
      </c>
      <c r="C490" s="20" t="s">
        <v>6846</v>
      </c>
      <c r="D490" s="2" t="s">
        <v>8</v>
      </c>
      <c r="E490" s="6" t="str">
        <f>LOOKUP(2,1/(MCQ!C:C=B490),MCQ!H:H)</f>
        <v>19.00</v>
      </c>
      <c r="F490" s="6" t="e">
        <v>#N/A</v>
      </c>
      <c r="G490" s="6" t="str">
        <f>LOOKUP(2,1/(Coding!C:C=B490),Coding!H:H)</f>
        <v>25.00</v>
      </c>
      <c r="H490" s="8" t="e">
        <f>E490+F490+G490</f>
        <v>#N/A</v>
      </c>
      <c r="I490" s="4" t="str">
        <f>IF(J490&lt;&gt;"Complete","Not Active",IF(H490&gt;=75,"Good",IF(H490&gt;=50,"Satisfactory",IF(H490&gt;=25,"Need Attention","Intervention"))))</f>
        <v>Not Active</v>
      </c>
      <c r="J490" s="4" t="str">
        <f>IF(COUNTIF(E490:G490,"#N/A")=3,"Not Attempted",IF(OR(ISNA(E490),ISNA(F490),ISNA(G490)),"NotCompleted","Complete"))</f>
        <v>NotCompleted</v>
      </c>
    </row>
    <row r="491" spans="1:10" ht="15.6" x14ac:dyDescent="0.3">
      <c r="A491" s="17" t="s">
        <v>5488</v>
      </c>
      <c r="B491" s="20" t="s">
        <v>736</v>
      </c>
      <c r="C491" s="20" t="s">
        <v>6847</v>
      </c>
      <c r="D491" s="2" t="s">
        <v>80</v>
      </c>
      <c r="E491" s="6" t="str">
        <f>LOOKUP(2,1/(MCQ!C:C=B491),MCQ!H:H)</f>
        <v>24.00</v>
      </c>
      <c r="F491" s="6" t="str">
        <f>LOOKUP(2,1/(Debugging!C:C=B491),Debugging!H:H)</f>
        <v>50.00</v>
      </c>
      <c r="G491" s="6" t="str">
        <f>LOOKUP(2,1/(Coding!C:C=B491),Coding!H:H)</f>
        <v>25.00</v>
      </c>
      <c r="H491" s="8">
        <f>E491+F491+G491</f>
        <v>99</v>
      </c>
      <c r="I491" s="4" t="str">
        <f>IF(J491&lt;&gt;"Complete","Not Active",IF(H491&gt;=75,"Good",IF(H491&gt;=50,"Satisfactory",IF(H491&gt;=25,"Need Attention","Intervention"))))</f>
        <v>Good</v>
      </c>
      <c r="J491" s="4" t="str">
        <f>IF(COUNTIF(E491:G491,"#N/A")=3,"Not Attempted",IF(OR(ISNA(E491),ISNA(F491),ISNA(G491)),"NotCompleted","Complete"))</f>
        <v>Complete</v>
      </c>
    </row>
    <row r="492" spans="1:10" ht="15.6" x14ac:dyDescent="0.3">
      <c r="A492" s="17" t="s">
        <v>5488</v>
      </c>
      <c r="B492" s="20" t="s">
        <v>738</v>
      </c>
      <c r="C492" s="20" t="s">
        <v>6848</v>
      </c>
      <c r="D492" s="2" t="s">
        <v>31</v>
      </c>
      <c r="E492" s="6" t="str">
        <f>LOOKUP(2,1/(MCQ!C:C=B492),MCQ!H:H)</f>
        <v>24.00</v>
      </c>
      <c r="F492" s="6" t="str">
        <f>LOOKUP(2,1/(Debugging!C:C=B492),Debugging!H:H)</f>
        <v>46.00</v>
      </c>
      <c r="G492" s="6" t="str">
        <f>LOOKUP(2,1/(Coding!C:C=B492),Coding!H:H)</f>
        <v>22.00</v>
      </c>
      <c r="H492" s="8">
        <f>E492+F492+G492</f>
        <v>92</v>
      </c>
      <c r="I492" s="4" t="str">
        <f>IF(J492&lt;&gt;"Complete","Not Active",IF(H492&gt;=75,"Good",IF(H492&gt;=50,"Satisfactory",IF(H492&gt;=25,"Need Attention","Intervention"))))</f>
        <v>Good</v>
      </c>
      <c r="J492" s="4" t="str">
        <f>IF(COUNTIF(E492:G492,"#N/A")=3,"Not Attempted",IF(OR(ISNA(E492),ISNA(F492),ISNA(G492)),"NotCompleted","Complete"))</f>
        <v>Complete</v>
      </c>
    </row>
    <row r="493" spans="1:10" ht="15.6" x14ac:dyDescent="0.3">
      <c r="A493" s="17" t="s">
        <v>5488</v>
      </c>
      <c r="B493" s="20" t="s">
        <v>740</v>
      </c>
      <c r="C493" s="20" t="s">
        <v>6849</v>
      </c>
      <c r="D493" s="2" t="s">
        <v>526</v>
      </c>
      <c r="E493" s="6" t="str">
        <f>LOOKUP(2,1/(MCQ!C:C=B493),MCQ!H:H)</f>
        <v>21.00</v>
      </c>
      <c r="F493" s="6" t="e">
        <f>LOOKUP(2,1/(Debugging!C:C=B493),Debugging!H:H)</f>
        <v>#N/A</v>
      </c>
      <c r="G493" s="6" t="e">
        <f>LOOKUP(2,1/(Coding!C:C=B493),Coding!H:H)</f>
        <v>#N/A</v>
      </c>
      <c r="H493" s="8" t="e">
        <f>E493+F493+G493</f>
        <v>#N/A</v>
      </c>
      <c r="I493" s="4" t="str">
        <f>IF(J493&lt;&gt;"Complete","Not Active",IF(H493&gt;=75,"Good",IF(H493&gt;=50,"Satisfactory",IF(H493&gt;=25,"Need Attention","Intervention"))))</f>
        <v>Not Active</v>
      </c>
      <c r="J493" s="4" t="str">
        <f>IF(COUNTIF(E493:G493,"#N/A")=3,"Not Attempted",IF(OR(ISNA(E493),ISNA(F493),ISNA(G493)),"NotCompleted","Complete"))</f>
        <v>NotCompleted</v>
      </c>
    </row>
    <row r="494" spans="1:10" ht="15.6" x14ac:dyDescent="0.3">
      <c r="A494" s="17" t="s">
        <v>5488</v>
      </c>
      <c r="B494" s="20" t="s">
        <v>6461</v>
      </c>
      <c r="C494" s="20" t="s">
        <v>6850</v>
      </c>
      <c r="D494" s="2" t="s">
        <v>528</v>
      </c>
      <c r="E494" s="6" t="e">
        <f>LOOKUP(2,1/(MCQ!C:C=B494),MCQ!H:H)</f>
        <v>#N/A</v>
      </c>
      <c r="F494" s="6" t="e">
        <f>LOOKUP(2,1/(Debugging!C:C=B494),Debugging!H:H)</f>
        <v>#N/A</v>
      </c>
      <c r="G494" s="6" t="e">
        <f>LOOKUP(2,1/(Coding!C:C=B494),Coding!H:H)</f>
        <v>#N/A</v>
      </c>
      <c r="H494" s="8" t="e">
        <f>E494+F494+G494</f>
        <v>#N/A</v>
      </c>
      <c r="I494" s="4" t="str">
        <f>IF(J494&lt;&gt;"Complete","Not Active",IF(H494&gt;=75,"Good",IF(H494&gt;=50,"Satisfactory",IF(H494&gt;=25,"Need Attention","Intervention"))))</f>
        <v>Not Active</v>
      </c>
      <c r="J494" s="4" t="str">
        <f>IF(COUNTIF(E494:G494,"#N/A")=3,"Not Attempted",IF(OR(ISNA(E494),ISNA(F494),ISNA(G494)),"NotCompleted","Complete"))</f>
        <v>Not Attempted</v>
      </c>
    </row>
    <row r="495" spans="1:10" ht="15.6" x14ac:dyDescent="0.3">
      <c r="A495" s="17" t="s">
        <v>5488</v>
      </c>
      <c r="B495" s="20" t="s">
        <v>742</v>
      </c>
      <c r="C495" s="20" t="s">
        <v>6851</v>
      </c>
      <c r="D495" s="2" t="s">
        <v>42</v>
      </c>
      <c r="E495" s="6" t="e">
        <f>LOOKUP(2,1/(Debugging!B:B=A495),Debugging!G:G)</f>
        <v>#N/A</v>
      </c>
      <c r="F495" s="6" t="str">
        <f>LOOKUP(2,1/(Debugging!C:C=B495),Debugging!H:H)</f>
        <v>41.00</v>
      </c>
      <c r="G495" s="6" t="str">
        <f>LOOKUP(2,1/(Coding!C:C=B495),Coding!H:H)</f>
        <v>25.00</v>
      </c>
      <c r="H495" s="8" t="e">
        <f>E495+F495+G495</f>
        <v>#N/A</v>
      </c>
      <c r="I495" s="4" t="str">
        <f>IF(J495&lt;&gt;"Complete","Not Active",IF(H495&gt;=75,"Good",IF(H495&gt;=50,"Satisfactory",IF(H495&gt;=25,"Need Attention","Intervention"))))</f>
        <v>Not Active</v>
      </c>
      <c r="J495" s="4" t="str">
        <f>IF(COUNTIF(E495:G495,"#N/A")=3,"Not Attempted",IF(OR(ISNA(E495),ISNA(F495),ISNA(G495)),"NotCompleted","Complete"))</f>
        <v>NotCompleted</v>
      </c>
    </row>
    <row r="496" spans="1:10" ht="15.6" x14ac:dyDescent="0.3">
      <c r="A496" s="17" t="s">
        <v>5488</v>
      </c>
      <c r="B496" s="20" t="s">
        <v>744</v>
      </c>
      <c r="C496" s="20" t="s">
        <v>6852</v>
      </c>
      <c r="D496" s="2" t="s">
        <v>19</v>
      </c>
      <c r="E496" s="6" t="str">
        <f>LOOKUP(2,1/(MCQ!C:C=B496),MCQ!H:H)</f>
        <v>23.00</v>
      </c>
      <c r="F496" s="6" t="str">
        <f>LOOKUP(2,1/(Debugging!C:C=B496),Debugging!H:H)</f>
        <v>36.00</v>
      </c>
      <c r="G496" s="6" t="str">
        <f>LOOKUP(2,1/(Coding!C:C=B496),Coding!H:H)</f>
        <v>23.00</v>
      </c>
      <c r="H496" s="8">
        <f>E496+F496+G496</f>
        <v>82</v>
      </c>
      <c r="I496" s="4" t="str">
        <f>IF(J496&lt;&gt;"Complete","Not Active",IF(H496&gt;=75,"Good",IF(H496&gt;=50,"Satisfactory",IF(H496&gt;=25,"Need Attention","Intervention"))))</f>
        <v>Good</v>
      </c>
      <c r="J496" s="4" t="str">
        <f>IF(COUNTIF(E496:G496,"#N/A")=3,"Not Attempted",IF(OR(ISNA(E496),ISNA(F496),ISNA(G496)),"NotCompleted","Complete"))</f>
        <v>Complete</v>
      </c>
    </row>
    <row r="497" spans="1:10" ht="15.6" x14ac:dyDescent="0.3">
      <c r="A497" s="17" t="s">
        <v>5488</v>
      </c>
      <c r="B497" s="20" t="s">
        <v>746</v>
      </c>
      <c r="C497" s="20" t="s">
        <v>6853</v>
      </c>
      <c r="D497" s="2" t="s">
        <v>28</v>
      </c>
      <c r="E497" s="6" t="str">
        <f>LOOKUP(2,1/(MCQ!C:C=B497),MCQ!H:H)</f>
        <v>25.00</v>
      </c>
      <c r="F497" s="6" t="e">
        <f>LOOKUP(2,1/(Coding!B:B=A497),Coding!G:G)</f>
        <v>#N/A</v>
      </c>
      <c r="G497" s="6" t="str">
        <f>LOOKUP(2,1/(Coding!C:C=B497),Coding!H:H)</f>
        <v>22.50</v>
      </c>
      <c r="H497" s="8" t="e">
        <f>E497+F497+G497</f>
        <v>#N/A</v>
      </c>
      <c r="I497" s="4" t="str">
        <f>IF(J497&lt;&gt;"Complete","Not Active",IF(H497&gt;=75,"Good",IF(H497&gt;=50,"Satisfactory",IF(H497&gt;=25,"Need Attention","Intervention"))))</f>
        <v>Not Active</v>
      </c>
      <c r="J497" s="4" t="str">
        <f>IF(COUNTIF(E497:G497,"#N/A")=3,"Not Attempted",IF(OR(ISNA(E497),ISNA(F497),ISNA(G497)),"NotCompleted","Complete"))</f>
        <v>NotCompleted</v>
      </c>
    </row>
    <row r="498" spans="1:10" ht="15.6" x14ac:dyDescent="0.3">
      <c r="A498" s="17" t="s">
        <v>5488</v>
      </c>
      <c r="B498" s="20" t="s">
        <v>6462</v>
      </c>
      <c r="C498" s="20" t="s">
        <v>6854</v>
      </c>
      <c r="D498" s="2" t="s">
        <v>25</v>
      </c>
      <c r="E498" s="6" t="e">
        <f>LOOKUP(2,1/(MCQ!C:C=B498),MCQ!H:H)</f>
        <v>#N/A</v>
      </c>
      <c r="F498" s="6" t="e">
        <f>LOOKUP(2,1/(Debugging!C:C=B498),Debugging!H:H)</f>
        <v>#N/A</v>
      </c>
      <c r="G498" s="6" t="e">
        <f>LOOKUP(2,1/(Coding!C:C=B498),Coding!H:H)</f>
        <v>#N/A</v>
      </c>
      <c r="H498" s="8" t="e">
        <f>E498+F498+G498</f>
        <v>#N/A</v>
      </c>
      <c r="I498" s="4" t="str">
        <f>IF(J498&lt;&gt;"Complete","Not Active",IF(H498&gt;=75,"Good",IF(H498&gt;=50,"Satisfactory",IF(H498&gt;=25,"Need Attention","Intervention"))))</f>
        <v>Not Active</v>
      </c>
      <c r="J498" s="4" t="str">
        <f>IF(COUNTIF(E498:G498,"#N/A")=3,"Not Attempted",IF(OR(ISNA(E498),ISNA(F498),ISNA(G498)),"NotCompleted","Complete"))</f>
        <v>Not Attempted</v>
      </c>
    </row>
    <row r="499" spans="1:10" ht="15.6" x14ac:dyDescent="0.3">
      <c r="A499" s="17" t="s">
        <v>5488</v>
      </c>
      <c r="B499" s="20" t="s">
        <v>749</v>
      </c>
      <c r="C499" s="20" t="s">
        <v>6855</v>
      </c>
      <c r="D499" s="2" t="s">
        <v>8</v>
      </c>
      <c r="E499" s="6" t="str">
        <f>LOOKUP(2,1/(MCQ!C:C=B499),MCQ!H:H)</f>
        <v>24.00</v>
      </c>
      <c r="F499" s="6" t="str">
        <f>LOOKUP(2,1/(Debugging!C:C=B499),Debugging!H:H)</f>
        <v>36.00</v>
      </c>
      <c r="G499" s="6" t="str">
        <f>LOOKUP(2,1/(Coding!C:C=B499),Coding!H:H)</f>
        <v>25.00</v>
      </c>
      <c r="H499" s="8">
        <f>E499+F499+G499</f>
        <v>85</v>
      </c>
      <c r="I499" s="4" t="str">
        <f>IF(J499&lt;&gt;"Complete","Not Active",IF(H499&gt;=75,"Good",IF(H499&gt;=50,"Satisfactory",IF(H499&gt;=25,"Need Attention","Intervention"))))</f>
        <v>Good</v>
      </c>
      <c r="J499" s="4" t="str">
        <f>IF(COUNTIF(E499:G499,"#N/A")=3,"Not Attempted",IF(OR(ISNA(E499),ISNA(F499),ISNA(G499)),"NotCompleted","Complete"))</f>
        <v>Complete</v>
      </c>
    </row>
    <row r="500" spans="1:10" ht="15.6" x14ac:dyDescent="0.3">
      <c r="A500" s="17" t="s">
        <v>5488</v>
      </c>
      <c r="B500" s="20" t="s">
        <v>751</v>
      </c>
      <c r="C500" s="20" t="s">
        <v>6856</v>
      </c>
      <c r="D500" s="2" t="s">
        <v>540</v>
      </c>
      <c r="E500" s="6" t="str">
        <f>LOOKUP(2,1/(MCQ!C:C=B500),MCQ!H:H)</f>
        <v>22.00</v>
      </c>
      <c r="F500" s="6" t="str">
        <f>LOOKUP(2,1/(Debugging!C:C=B500),Debugging!H:H)</f>
        <v>43.00</v>
      </c>
      <c r="G500" s="6" t="str">
        <f>LOOKUP(2,1/(Coding!C:C=B500),Coding!H:H)</f>
        <v>25.00</v>
      </c>
      <c r="H500" s="8">
        <f>E500+F500+G500</f>
        <v>90</v>
      </c>
      <c r="I500" s="4" t="str">
        <f>IF(J500&lt;&gt;"Complete","Not Active",IF(H500&gt;=75,"Good",IF(H500&gt;=50,"Satisfactory",IF(H500&gt;=25,"Need Attention","Intervention"))))</f>
        <v>Good</v>
      </c>
      <c r="J500" s="4" t="str">
        <f>IF(COUNTIF(E500:G500,"#N/A")=3,"Not Attempted",IF(OR(ISNA(E500),ISNA(F500),ISNA(G500)),"NotCompleted","Complete"))</f>
        <v>Complete</v>
      </c>
    </row>
    <row r="501" spans="1:10" ht="15.6" x14ac:dyDescent="0.3">
      <c r="A501" s="17" t="s">
        <v>5488</v>
      </c>
      <c r="B501" s="20" t="s">
        <v>753</v>
      </c>
      <c r="C501" s="20" t="s">
        <v>6857</v>
      </c>
      <c r="D501" s="2" t="s">
        <v>28</v>
      </c>
      <c r="E501" s="6" t="str">
        <f>LOOKUP(2,1/(MCQ!C:C=B501),MCQ!H:H)</f>
        <v>24.00</v>
      </c>
      <c r="F501" s="6" t="str">
        <f>LOOKUP(2,1/(Debugging!C:C=B501),Debugging!H:H)</f>
        <v>49.00</v>
      </c>
      <c r="G501" s="6" t="str">
        <f>LOOKUP(2,1/(Coding!C:C=B501),Coding!H:H)</f>
        <v>24.00</v>
      </c>
      <c r="H501" s="8">
        <f>E501+F501+G501</f>
        <v>97</v>
      </c>
      <c r="I501" s="4" t="str">
        <f>IF(J501&lt;&gt;"Complete","Not Active",IF(H501&gt;=75,"Good",IF(H501&gt;=50,"Satisfactory",IF(H501&gt;=25,"Need Attention","Intervention"))))</f>
        <v>Good</v>
      </c>
      <c r="J501" s="4" t="str">
        <f>IF(COUNTIF(E501:G501,"#N/A")=3,"Not Attempted",IF(OR(ISNA(E501),ISNA(F501),ISNA(G501)),"NotCompleted","Complete"))</f>
        <v>Complete</v>
      </c>
    </row>
    <row r="502" spans="1:10" ht="15.6" x14ac:dyDescent="0.3">
      <c r="A502" s="17" t="s">
        <v>5488</v>
      </c>
      <c r="B502" s="20" t="s">
        <v>755</v>
      </c>
      <c r="C502" s="20" t="s">
        <v>6858</v>
      </c>
      <c r="D502" s="2" t="s">
        <v>55</v>
      </c>
      <c r="E502" s="6" t="str">
        <f>LOOKUP(2,1/(MCQ!C:C=B502),MCQ!H:H)</f>
        <v>20.00</v>
      </c>
      <c r="F502" s="6" t="e">
        <v>#N/A</v>
      </c>
      <c r="G502" s="6" t="str">
        <f>LOOKUP(2,1/(Coding!C:C=B502),Coding!H:H)</f>
        <v>23.00</v>
      </c>
      <c r="H502" s="8" t="e">
        <f>E502+F502+G502</f>
        <v>#N/A</v>
      </c>
      <c r="I502" s="4" t="str">
        <f>IF(J502&lt;&gt;"Complete","Not Active",IF(H502&gt;=75,"Good",IF(H502&gt;=50,"Satisfactory",IF(H502&gt;=25,"Need Attention","Intervention"))))</f>
        <v>Not Active</v>
      </c>
      <c r="J502" s="4" t="str">
        <f>IF(COUNTIF(E502:G502,"#N/A")=3,"Not Attempted",IF(OR(ISNA(E502),ISNA(F502),ISNA(G502)),"NotCompleted","Complete"))</f>
        <v>NotCompleted</v>
      </c>
    </row>
    <row r="503" spans="1:10" ht="15.6" x14ac:dyDescent="0.3">
      <c r="A503" s="17" t="s">
        <v>5488</v>
      </c>
      <c r="B503" s="20" t="s">
        <v>757</v>
      </c>
      <c r="C503" s="20" t="s">
        <v>6859</v>
      </c>
      <c r="D503" s="2" t="s">
        <v>547</v>
      </c>
      <c r="E503" s="6" t="str">
        <f>LOOKUP(2,1/(MCQ!C:C=B503),MCQ!H:H)</f>
        <v>23.00</v>
      </c>
      <c r="F503" s="6" t="str">
        <f>LOOKUP(2,1/(Debugging!C:C=B503),Debugging!H:H)</f>
        <v>31.00</v>
      </c>
      <c r="G503" s="6" t="str">
        <f>LOOKUP(2,1/(Coding!C:C=B503),Coding!H:H)</f>
        <v>25.00</v>
      </c>
      <c r="H503" s="8">
        <f>E503+F503+G503</f>
        <v>79</v>
      </c>
      <c r="I503" s="4" t="str">
        <f>IF(J503&lt;&gt;"Complete","Not Active",IF(H503&gt;=75,"Good",IF(H503&gt;=50,"Satisfactory",IF(H503&gt;=25,"Need Attention","Intervention"))))</f>
        <v>Good</v>
      </c>
      <c r="J503" s="4" t="str">
        <f>IF(COUNTIF(E503:G503,"#N/A")=3,"Not Attempted",IF(OR(ISNA(E503),ISNA(F503),ISNA(G503)),"NotCompleted","Complete"))</f>
        <v>Complete</v>
      </c>
    </row>
    <row r="504" spans="1:10" ht="15.6" x14ac:dyDescent="0.3">
      <c r="A504" s="17" t="s">
        <v>5488</v>
      </c>
      <c r="B504" s="20" t="s">
        <v>758</v>
      </c>
      <c r="C504" s="20" t="s">
        <v>6860</v>
      </c>
      <c r="D504" s="2" t="s">
        <v>25</v>
      </c>
      <c r="E504" s="6" t="str">
        <f>LOOKUP(2,1/(MCQ!C:C=B504),MCQ!H:H)</f>
        <v>21.00</v>
      </c>
      <c r="F504" s="6" t="e">
        <f>LOOKUP(2,1/(Debugging!C:C=B504),Debugging!H:H)</f>
        <v>#N/A</v>
      </c>
      <c r="G504" s="6" t="str">
        <f>LOOKUP(2,1/(Coding!C:C=B504),Coding!H:H)</f>
        <v>25.00</v>
      </c>
      <c r="H504" s="8" t="e">
        <f>E504+F504+G504</f>
        <v>#N/A</v>
      </c>
      <c r="I504" s="4" t="str">
        <f>IF(J504&lt;&gt;"Complete","Not Active",IF(H504&gt;=75,"Good",IF(H504&gt;=50,"Satisfactory",IF(H504&gt;=25,"Need Attention","Intervention"))))</f>
        <v>Not Active</v>
      </c>
      <c r="J504" s="4" t="str">
        <f>IF(COUNTIF(E504:G504,"#N/A")=3,"Not Attempted",IF(OR(ISNA(E504),ISNA(F504),ISNA(G504)),"NotCompleted","Complete"))</f>
        <v>NotCompleted</v>
      </c>
    </row>
    <row r="505" spans="1:10" ht="15.6" x14ac:dyDescent="0.3">
      <c r="A505" s="17" t="s">
        <v>5488</v>
      </c>
      <c r="B505" s="20" t="s">
        <v>760</v>
      </c>
      <c r="C505" s="20" t="s">
        <v>6861</v>
      </c>
      <c r="D505" s="2" t="s">
        <v>293</v>
      </c>
      <c r="E505" s="6" t="str">
        <f>LOOKUP(2,1/(MCQ!C:C=B505),MCQ!H:H)</f>
        <v>24.00</v>
      </c>
      <c r="F505" s="6" t="str">
        <f>LOOKUP(2,1/(Debugging!C:C=B505),Debugging!H:H)</f>
        <v>50.00</v>
      </c>
      <c r="G505" s="6" t="e">
        <f>LOOKUP(2,1/(Coding!C:C=B505),Coding!H:H)</f>
        <v>#N/A</v>
      </c>
      <c r="H505" s="8" t="e">
        <f>E505+F505+G505</f>
        <v>#N/A</v>
      </c>
      <c r="I505" s="4" t="str">
        <f>IF(J505&lt;&gt;"Complete","Not Active",IF(H505&gt;=75,"Good",IF(H505&gt;=50,"Satisfactory",IF(H505&gt;=25,"Need Attention","Intervention"))))</f>
        <v>Not Active</v>
      </c>
      <c r="J505" s="4" t="str">
        <f>IF(COUNTIF(E505:G505,"#N/A")=3,"Not Attempted",IF(OR(ISNA(E505),ISNA(F505),ISNA(G505)),"NotCompleted","Complete"))</f>
        <v>NotCompleted</v>
      </c>
    </row>
    <row r="506" spans="1:10" ht="15.6" x14ac:dyDescent="0.3">
      <c r="A506" s="17" t="s">
        <v>5488</v>
      </c>
      <c r="B506" s="20" t="s">
        <v>761</v>
      </c>
      <c r="C506" s="20" t="s">
        <v>6862</v>
      </c>
      <c r="D506" s="2" t="s">
        <v>170</v>
      </c>
      <c r="E506" s="6" t="str">
        <f>LOOKUP(2,1/(MCQ!C:C=B506),MCQ!H:H)</f>
        <v>21.00</v>
      </c>
      <c r="F506" s="6" t="str">
        <f>LOOKUP(2,1/(Debugging!C:C=B506),Debugging!H:H)</f>
        <v>40.00</v>
      </c>
      <c r="G506" s="6" t="str">
        <f>LOOKUP(2,1/(Coding!C:C=B506),Coding!H:H)</f>
        <v>25.00</v>
      </c>
      <c r="H506" s="8">
        <f>E506+F506+G506</f>
        <v>86</v>
      </c>
      <c r="I506" s="4" t="str">
        <f>IF(J506&lt;&gt;"Complete","Not Active",IF(H506&gt;=75,"Good",IF(H506&gt;=50,"Satisfactory",IF(H506&gt;=25,"Need Attention","Intervention"))))</f>
        <v>Good</v>
      </c>
      <c r="J506" s="4" t="str">
        <f>IF(COUNTIF(E506:G506,"#N/A")=3,"Not Attempted",IF(OR(ISNA(E506),ISNA(F506),ISNA(G506)),"NotCompleted","Complete"))</f>
        <v>Complete</v>
      </c>
    </row>
    <row r="507" spans="1:10" ht="15.6" x14ac:dyDescent="0.3">
      <c r="A507" s="17" t="s">
        <v>5488</v>
      </c>
      <c r="B507" s="20" t="s">
        <v>763</v>
      </c>
      <c r="C507" s="20" t="s">
        <v>6863</v>
      </c>
      <c r="D507" s="2" t="s">
        <v>71</v>
      </c>
      <c r="E507" s="6" t="str">
        <f>LOOKUP(2,1/(MCQ!C:C=B507),MCQ!H:H)</f>
        <v>21.00</v>
      </c>
      <c r="F507" s="6" t="str">
        <f>LOOKUP(2,1/(Debugging!C:C=B507),Debugging!H:H)</f>
        <v>40.00</v>
      </c>
      <c r="G507" s="6" t="str">
        <f>LOOKUP(2,1/(Coding!C:C=B507),Coding!H:H)</f>
        <v>25.00</v>
      </c>
      <c r="H507" s="8">
        <f>E507+F507+G507</f>
        <v>86</v>
      </c>
      <c r="I507" s="4" t="str">
        <f>IF(J507&lt;&gt;"Complete","Not Active",IF(H507&gt;=75,"Good",IF(H507&gt;=50,"Satisfactory",IF(H507&gt;=25,"Need Attention","Intervention"))))</f>
        <v>Good</v>
      </c>
      <c r="J507" s="4" t="str">
        <f>IF(COUNTIF(E507:G507,"#N/A")=3,"Not Attempted",IF(OR(ISNA(E507),ISNA(F507),ISNA(G507)),"NotCompleted","Complete"))</f>
        <v>Complete</v>
      </c>
    </row>
    <row r="508" spans="1:10" ht="15.6" x14ac:dyDescent="0.3">
      <c r="A508" s="17" t="s">
        <v>5488</v>
      </c>
      <c r="B508" s="20" t="s">
        <v>764</v>
      </c>
      <c r="C508" s="20" t="s">
        <v>6864</v>
      </c>
      <c r="D508" s="2" t="s">
        <v>28</v>
      </c>
      <c r="E508" s="6" t="str">
        <f>LOOKUP(2,1/(MCQ!C:C=B508),MCQ!H:H)</f>
        <v>24.00</v>
      </c>
      <c r="F508" s="6" t="str">
        <f>LOOKUP(2,1/(Debugging!C:C=B508),Debugging!H:H)</f>
        <v>37.00</v>
      </c>
      <c r="G508" s="6" t="str">
        <f>LOOKUP(2,1/(Coding!C:C=B508),Coding!H:H)</f>
        <v>19.00</v>
      </c>
      <c r="H508" s="8">
        <f>E508+F508+G508</f>
        <v>80</v>
      </c>
      <c r="I508" s="4" t="str">
        <f>IF(J508&lt;&gt;"Complete","Not Active",IF(H508&gt;=75,"Good",IF(H508&gt;=50,"Satisfactory",IF(H508&gt;=25,"Need Attention","Intervention"))))</f>
        <v>Good</v>
      </c>
      <c r="J508" s="4" t="str">
        <f>IF(COUNTIF(E508:G508,"#N/A")=3,"Not Attempted",IF(OR(ISNA(E508),ISNA(F508),ISNA(G508)),"NotCompleted","Complete"))</f>
        <v>Complete</v>
      </c>
    </row>
    <row r="509" spans="1:10" ht="15.6" x14ac:dyDescent="0.3">
      <c r="A509" s="17" t="s">
        <v>5488</v>
      </c>
      <c r="B509" s="20" t="s">
        <v>766</v>
      </c>
      <c r="C509" s="20" t="s">
        <v>6865</v>
      </c>
      <c r="D509" s="2" t="s">
        <v>8</v>
      </c>
      <c r="E509" s="6" t="str">
        <f>LOOKUP(2,1/(MCQ!C:C=B509),MCQ!H:H)</f>
        <v>24.00</v>
      </c>
      <c r="F509" s="6" t="str">
        <f>LOOKUP(2,1/(Debugging!C:C=B509),Debugging!H:H)</f>
        <v>43.00</v>
      </c>
      <c r="G509" s="6" t="str">
        <f>LOOKUP(2,1/(Coding!C:C=B509),Coding!H:H)</f>
        <v>25.00</v>
      </c>
      <c r="H509" s="8">
        <f>E509+F509+G509</f>
        <v>92</v>
      </c>
      <c r="I509" s="4" t="str">
        <f>IF(J509&lt;&gt;"Complete","Not Active",IF(H509&gt;=75,"Good",IF(H509&gt;=50,"Satisfactory",IF(H509&gt;=25,"Need Attention","Intervention"))))</f>
        <v>Good</v>
      </c>
      <c r="J509" s="4" t="str">
        <f>IF(COUNTIF(E509:G509,"#N/A")=3,"Not Attempted",IF(OR(ISNA(E509),ISNA(F509),ISNA(G509)),"NotCompleted","Complete"))</f>
        <v>Complete</v>
      </c>
    </row>
    <row r="510" spans="1:10" ht="15.6" x14ac:dyDescent="0.3">
      <c r="A510" s="17" t="s">
        <v>5488</v>
      </c>
      <c r="B510" s="20" t="s">
        <v>768</v>
      </c>
      <c r="C510" s="20" t="s">
        <v>6866</v>
      </c>
      <c r="D510" s="2" t="s">
        <v>8</v>
      </c>
      <c r="E510" s="6" t="str">
        <f>LOOKUP(2,1/(MCQ!C:C=B510),MCQ!H:H)</f>
        <v>22.00</v>
      </c>
      <c r="F510" s="6" t="str">
        <f>LOOKUP(2,1/(Debugging!C:C=B510),Debugging!H:H)</f>
        <v>12.00</v>
      </c>
      <c r="G510" s="6" t="str">
        <f>LOOKUP(2,1/(Coding!C:C=B510),Coding!H:H)</f>
        <v>9.00</v>
      </c>
      <c r="H510" s="8">
        <f>E510+F510+G510</f>
        <v>43</v>
      </c>
      <c r="I510" s="4" t="str">
        <f>IF(J510&lt;&gt;"Complete","Not Active",IF(H510&gt;=75,"Good",IF(H510&gt;=50,"Satisfactory",IF(H510&gt;=25,"Need Attention","Intervention"))))</f>
        <v>Need Attention</v>
      </c>
      <c r="J510" s="4" t="str">
        <f>IF(COUNTIF(E510:G510,"#N/A")=3,"Not Attempted",IF(OR(ISNA(E510),ISNA(F510),ISNA(G510)),"NotCompleted","Complete"))</f>
        <v>Complete</v>
      </c>
    </row>
    <row r="511" spans="1:10" ht="15.6" x14ac:dyDescent="0.3">
      <c r="A511" s="17" t="s">
        <v>5488</v>
      </c>
      <c r="B511" s="20" t="s">
        <v>6463</v>
      </c>
      <c r="C511" s="20" t="s">
        <v>6867</v>
      </c>
      <c r="D511" s="2" t="s">
        <v>563</v>
      </c>
      <c r="E511" s="6" t="e">
        <f>LOOKUP(2,1/(MCQ!C:C=B511),MCQ!H:H)</f>
        <v>#N/A</v>
      </c>
      <c r="F511" s="6" t="e">
        <f>LOOKUP(2,1/(Debugging!C:C=B511),Debugging!H:H)</f>
        <v>#N/A</v>
      </c>
      <c r="G511" s="6" t="e">
        <f>LOOKUP(2,1/(Coding!C:C=B511),Coding!H:H)</f>
        <v>#N/A</v>
      </c>
      <c r="H511" s="8" t="e">
        <f>E511+F511+G511</f>
        <v>#N/A</v>
      </c>
      <c r="I511" s="4" t="str">
        <f>IF(J511&lt;&gt;"Complete","Not Active",IF(H511&gt;=75,"Good",IF(H511&gt;=50,"Satisfactory",IF(H511&gt;=25,"Need Attention","Intervention"))))</f>
        <v>Not Active</v>
      </c>
      <c r="J511" s="4" t="str">
        <f>IF(COUNTIF(E511:G511,"#N/A")=3,"Not Attempted",IF(OR(ISNA(E511),ISNA(F511),ISNA(G511)),"NotCompleted","Complete"))</f>
        <v>Not Attempted</v>
      </c>
    </row>
    <row r="512" spans="1:10" ht="15.6" x14ac:dyDescent="0.3">
      <c r="A512" s="17" t="s">
        <v>5488</v>
      </c>
      <c r="B512" s="20" t="s">
        <v>770</v>
      </c>
      <c r="C512" s="20" t="s">
        <v>6868</v>
      </c>
      <c r="D512" s="2" t="s">
        <v>42</v>
      </c>
      <c r="E512" s="6" t="str">
        <f>LOOKUP(2,1/(MCQ!C:C=B512),MCQ!H:H)</f>
        <v>24.00</v>
      </c>
      <c r="F512" s="6" t="str">
        <f>LOOKUP(2,1/(Debugging!C:C=B512),Debugging!H:H)</f>
        <v>44.00</v>
      </c>
      <c r="G512" s="6" t="str">
        <f>LOOKUP(2,1/(Coding!C:C=B512),Coding!H:H)</f>
        <v>18.50</v>
      </c>
      <c r="H512" s="8">
        <f>E512+F512+G512</f>
        <v>86.5</v>
      </c>
      <c r="I512" s="4" t="str">
        <f>IF(J512&lt;&gt;"Complete","Not Active",IF(H512&gt;=75,"Good",IF(H512&gt;=50,"Satisfactory",IF(H512&gt;=25,"Need Attention","Intervention"))))</f>
        <v>Good</v>
      </c>
      <c r="J512" s="4" t="str">
        <f>IF(COUNTIF(E512:G512,"#N/A")=3,"Not Attempted",IF(OR(ISNA(E512),ISNA(F512),ISNA(G512)),"NotCompleted","Complete"))</f>
        <v>Complete</v>
      </c>
    </row>
    <row r="513" spans="1:10" ht="15.6" x14ac:dyDescent="0.3">
      <c r="A513" s="17" t="s">
        <v>5488</v>
      </c>
      <c r="B513" s="20" t="s">
        <v>772</v>
      </c>
      <c r="C513" s="20" t="s">
        <v>6869</v>
      </c>
      <c r="D513" s="2" t="s">
        <v>49</v>
      </c>
      <c r="E513" s="6" t="str">
        <f>LOOKUP(2,1/(MCQ!C:C=B513),MCQ!H:H)</f>
        <v>19.00</v>
      </c>
      <c r="F513" s="6" t="str">
        <f>LOOKUP(2,1/(Debugging!C:C=B513),Debugging!H:H)</f>
        <v>40.00</v>
      </c>
      <c r="G513" s="6" t="str">
        <f>LOOKUP(2,1/(Coding!C:C=B513),Coding!H:H)</f>
        <v>23.50</v>
      </c>
      <c r="H513" s="8">
        <f>E513+F513+G513</f>
        <v>82.5</v>
      </c>
      <c r="I513" s="4" t="str">
        <f>IF(J513&lt;&gt;"Complete","Not Active",IF(H513&gt;=75,"Good",IF(H513&gt;=50,"Satisfactory",IF(H513&gt;=25,"Need Attention","Intervention"))))</f>
        <v>Good</v>
      </c>
      <c r="J513" s="4" t="str">
        <f>IF(COUNTIF(E513:G513,"#N/A")=3,"Not Attempted",IF(OR(ISNA(E513),ISNA(F513),ISNA(G513)),"NotCompleted","Complete"))</f>
        <v>Complete</v>
      </c>
    </row>
    <row r="514" spans="1:10" ht="15.6" x14ac:dyDescent="0.3">
      <c r="A514" s="17" t="s">
        <v>5488</v>
      </c>
      <c r="B514" s="20" t="s">
        <v>774</v>
      </c>
      <c r="C514" s="20" t="s">
        <v>6870</v>
      </c>
      <c r="D514" s="2" t="s">
        <v>11</v>
      </c>
      <c r="E514" s="6" t="str">
        <f>LOOKUP(2,1/(MCQ!C:C=B514),MCQ!H:H)</f>
        <v>24.00</v>
      </c>
      <c r="F514" s="6" t="str">
        <f>LOOKUP(2,1/(Debugging!C:C=B514),Debugging!H:H)</f>
        <v>38.00</v>
      </c>
      <c r="G514" s="6" t="str">
        <f>LOOKUP(2,1/(Coding!C:C=B514),Coding!H:H)</f>
        <v>22.50</v>
      </c>
      <c r="H514" s="8">
        <f>E514+F514+G514</f>
        <v>84.5</v>
      </c>
      <c r="I514" s="4" t="str">
        <f>IF(J514&lt;&gt;"Complete","Not Active",IF(H514&gt;=75,"Good",IF(H514&gt;=50,"Satisfactory",IF(H514&gt;=25,"Need Attention","Intervention"))))</f>
        <v>Good</v>
      </c>
      <c r="J514" s="4" t="str">
        <f>IF(COUNTIF(E514:G514,"#N/A")=3,"Not Attempted",IF(OR(ISNA(E514),ISNA(F514),ISNA(G514)),"NotCompleted","Complete"))</f>
        <v>Complete</v>
      </c>
    </row>
    <row r="515" spans="1:10" ht="15.6" x14ac:dyDescent="0.3">
      <c r="A515" s="17" t="s">
        <v>5488</v>
      </c>
      <c r="B515" s="20" t="s">
        <v>776</v>
      </c>
      <c r="C515" s="20" t="s">
        <v>6871</v>
      </c>
      <c r="D515" s="2" t="s">
        <v>55</v>
      </c>
      <c r="E515" s="6" t="str">
        <f>LOOKUP(2,1/(MCQ!C:C=B515),MCQ!H:H)</f>
        <v>24.00</v>
      </c>
      <c r="F515" s="6" t="str">
        <f>LOOKUP(2,1/(Debugging!C:C=B515),Debugging!H:H)</f>
        <v>43.00</v>
      </c>
      <c r="G515" s="6" t="str">
        <f>LOOKUP(2,1/(Coding!C:C=B515),Coding!H:H)</f>
        <v>20.50</v>
      </c>
      <c r="H515" s="8">
        <f>E515+F515+G515</f>
        <v>87.5</v>
      </c>
      <c r="I515" s="4" t="str">
        <f>IF(J515&lt;&gt;"Complete","Not Active",IF(H515&gt;=75,"Good",IF(H515&gt;=50,"Satisfactory",IF(H515&gt;=25,"Need Attention","Intervention"))))</f>
        <v>Good</v>
      </c>
      <c r="J515" s="4" t="str">
        <f>IF(COUNTIF(E515:G515,"#N/A")=3,"Not Attempted",IF(OR(ISNA(E515),ISNA(F515),ISNA(G515)),"NotCompleted","Complete"))</f>
        <v>Complete</v>
      </c>
    </row>
    <row r="516" spans="1:10" ht="15.6" x14ac:dyDescent="0.3">
      <c r="A516" s="17" t="s">
        <v>5488</v>
      </c>
      <c r="B516" s="20" t="s">
        <v>5521</v>
      </c>
      <c r="C516" s="20" t="s">
        <v>6872</v>
      </c>
      <c r="D516" s="2" t="s">
        <v>42</v>
      </c>
      <c r="E516" s="6" t="str">
        <f>LOOKUP(2,1/(MCQ!C:C=B516),MCQ!H:H)</f>
        <v>23.00</v>
      </c>
      <c r="F516" s="6" t="e">
        <f>LOOKUP(2,1/(Debugging!C:C=B516),Debugging!H:H)</f>
        <v>#N/A</v>
      </c>
      <c r="G516" s="6" t="e">
        <f>LOOKUP(2,1/(Coding!C:C=B516),Coding!H:H)</f>
        <v>#N/A</v>
      </c>
      <c r="H516" s="8" t="e">
        <f>E516+F516+G516</f>
        <v>#N/A</v>
      </c>
      <c r="I516" s="4" t="str">
        <f>IF(J516&lt;&gt;"Complete","Not Active",IF(H516&gt;=75,"Good",IF(H516&gt;=50,"Satisfactory",IF(H516&gt;=25,"Need Attention","Intervention"))))</f>
        <v>Not Active</v>
      </c>
      <c r="J516" s="4" t="str">
        <f>IF(COUNTIF(E516:G516,"#N/A")=3,"Not Attempted",IF(OR(ISNA(E516),ISNA(F516),ISNA(G516)),"NotCompleted","Complete"))</f>
        <v>NotCompleted</v>
      </c>
    </row>
    <row r="517" spans="1:10" ht="15.6" x14ac:dyDescent="0.3">
      <c r="A517" s="17" t="s">
        <v>5488</v>
      </c>
      <c r="B517" s="20" t="s">
        <v>778</v>
      </c>
      <c r="C517" s="20" t="s">
        <v>6873</v>
      </c>
      <c r="D517" s="2" t="s">
        <v>575</v>
      </c>
      <c r="E517" s="6" t="str">
        <f>LOOKUP(2,1/(MCQ!C:C=B517),MCQ!H:H)</f>
        <v>24.00</v>
      </c>
      <c r="F517" s="6" t="str">
        <f>LOOKUP(2,1/(Debugging!C:C=B517),Debugging!H:H)</f>
        <v>41.00</v>
      </c>
      <c r="G517" s="6" t="str">
        <f>LOOKUP(2,1/(Coding!C:C=B517),Coding!H:H)</f>
        <v>23.50</v>
      </c>
      <c r="H517" s="8">
        <f>E517+F517+G517</f>
        <v>88.5</v>
      </c>
      <c r="I517" s="4" t="str">
        <f>IF(J517&lt;&gt;"Complete","Not Active",IF(H517&gt;=75,"Good",IF(H517&gt;=50,"Satisfactory",IF(H517&gt;=25,"Need Attention","Intervention"))))</f>
        <v>Good</v>
      </c>
      <c r="J517" s="4" t="str">
        <f>IF(COUNTIF(E517:G517,"#N/A")=3,"Not Attempted",IF(OR(ISNA(E517),ISNA(F517),ISNA(G517)),"NotCompleted","Complete"))</f>
        <v>Complete</v>
      </c>
    </row>
    <row r="518" spans="1:10" ht="15.6" x14ac:dyDescent="0.3">
      <c r="A518" s="17" t="s">
        <v>5488</v>
      </c>
      <c r="B518" s="20" t="s">
        <v>780</v>
      </c>
      <c r="C518" s="20" t="s">
        <v>6874</v>
      </c>
      <c r="D518" s="2" t="s">
        <v>11</v>
      </c>
      <c r="E518" s="6" t="str">
        <f>LOOKUP(2,1/(MCQ!C:C=B518),MCQ!H:H)</f>
        <v>25.00</v>
      </c>
      <c r="F518" s="6" t="str">
        <f>LOOKUP(2,1/(Debugging!C:C=B518),Debugging!H:H)</f>
        <v>23.00</v>
      </c>
      <c r="G518" s="6" t="e">
        <v>#N/A</v>
      </c>
      <c r="H518" s="8" t="e">
        <f>E518+F518+G518</f>
        <v>#N/A</v>
      </c>
      <c r="I518" s="4" t="str">
        <f>IF(J518&lt;&gt;"Complete","Not Active",IF(H518&gt;=75,"Good",IF(H518&gt;=50,"Satisfactory",IF(H518&gt;=25,"Need Attention","Intervention"))))</f>
        <v>Not Active</v>
      </c>
      <c r="J518" s="4" t="str">
        <f>IF(COUNTIF(E518:G518,"#N/A")=3,"Not Attempted",IF(OR(ISNA(E518),ISNA(F518),ISNA(G518)),"NotCompleted","Complete"))</f>
        <v>NotCompleted</v>
      </c>
    </row>
    <row r="519" spans="1:10" ht="15.6" x14ac:dyDescent="0.3">
      <c r="A519" s="17" t="s">
        <v>5488</v>
      </c>
      <c r="B519" s="20" t="s">
        <v>782</v>
      </c>
      <c r="C519" s="20" t="s">
        <v>6875</v>
      </c>
      <c r="D519" s="2" t="s">
        <v>31</v>
      </c>
      <c r="E519" s="6" t="str">
        <f>LOOKUP(2,1/(MCQ!C:C=B519),MCQ!H:H)</f>
        <v>25.00</v>
      </c>
      <c r="F519" s="6" t="str">
        <f>LOOKUP(2,1/(Debugging!C:C=B519),Debugging!H:H)</f>
        <v>50.00</v>
      </c>
      <c r="G519" s="6" t="str">
        <f>LOOKUP(2,1/(Coding!C:C=B519),Coding!H:H)</f>
        <v>19.00</v>
      </c>
      <c r="H519" s="8">
        <f>E519+F519+G519</f>
        <v>94</v>
      </c>
      <c r="I519" s="4" t="str">
        <f>IF(J519&lt;&gt;"Complete","Not Active",IF(H519&gt;=75,"Good",IF(H519&gt;=50,"Satisfactory",IF(H519&gt;=25,"Need Attention","Intervention"))))</f>
        <v>Good</v>
      </c>
      <c r="J519" s="4" t="str">
        <f>IF(COUNTIF(E519:G519,"#N/A")=3,"Not Attempted",IF(OR(ISNA(E519),ISNA(F519),ISNA(G519)),"NotCompleted","Complete"))</f>
        <v>Complete</v>
      </c>
    </row>
    <row r="520" spans="1:10" ht="15.6" x14ac:dyDescent="0.3">
      <c r="A520" s="17" t="s">
        <v>5488</v>
      </c>
      <c r="B520" s="20" t="s">
        <v>784</v>
      </c>
      <c r="C520" s="20" t="s">
        <v>6876</v>
      </c>
      <c r="D520" s="2" t="s">
        <v>16</v>
      </c>
      <c r="E520" s="6" t="str">
        <f>LOOKUP(2,1/(MCQ!C:C=B520),MCQ!H:H)</f>
        <v>25.00</v>
      </c>
      <c r="F520" s="6" t="str">
        <f>LOOKUP(2,1/(Debugging!C:C=B520),Debugging!H:H)</f>
        <v>43.00</v>
      </c>
      <c r="G520" s="6" t="e">
        <v>#N/A</v>
      </c>
      <c r="H520" s="8" t="e">
        <f>E520+F520+G520</f>
        <v>#N/A</v>
      </c>
      <c r="I520" s="4" t="str">
        <f>IF(J520&lt;&gt;"Complete","Not Active",IF(H520&gt;=75,"Good",IF(H520&gt;=50,"Satisfactory",IF(H520&gt;=25,"Need Attention","Intervention"))))</f>
        <v>Not Active</v>
      </c>
      <c r="J520" s="4" t="str">
        <f>IF(COUNTIF(E520:G520,"#N/A")=3,"Not Attempted",IF(OR(ISNA(E520),ISNA(F520),ISNA(G520)),"NotCompleted","Complete"))</f>
        <v>NotCompleted</v>
      </c>
    </row>
    <row r="521" spans="1:10" ht="15.6" x14ac:dyDescent="0.3">
      <c r="A521" s="17" t="s">
        <v>5488</v>
      </c>
      <c r="B521" s="20" t="s">
        <v>786</v>
      </c>
      <c r="C521" s="20" t="s">
        <v>6877</v>
      </c>
      <c r="D521" s="2" t="s">
        <v>8</v>
      </c>
      <c r="E521" s="6" t="str">
        <f>LOOKUP(2,1/(MCQ!C:C=B521),MCQ!H:H)</f>
        <v>22.00</v>
      </c>
      <c r="F521" s="6" t="str">
        <f>LOOKUP(2,1/(Debugging!C:C=B521),Debugging!H:H)</f>
        <v>45.00</v>
      </c>
      <c r="G521" s="6" t="str">
        <f>LOOKUP(2,1/(Coding!C:C=B521),Coding!H:H)</f>
        <v>25.00</v>
      </c>
      <c r="H521" s="8">
        <f>E521+F521+G521</f>
        <v>92</v>
      </c>
      <c r="I521" s="4" t="str">
        <f>IF(J521&lt;&gt;"Complete","Not Active",IF(H521&gt;=75,"Good",IF(H521&gt;=50,"Satisfactory",IF(H521&gt;=25,"Need Attention","Intervention"))))</f>
        <v>Good</v>
      </c>
      <c r="J521" s="4" t="str">
        <f>IF(COUNTIF(E521:G521,"#N/A")=3,"Not Attempted",IF(OR(ISNA(E521),ISNA(F521),ISNA(G521)),"NotCompleted","Complete"))</f>
        <v>Complete</v>
      </c>
    </row>
    <row r="522" spans="1:10" ht="15.6" x14ac:dyDescent="0.3">
      <c r="A522" s="17" t="s">
        <v>5488</v>
      </c>
      <c r="B522" s="20" t="s">
        <v>788</v>
      </c>
      <c r="C522" s="20" t="s">
        <v>6878</v>
      </c>
      <c r="D522" s="2" t="s">
        <v>71</v>
      </c>
      <c r="E522" s="6" t="str">
        <f>LOOKUP(2,1/(MCQ!C:C=B522),MCQ!H:H)</f>
        <v>21.00</v>
      </c>
      <c r="F522" s="6" t="str">
        <f>LOOKUP(2,1/(Debugging!C:C=B522),Debugging!H:H)</f>
        <v>46.00</v>
      </c>
      <c r="G522" s="6" t="str">
        <f>LOOKUP(2,1/(Coding!C:C=B522),Coding!H:H)</f>
        <v>25.00</v>
      </c>
      <c r="H522" s="8">
        <f>E522+F522+G522</f>
        <v>92</v>
      </c>
      <c r="I522" s="4" t="str">
        <f>IF(J522&lt;&gt;"Complete","Not Active",IF(H522&gt;=75,"Good",IF(H522&gt;=50,"Satisfactory",IF(H522&gt;=25,"Need Attention","Intervention"))))</f>
        <v>Good</v>
      </c>
      <c r="J522" s="4" t="str">
        <f>IF(COUNTIF(E522:G522,"#N/A")=3,"Not Attempted",IF(OR(ISNA(E522),ISNA(F522),ISNA(G522)),"NotCompleted","Complete"))</f>
        <v>Complete</v>
      </c>
    </row>
    <row r="523" spans="1:10" ht="15.6" x14ac:dyDescent="0.3">
      <c r="A523" s="17" t="s">
        <v>5488</v>
      </c>
      <c r="B523" s="20" t="s">
        <v>789</v>
      </c>
      <c r="C523" s="20" t="s">
        <v>6879</v>
      </c>
      <c r="D523" s="2" t="s">
        <v>585</v>
      </c>
      <c r="E523" s="6" t="str">
        <f>LOOKUP(2,1/(MCQ!C:C=B523),MCQ!H:H)</f>
        <v>18.00</v>
      </c>
      <c r="F523" s="6" t="str">
        <f>LOOKUP(2,1/(Debugging!C:C=B523),Debugging!H:H)</f>
        <v>35.00</v>
      </c>
      <c r="G523" s="6" t="str">
        <f>LOOKUP(2,1/(Coding!C:C=B523),Coding!H:H)</f>
        <v>25.00</v>
      </c>
      <c r="H523" s="8">
        <f>E523+F523+G523</f>
        <v>78</v>
      </c>
      <c r="I523" s="4" t="str">
        <f>IF(J523&lt;&gt;"Complete","Not Active",IF(H523&gt;=75,"Good",IF(H523&gt;=50,"Satisfactory",IF(H523&gt;=25,"Need Attention","Intervention"))))</f>
        <v>Good</v>
      </c>
      <c r="J523" s="4" t="str">
        <f>IF(COUNTIF(E523:G523,"#N/A")=3,"Not Attempted",IF(OR(ISNA(E523),ISNA(F523),ISNA(G523)),"NotCompleted","Complete"))</f>
        <v>Complete</v>
      </c>
    </row>
    <row r="524" spans="1:10" ht="15.6" x14ac:dyDescent="0.3">
      <c r="A524" s="17" t="s">
        <v>5488</v>
      </c>
      <c r="B524" s="20" t="s">
        <v>790</v>
      </c>
      <c r="C524" s="20" t="s">
        <v>6880</v>
      </c>
      <c r="D524" s="2" t="s">
        <v>8</v>
      </c>
      <c r="E524" s="6" t="str">
        <f>LOOKUP(2,1/(MCQ!C:C=B524),MCQ!H:H)</f>
        <v>24.00</v>
      </c>
      <c r="F524" s="6" t="str">
        <f>LOOKUP(2,1/(Debugging!C:C=B524),Debugging!H:H)</f>
        <v>46.00</v>
      </c>
      <c r="G524" s="6" t="str">
        <f>LOOKUP(2,1/(Coding!C:C=B524),Coding!H:H)</f>
        <v>25.00</v>
      </c>
      <c r="H524" s="8">
        <f>E524+F524+G524</f>
        <v>95</v>
      </c>
      <c r="I524" s="4" t="str">
        <f>IF(J524&lt;&gt;"Complete","Not Active",IF(H524&gt;=75,"Good",IF(H524&gt;=50,"Satisfactory",IF(H524&gt;=25,"Need Attention","Intervention"))))</f>
        <v>Good</v>
      </c>
      <c r="J524" s="4" t="str">
        <f>IF(COUNTIF(E524:G524,"#N/A")=3,"Not Attempted",IF(OR(ISNA(E524),ISNA(F524),ISNA(G524)),"NotCompleted","Complete"))</f>
        <v>Complete</v>
      </c>
    </row>
    <row r="525" spans="1:10" ht="15.6" x14ac:dyDescent="0.3">
      <c r="A525" s="17" t="s">
        <v>5488</v>
      </c>
      <c r="B525" s="20" t="s">
        <v>792</v>
      </c>
      <c r="C525" s="20" t="s">
        <v>6881</v>
      </c>
      <c r="D525" s="2" t="s">
        <v>590</v>
      </c>
      <c r="E525" s="6" t="str">
        <f>LOOKUP(2,1/(MCQ!C:C=B525),MCQ!H:H)</f>
        <v>23.00</v>
      </c>
      <c r="F525" s="6" t="str">
        <f>LOOKUP(2,1/(Debugging!C:C=B525),Debugging!H:H)</f>
        <v>42.00</v>
      </c>
      <c r="G525" s="6" t="str">
        <f>LOOKUP(2,1/(Coding!C:C=B525),Coding!H:H)</f>
        <v>23.50</v>
      </c>
      <c r="H525" s="8">
        <f>E525+F525+G525</f>
        <v>88.5</v>
      </c>
      <c r="I525" s="4" t="str">
        <f>IF(J525&lt;&gt;"Complete","Not Active",IF(H525&gt;=75,"Good",IF(H525&gt;=50,"Satisfactory",IF(H525&gt;=25,"Need Attention","Intervention"))))</f>
        <v>Good</v>
      </c>
      <c r="J525" s="4" t="str">
        <f>IF(COUNTIF(E525:G525,"#N/A")=3,"Not Attempted",IF(OR(ISNA(E525),ISNA(F525),ISNA(G525)),"NotCompleted","Complete"))</f>
        <v>Complete</v>
      </c>
    </row>
    <row r="526" spans="1:10" ht="15.6" x14ac:dyDescent="0.3">
      <c r="A526" s="17" t="s">
        <v>5488</v>
      </c>
      <c r="B526" s="20" t="s">
        <v>795</v>
      </c>
      <c r="C526" s="20" t="s">
        <v>6882</v>
      </c>
      <c r="D526" s="2" t="s">
        <v>71</v>
      </c>
      <c r="E526" s="6" t="str">
        <f>LOOKUP(2,1/(MCQ!C:C=B526),MCQ!H:H)</f>
        <v>23.00</v>
      </c>
      <c r="F526" s="6" t="str">
        <f>LOOKUP(2,1/(Debugging!C:C=B526),Debugging!H:H)</f>
        <v>37.00</v>
      </c>
      <c r="G526" s="6" t="str">
        <f>LOOKUP(2,1/(Coding!C:C=B526),Coding!H:H)</f>
        <v>19.50</v>
      </c>
      <c r="H526" s="8">
        <f>E526+F526+G526</f>
        <v>79.5</v>
      </c>
      <c r="I526" s="4" t="str">
        <f>IF(J526&lt;&gt;"Complete","Not Active",IF(H526&gt;=75,"Good",IF(H526&gt;=50,"Satisfactory",IF(H526&gt;=25,"Need Attention","Intervention"))))</f>
        <v>Good</v>
      </c>
      <c r="J526" s="4" t="str">
        <f>IF(COUNTIF(E526:G526,"#N/A")=3,"Not Attempted",IF(OR(ISNA(E526),ISNA(F526),ISNA(G526)),"NotCompleted","Complete"))</f>
        <v>Complete</v>
      </c>
    </row>
    <row r="527" spans="1:10" ht="15.6" x14ac:dyDescent="0.3">
      <c r="A527" s="17" t="s">
        <v>5488</v>
      </c>
      <c r="B527" s="20" t="s">
        <v>797</v>
      </c>
      <c r="C527" s="20" t="s">
        <v>6883</v>
      </c>
      <c r="D527" s="2" t="s">
        <v>31</v>
      </c>
      <c r="E527" s="6" t="str">
        <f>LOOKUP(2,1/(MCQ!C:C=B527),MCQ!H:H)</f>
        <v>25.00</v>
      </c>
      <c r="F527" s="6" t="str">
        <f>LOOKUP(2,1/(Debugging!C:C=B527),Debugging!H:H)</f>
        <v>40.00</v>
      </c>
      <c r="G527" s="6" t="str">
        <f>LOOKUP(2,1/(Coding!C:C=B527),Coding!H:H)</f>
        <v>23.50</v>
      </c>
      <c r="H527" s="8">
        <f>E527+F527+G527</f>
        <v>88.5</v>
      </c>
      <c r="I527" s="4" t="str">
        <f>IF(J527&lt;&gt;"Complete","Not Active",IF(H527&gt;=75,"Good",IF(H527&gt;=50,"Satisfactory",IF(H527&gt;=25,"Need Attention","Intervention"))))</f>
        <v>Good</v>
      </c>
      <c r="J527" s="4" t="str">
        <f>IF(COUNTIF(E527:G527,"#N/A")=3,"Not Attempted",IF(OR(ISNA(E527),ISNA(F527),ISNA(G527)),"NotCompleted","Complete"))</f>
        <v>Complete</v>
      </c>
    </row>
    <row r="528" spans="1:10" ht="15.6" x14ac:dyDescent="0.3">
      <c r="A528" s="17" t="s">
        <v>5488</v>
      </c>
      <c r="B528" s="20" t="s">
        <v>799</v>
      </c>
      <c r="C528" s="20" t="s">
        <v>6884</v>
      </c>
      <c r="D528" s="2" t="s">
        <v>25</v>
      </c>
      <c r="E528" s="6" t="str">
        <f>LOOKUP(2,1/(MCQ!C:C=B528),MCQ!H:H)</f>
        <v>19.00</v>
      </c>
      <c r="F528" s="6" t="str">
        <f>LOOKUP(2,1/(Debugging!C:C=B528),Debugging!H:H)</f>
        <v>44.00</v>
      </c>
      <c r="G528" s="6" t="str">
        <f>LOOKUP(2,1/(Coding!C:C=B528),Coding!H:H)</f>
        <v>25.00</v>
      </c>
      <c r="H528" s="8">
        <f>E528+F528+G528</f>
        <v>88</v>
      </c>
      <c r="I528" s="4" t="str">
        <f>IF(J528&lt;&gt;"Complete","Not Active",IF(H528&gt;=75,"Good",IF(H528&gt;=50,"Satisfactory",IF(H528&gt;=25,"Need Attention","Intervention"))))</f>
        <v>Good</v>
      </c>
      <c r="J528" s="4" t="str">
        <f>IF(COUNTIF(E528:G528,"#N/A")=3,"Not Attempted",IF(OR(ISNA(E528),ISNA(F528),ISNA(G528)),"NotCompleted","Complete"))</f>
        <v>Complete</v>
      </c>
    </row>
    <row r="529" spans="1:10" ht="15.6" x14ac:dyDescent="0.3">
      <c r="A529" s="17" t="s">
        <v>5488</v>
      </c>
      <c r="B529" s="20" t="s">
        <v>801</v>
      </c>
      <c r="C529" s="20" t="s">
        <v>6885</v>
      </c>
      <c r="D529" s="2" t="s">
        <v>31</v>
      </c>
      <c r="E529" s="6" t="str">
        <f>LOOKUP(2,1/(MCQ!C:C=B529),MCQ!H:H)</f>
        <v>22.00</v>
      </c>
      <c r="F529" s="6" t="str">
        <f>LOOKUP(2,1/(Debugging!C:C=B529),Debugging!H:H)</f>
        <v>50.00</v>
      </c>
      <c r="G529" s="6" t="str">
        <f>LOOKUP(2,1/(Coding!C:C=B529),Coding!H:H)</f>
        <v>25.00</v>
      </c>
      <c r="H529" s="8">
        <f>E529+F529+G529</f>
        <v>97</v>
      </c>
      <c r="I529" s="4" t="str">
        <f>IF(J529&lt;&gt;"Complete","Not Active",IF(H529&gt;=75,"Good",IF(H529&gt;=50,"Satisfactory",IF(H529&gt;=25,"Need Attention","Intervention"))))</f>
        <v>Good</v>
      </c>
      <c r="J529" s="4" t="str">
        <f>IF(COUNTIF(E529:G529,"#N/A")=3,"Not Attempted",IF(OR(ISNA(E529),ISNA(F529),ISNA(G529)),"NotCompleted","Complete"))</f>
        <v>Complete</v>
      </c>
    </row>
    <row r="530" spans="1:10" ht="15.6" x14ac:dyDescent="0.3">
      <c r="A530" s="17" t="s">
        <v>5488</v>
      </c>
      <c r="B530" s="20" t="s">
        <v>802</v>
      </c>
      <c r="C530" s="20" t="s">
        <v>6886</v>
      </c>
      <c r="D530" s="2" t="s">
        <v>8</v>
      </c>
      <c r="E530" s="6" t="str">
        <f>LOOKUP(2,1/(MCQ!C:C=B530),MCQ!H:H)</f>
        <v>22.00</v>
      </c>
      <c r="F530" s="6" t="str">
        <f>LOOKUP(2,1/(Debugging!C:C=B530),Debugging!H:H)</f>
        <v>46.00</v>
      </c>
      <c r="G530" s="6" t="str">
        <f>LOOKUP(2,1/(Coding!C:C=B530),Coding!H:H)</f>
        <v>25.00</v>
      </c>
      <c r="H530" s="8">
        <f>E530+F530+G530</f>
        <v>93</v>
      </c>
      <c r="I530" s="4" t="str">
        <f>IF(J530&lt;&gt;"Complete","Not Active",IF(H530&gt;=75,"Good",IF(H530&gt;=50,"Satisfactory",IF(H530&gt;=25,"Need Attention","Intervention"))))</f>
        <v>Good</v>
      </c>
      <c r="J530" s="4" t="str">
        <f>IF(COUNTIF(E530:G530,"#N/A")=3,"Not Attempted",IF(OR(ISNA(E530),ISNA(F530),ISNA(G530)),"NotCompleted","Complete"))</f>
        <v>Complete</v>
      </c>
    </row>
    <row r="531" spans="1:10" ht="15.6" x14ac:dyDescent="0.3">
      <c r="A531" s="17" t="s">
        <v>5488</v>
      </c>
      <c r="B531" s="20" t="s">
        <v>804</v>
      </c>
      <c r="C531" s="20" t="s">
        <v>6887</v>
      </c>
      <c r="D531" s="2" t="s">
        <v>31</v>
      </c>
      <c r="E531" s="6" t="str">
        <f>LOOKUP(2,1/(MCQ!C:C=B531),MCQ!H:H)</f>
        <v>23.00</v>
      </c>
      <c r="F531" s="6" t="str">
        <f>LOOKUP(2,1/(Debugging!C:C=B531),Debugging!H:H)</f>
        <v>28.00</v>
      </c>
      <c r="G531" s="6" t="str">
        <f>LOOKUP(2,1/(Coding!C:C=B531),Coding!H:H)</f>
        <v>25.00</v>
      </c>
      <c r="H531" s="8">
        <f>E531+F531+G531</f>
        <v>76</v>
      </c>
      <c r="I531" s="4" t="str">
        <f>IF(J531&lt;&gt;"Complete","Not Active",IF(H531&gt;=75,"Good",IF(H531&gt;=50,"Satisfactory",IF(H531&gt;=25,"Need Attention","Intervention"))))</f>
        <v>Good</v>
      </c>
      <c r="J531" s="4" t="str">
        <f>IF(COUNTIF(E531:G531,"#N/A")=3,"Not Attempted",IF(OR(ISNA(E531),ISNA(F531),ISNA(G531)),"NotCompleted","Complete"))</f>
        <v>Complete</v>
      </c>
    </row>
    <row r="532" spans="1:10" ht="15.6" x14ac:dyDescent="0.3">
      <c r="A532" s="17" t="s">
        <v>5488</v>
      </c>
      <c r="B532" s="20" t="s">
        <v>806</v>
      </c>
      <c r="C532" s="20" t="s">
        <v>6888</v>
      </c>
      <c r="D532" s="2" t="s">
        <v>8</v>
      </c>
      <c r="E532" s="6" t="str">
        <f>LOOKUP(2,1/(MCQ!C:C=B532),MCQ!H:H)</f>
        <v>21.00</v>
      </c>
      <c r="F532" s="6" t="str">
        <f>LOOKUP(2,1/(Debugging!C:C=B532),Debugging!H:H)</f>
        <v>42.00</v>
      </c>
      <c r="G532" s="6" t="str">
        <f>LOOKUP(2,1/(Coding!C:C=B532),Coding!H:H)</f>
        <v>19.00</v>
      </c>
      <c r="H532" s="8">
        <f>E532+F532+G532</f>
        <v>82</v>
      </c>
      <c r="I532" s="4" t="str">
        <f>IF(J532&lt;&gt;"Complete","Not Active",IF(H532&gt;=75,"Good",IF(H532&gt;=50,"Satisfactory",IF(H532&gt;=25,"Need Attention","Intervention"))))</f>
        <v>Good</v>
      </c>
      <c r="J532" s="4" t="str">
        <f>IF(COUNTIF(E532:G532,"#N/A")=3,"Not Attempted",IF(OR(ISNA(E532),ISNA(F532),ISNA(G532)),"NotCompleted","Complete"))</f>
        <v>Complete</v>
      </c>
    </row>
    <row r="533" spans="1:10" ht="15.6" x14ac:dyDescent="0.3">
      <c r="A533" s="17" t="s">
        <v>5488</v>
      </c>
      <c r="B533" s="20" t="s">
        <v>807</v>
      </c>
      <c r="C533" s="20" t="s">
        <v>6889</v>
      </c>
      <c r="D533" s="2" t="s">
        <v>11</v>
      </c>
      <c r="E533" s="6" t="str">
        <f>LOOKUP(2,1/(MCQ!C:C=B533),MCQ!H:H)</f>
        <v>24.00</v>
      </c>
      <c r="F533" s="6" t="str">
        <f>LOOKUP(2,1/(Debugging!C:C=B533),Debugging!H:H)</f>
        <v>45.00</v>
      </c>
      <c r="G533" s="6" t="str">
        <f>LOOKUP(2,1/(Coding!C:C=B533),Coding!H:H)</f>
        <v>22.50</v>
      </c>
      <c r="H533" s="8">
        <f>E533+F533+G533</f>
        <v>91.5</v>
      </c>
      <c r="I533" s="4" t="str">
        <f>IF(J533&lt;&gt;"Complete","Not Active",IF(H533&gt;=75,"Good",IF(H533&gt;=50,"Satisfactory",IF(H533&gt;=25,"Need Attention","Intervention"))))</f>
        <v>Good</v>
      </c>
      <c r="J533" s="4" t="str">
        <f>IF(COUNTIF(E533:G533,"#N/A")=3,"Not Attempted",IF(OR(ISNA(E533),ISNA(F533),ISNA(G533)),"NotCompleted","Complete"))</f>
        <v>Complete</v>
      </c>
    </row>
    <row r="534" spans="1:10" ht="15.6" x14ac:dyDescent="0.3">
      <c r="A534" s="17" t="s">
        <v>5488</v>
      </c>
      <c r="B534" s="20" t="s">
        <v>809</v>
      </c>
      <c r="C534" s="20" t="s">
        <v>6890</v>
      </c>
      <c r="D534" s="2" t="s">
        <v>8</v>
      </c>
      <c r="E534" s="6" t="str">
        <f>LOOKUP(2,1/(MCQ!C:C=B534),MCQ!H:H)</f>
        <v>18.00</v>
      </c>
      <c r="F534" s="6" t="str">
        <f>LOOKUP(2,1/(Debugging!C:C=B534),Debugging!H:H)</f>
        <v>42.00</v>
      </c>
      <c r="G534" s="6" t="str">
        <f>LOOKUP(2,1/(Coding!C:C=B534),Coding!H:H)</f>
        <v>17.50</v>
      </c>
      <c r="H534" s="8">
        <f>E534+F534+G534</f>
        <v>77.5</v>
      </c>
      <c r="I534" s="4" t="str">
        <f>IF(J534&lt;&gt;"Complete","Not Active",IF(H534&gt;=75,"Good",IF(H534&gt;=50,"Satisfactory",IF(H534&gt;=25,"Need Attention","Intervention"))))</f>
        <v>Good</v>
      </c>
      <c r="J534" s="4" t="str">
        <f>IF(COUNTIF(E534:G534,"#N/A")=3,"Not Attempted",IF(OR(ISNA(E534),ISNA(F534),ISNA(G534)),"NotCompleted","Complete"))</f>
        <v>Complete</v>
      </c>
    </row>
    <row r="535" spans="1:10" ht="15.6" x14ac:dyDescent="0.3">
      <c r="A535" s="17" t="s">
        <v>5488</v>
      </c>
      <c r="B535" s="20" t="s">
        <v>811</v>
      </c>
      <c r="C535" s="20" t="s">
        <v>6891</v>
      </c>
      <c r="D535" s="2" t="s">
        <v>55</v>
      </c>
      <c r="E535" s="6" t="str">
        <f>LOOKUP(2,1/(MCQ!C:C=B535),MCQ!H:H)</f>
        <v>22.00</v>
      </c>
      <c r="F535" s="6" t="str">
        <f>LOOKUP(2,1/(Debugging!C:C=B535),Debugging!H:H)</f>
        <v>36.00</v>
      </c>
      <c r="G535" s="6" t="str">
        <f>LOOKUP(2,1/(Coding!C:C=B535),Coding!H:H)</f>
        <v>25.00</v>
      </c>
      <c r="H535" s="8">
        <f>E535+F535+G535</f>
        <v>83</v>
      </c>
      <c r="I535" s="4" t="str">
        <f>IF(J535&lt;&gt;"Complete","Not Active",IF(H535&gt;=75,"Good",IF(H535&gt;=50,"Satisfactory",IF(H535&gt;=25,"Need Attention","Intervention"))))</f>
        <v>Good</v>
      </c>
      <c r="J535" s="4" t="str">
        <f>IF(COUNTIF(E535:G535,"#N/A")=3,"Not Attempted",IF(OR(ISNA(E535),ISNA(F535),ISNA(G535)),"NotCompleted","Complete"))</f>
        <v>Complete</v>
      </c>
    </row>
    <row r="536" spans="1:10" ht="15.6" x14ac:dyDescent="0.3">
      <c r="A536" s="17" t="s">
        <v>5488</v>
      </c>
      <c r="B536" s="20" t="s">
        <v>813</v>
      </c>
      <c r="C536" s="20" t="s">
        <v>6892</v>
      </c>
      <c r="D536" s="2" t="s">
        <v>133</v>
      </c>
      <c r="E536" s="6" t="str">
        <f>LOOKUP(2,1/(MCQ!C:C=B536),MCQ!H:H)</f>
        <v>22.00</v>
      </c>
      <c r="F536" s="6" t="str">
        <f>LOOKUP(2,1/(Debugging!C:C=B536),Debugging!H:H)</f>
        <v>39.00</v>
      </c>
      <c r="G536" s="6" t="str">
        <f>LOOKUP(2,1/(Coding!C:C=B536),Coding!H:H)</f>
        <v>22.00</v>
      </c>
      <c r="H536" s="8">
        <f>E536+F536+G536</f>
        <v>83</v>
      </c>
      <c r="I536" s="4" t="str">
        <f>IF(J536&lt;&gt;"Complete","Not Active",IF(H536&gt;=75,"Good",IF(H536&gt;=50,"Satisfactory",IF(H536&gt;=25,"Need Attention","Intervention"))))</f>
        <v>Good</v>
      </c>
      <c r="J536" s="4" t="str">
        <f>IF(COUNTIF(E536:G536,"#N/A")=3,"Not Attempted",IF(OR(ISNA(E536),ISNA(F536),ISNA(G536)),"NotCompleted","Complete"))</f>
        <v>Complete</v>
      </c>
    </row>
    <row r="537" spans="1:10" ht="15.6" x14ac:dyDescent="0.3">
      <c r="A537" s="17" t="s">
        <v>5488</v>
      </c>
      <c r="B537" s="20" t="s">
        <v>815</v>
      </c>
      <c r="C537" s="20" t="s">
        <v>6893</v>
      </c>
      <c r="D537" s="2" t="s">
        <v>8</v>
      </c>
      <c r="E537" s="6" t="str">
        <f>LOOKUP(2,1/(MCQ!C:C=B537),MCQ!H:H)</f>
        <v>17.00</v>
      </c>
      <c r="F537" s="6" t="str">
        <f>LOOKUP(2,1/(Debugging!C:C=B537),Debugging!H:H)</f>
        <v>23.00</v>
      </c>
      <c r="G537" s="6" t="str">
        <f>LOOKUP(2,1/(Coding!C:C=B537),Coding!H:H)</f>
        <v>25.00</v>
      </c>
      <c r="H537" s="8">
        <f>E537+F537+G537</f>
        <v>65</v>
      </c>
      <c r="I537" s="4" t="str">
        <f>IF(J537&lt;&gt;"Complete","Not Active",IF(H537&gt;=75,"Good",IF(H537&gt;=50,"Satisfactory",IF(H537&gt;=25,"Need Attention","Intervention"))))</f>
        <v>Satisfactory</v>
      </c>
      <c r="J537" s="4" t="str">
        <f>IF(COUNTIF(E537:G537,"#N/A")=3,"Not Attempted",IF(OR(ISNA(E537),ISNA(F537),ISNA(G537)),"NotCompleted","Complete"))</f>
        <v>Complete</v>
      </c>
    </row>
    <row r="538" spans="1:10" ht="15.6" x14ac:dyDescent="0.3">
      <c r="A538" s="17" t="s">
        <v>5488</v>
      </c>
      <c r="B538" s="20" t="s">
        <v>817</v>
      </c>
      <c r="C538" s="20" t="s">
        <v>6894</v>
      </c>
      <c r="D538" s="2" t="s">
        <v>31</v>
      </c>
      <c r="E538" s="6" t="str">
        <f>LOOKUP(2,1/(MCQ!C:C=B538),MCQ!H:H)</f>
        <v>23.00</v>
      </c>
      <c r="F538" s="6" t="str">
        <f>LOOKUP(2,1/(Debugging!C:C=B538),Debugging!H:H)</f>
        <v>34.00</v>
      </c>
      <c r="G538" s="6" t="e">
        <v>#N/A</v>
      </c>
      <c r="H538" s="8" t="e">
        <f>E538+F538+G538</f>
        <v>#N/A</v>
      </c>
      <c r="I538" s="4" t="str">
        <f>IF(J538&lt;&gt;"Complete","Not Active",IF(H538&gt;=75,"Good",IF(H538&gt;=50,"Satisfactory",IF(H538&gt;=25,"Need Attention","Intervention"))))</f>
        <v>Not Active</v>
      </c>
      <c r="J538" s="4" t="str">
        <f>IF(COUNTIF(E538:G538,"#N/A")=3,"Not Attempted",IF(OR(ISNA(E538),ISNA(F538),ISNA(G538)),"NotCompleted","Complete"))</f>
        <v>NotCompleted</v>
      </c>
    </row>
    <row r="539" spans="1:10" ht="15.6" x14ac:dyDescent="0.3">
      <c r="A539" s="17" t="s">
        <v>5488</v>
      </c>
      <c r="B539" s="20" t="s">
        <v>819</v>
      </c>
      <c r="C539" s="20" t="s">
        <v>6894</v>
      </c>
      <c r="D539" s="2" t="s">
        <v>585</v>
      </c>
      <c r="E539" s="6" t="str">
        <f>LOOKUP(2,1/(MCQ!C:C=B539),MCQ!H:H)</f>
        <v>20.00</v>
      </c>
      <c r="F539" s="6" t="str">
        <f>LOOKUP(2,1/(Debugging!C:C=B539),Debugging!H:H)</f>
        <v>42.00</v>
      </c>
      <c r="G539" s="6" t="str">
        <f>LOOKUP(2,1/(Coding!C:C=B539),Coding!H:H)</f>
        <v>19.00</v>
      </c>
      <c r="H539" s="8">
        <f>E539+F539+G539</f>
        <v>81</v>
      </c>
      <c r="I539" s="4" t="str">
        <f>IF(J539&lt;&gt;"Complete","Not Active",IF(H539&gt;=75,"Good",IF(H539&gt;=50,"Satisfactory",IF(H539&gt;=25,"Need Attention","Intervention"))))</f>
        <v>Good</v>
      </c>
      <c r="J539" s="4" t="str">
        <f>IF(COUNTIF(E539:G539,"#N/A")=3,"Not Attempted",IF(OR(ISNA(E539),ISNA(F539),ISNA(G539)),"NotCompleted","Complete"))</f>
        <v>Complete</v>
      </c>
    </row>
    <row r="540" spans="1:10" ht="15.6" x14ac:dyDescent="0.3">
      <c r="A540" s="17" t="s">
        <v>5488</v>
      </c>
      <c r="B540" s="20" t="s">
        <v>820</v>
      </c>
      <c r="C540" s="20" t="s">
        <v>6895</v>
      </c>
      <c r="D540" s="2" t="s">
        <v>123</v>
      </c>
      <c r="E540" s="6" t="str">
        <f>LOOKUP(2,1/(MCQ!C:C=B540),MCQ!H:H)</f>
        <v>24.00</v>
      </c>
      <c r="F540" s="6" t="str">
        <f>LOOKUP(2,1/(Debugging!C:C=B540),Debugging!H:H)</f>
        <v>43.00</v>
      </c>
      <c r="G540" s="6" t="str">
        <f>LOOKUP(2,1/(Coding!C:C=B540),Coding!H:H)</f>
        <v>24.00</v>
      </c>
      <c r="H540" s="8">
        <f>E540+F540+G540</f>
        <v>91</v>
      </c>
      <c r="I540" s="4" t="str">
        <f>IF(J540&lt;&gt;"Complete","Not Active",IF(H540&gt;=75,"Good",IF(H540&gt;=50,"Satisfactory",IF(H540&gt;=25,"Need Attention","Intervention"))))</f>
        <v>Good</v>
      </c>
      <c r="J540" s="4" t="str">
        <f>IF(COUNTIF(E540:G540,"#N/A")=3,"Not Attempted",IF(OR(ISNA(E540),ISNA(F540),ISNA(G540)),"NotCompleted","Complete"))</f>
        <v>Complete</v>
      </c>
    </row>
    <row r="541" spans="1:10" ht="15.6" x14ac:dyDescent="0.3">
      <c r="A541" s="17" t="s">
        <v>5488</v>
      </c>
      <c r="B541" s="20" t="s">
        <v>821</v>
      </c>
      <c r="C541" s="20" t="s">
        <v>6896</v>
      </c>
      <c r="D541" s="2" t="s">
        <v>71</v>
      </c>
      <c r="E541" s="6" t="str">
        <f>LOOKUP(2,1/(MCQ!C:C=B541),MCQ!H:H)</f>
        <v>22.00</v>
      </c>
      <c r="F541" s="6" t="str">
        <f>LOOKUP(2,1/(Debugging!C:C=B541),Debugging!H:H)</f>
        <v>50.00</v>
      </c>
      <c r="G541" s="6" t="str">
        <f>LOOKUP(2,1/(Coding!C:C=B541),Coding!H:H)</f>
        <v>25.00</v>
      </c>
      <c r="H541" s="8">
        <f>E541+F541+G541</f>
        <v>97</v>
      </c>
      <c r="I541" s="4" t="str">
        <f>IF(J541&lt;&gt;"Complete","Not Active",IF(H541&gt;=75,"Good",IF(H541&gt;=50,"Satisfactory",IF(H541&gt;=25,"Need Attention","Intervention"))))</f>
        <v>Good</v>
      </c>
      <c r="J541" s="4" t="str">
        <f>IF(COUNTIF(E541:G541,"#N/A")=3,"Not Attempted",IF(OR(ISNA(E541),ISNA(F541),ISNA(G541)),"NotCompleted","Complete"))</f>
        <v>Complete</v>
      </c>
    </row>
    <row r="542" spans="1:10" ht="15.6" x14ac:dyDescent="0.3">
      <c r="A542" s="17" t="s">
        <v>5488</v>
      </c>
      <c r="B542" s="20" t="s">
        <v>822</v>
      </c>
      <c r="C542" s="20" t="s">
        <v>6897</v>
      </c>
      <c r="D542" s="2" t="s">
        <v>623</v>
      </c>
      <c r="E542" s="6" t="str">
        <f>LOOKUP(2,1/(MCQ!C:C=B542),MCQ!H:H)</f>
        <v>22.00</v>
      </c>
      <c r="F542" s="6" t="str">
        <f>LOOKUP(2,1/(Debugging!C:C=B542),Debugging!H:H)</f>
        <v>46.00</v>
      </c>
      <c r="G542" s="6" t="str">
        <f>LOOKUP(2,1/(Coding!C:C=B542),Coding!H:H)</f>
        <v>25.00</v>
      </c>
      <c r="H542" s="8">
        <f>E542+F542+G542</f>
        <v>93</v>
      </c>
      <c r="I542" s="4" t="str">
        <f>IF(J542&lt;&gt;"Complete","Not Active",IF(H542&gt;=75,"Good",IF(H542&gt;=50,"Satisfactory",IF(H542&gt;=25,"Need Attention","Intervention"))))</f>
        <v>Good</v>
      </c>
      <c r="J542" s="4" t="str">
        <f>IF(COUNTIF(E542:G542,"#N/A")=3,"Not Attempted",IF(OR(ISNA(E542),ISNA(F542),ISNA(G542)),"NotCompleted","Complete"))</f>
        <v>Complete</v>
      </c>
    </row>
    <row r="543" spans="1:10" ht="15.6" x14ac:dyDescent="0.3">
      <c r="A543" s="17" t="s">
        <v>5488</v>
      </c>
      <c r="B543" s="20" t="s">
        <v>823</v>
      </c>
      <c r="C543" s="20" t="s">
        <v>6898</v>
      </c>
      <c r="D543" s="2" t="s">
        <v>28</v>
      </c>
      <c r="E543" s="6" t="str">
        <f>LOOKUP(2,1/(MCQ!C:C=B543),MCQ!H:H)</f>
        <v>23.00</v>
      </c>
      <c r="F543" s="6" t="str">
        <f>LOOKUP(2,1/(Debugging!C:C=B543),Debugging!H:H)</f>
        <v>46.00</v>
      </c>
      <c r="G543" s="6" t="str">
        <f>LOOKUP(2,1/(Coding!C:C=B543),Coding!H:H)</f>
        <v>21.50</v>
      </c>
      <c r="H543" s="8">
        <f>E543+F543+G543</f>
        <v>90.5</v>
      </c>
      <c r="I543" s="4" t="str">
        <f>IF(J543&lt;&gt;"Complete","Not Active",IF(H543&gt;=75,"Good",IF(H543&gt;=50,"Satisfactory",IF(H543&gt;=25,"Need Attention","Intervention"))))</f>
        <v>Good</v>
      </c>
      <c r="J543" s="4" t="str">
        <f>IF(COUNTIF(E543:G543,"#N/A")=3,"Not Attempted",IF(OR(ISNA(E543),ISNA(F543),ISNA(G543)),"NotCompleted","Complete"))</f>
        <v>Complete</v>
      </c>
    </row>
    <row r="544" spans="1:10" ht="15.6" x14ac:dyDescent="0.3">
      <c r="A544" s="17" t="s">
        <v>5488</v>
      </c>
      <c r="B544" s="20" t="s">
        <v>826</v>
      </c>
      <c r="C544" s="20" t="s">
        <v>6665</v>
      </c>
      <c r="D544" s="2" t="s">
        <v>55</v>
      </c>
      <c r="E544" s="6" t="str">
        <f>LOOKUP(2,1/(MCQ!C:C=B544),MCQ!H:H)</f>
        <v>21.00</v>
      </c>
      <c r="F544" s="6" t="str">
        <f>LOOKUP(2,1/(Debugging!C:C=B544),Debugging!H:H)</f>
        <v>50.00</v>
      </c>
      <c r="G544" s="6" t="str">
        <f>LOOKUP(2,1/(Coding!C:C=B544),Coding!H:H)</f>
        <v>10.50</v>
      </c>
      <c r="H544" s="8">
        <f>E544+F544+G544</f>
        <v>81.5</v>
      </c>
      <c r="I544" s="4" t="str">
        <f>IF(J544&lt;&gt;"Complete","Not Active",IF(H544&gt;=75,"Good",IF(H544&gt;=50,"Satisfactory",IF(H544&gt;=25,"Need Attention","Intervention"))))</f>
        <v>Good</v>
      </c>
      <c r="J544" s="4" t="str">
        <f>IF(COUNTIF(E544:G544,"#N/A")=3,"Not Attempted",IF(OR(ISNA(E544),ISNA(F544),ISNA(G544)),"NotCompleted","Complete"))</f>
        <v>Complete</v>
      </c>
    </row>
    <row r="545" spans="1:10" ht="15.6" x14ac:dyDescent="0.3">
      <c r="A545" s="17" t="s">
        <v>5488</v>
      </c>
      <c r="B545" s="20" t="s">
        <v>828</v>
      </c>
      <c r="C545" s="20" t="s">
        <v>6899</v>
      </c>
      <c r="D545" s="2" t="s">
        <v>42</v>
      </c>
      <c r="E545" s="6" t="str">
        <f>LOOKUP(2,1/(MCQ!C:C=B545),MCQ!H:H)</f>
        <v>22.00</v>
      </c>
      <c r="F545" s="6" t="str">
        <f>LOOKUP(2,1/(Debugging!C:C=B545),Debugging!H:H)</f>
        <v>47.00</v>
      </c>
      <c r="G545" s="6" t="str">
        <f>LOOKUP(2,1/(Coding!C:C=B545),Coding!H:H)</f>
        <v>8.00</v>
      </c>
      <c r="H545" s="8">
        <f>E545+F545+G545</f>
        <v>77</v>
      </c>
      <c r="I545" s="4" t="str">
        <f>IF(J545&lt;&gt;"Complete","Not Active",IF(H545&gt;=75,"Good",IF(H545&gt;=50,"Satisfactory",IF(H545&gt;=25,"Need Attention","Intervention"))))</f>
        <v>Good</v>
      </c>
      <c r="J545" s="4" t="str">
        <f>IF(COUNTIF(E545:G545,"#N/A")=3,"Not Attempted",IF(OR(ISNA(E545),ISNA(F545),ISNA(G545)),"NotCompleted","Complete"))</f>
        <v>Complete</v>
      </c>
    </row>
    <row r="546" spans="1:10" ht="15.6" x14ac:dyDescent="0.3">
      <c r="A546" s="17" t="s">
        <v>5488</v>
      </c>
      <c r="B546" s="20" t="s">
        <v>829</v>
      </c>
      <c r="C546" s="20" t="s">
        <v>6900</v>
      </c>
      <c r="D546" s="2" t="s">
        <v>8</v>
      </c>
      <c r="E546" s="6" t="str">
        <f>LOOKUP(2,1/(MCQ!C:C=B546),MCQ!H:H)</f>
        <v>22.00</v>
      </c>
      <c r="F546" s="6" t="str">
        <f>LOOKUP(2,1/(Debugging!C:C=B546),Debugging!H:H)</f>
        <v>47.00</v>
      </c>
      <c r="G546" s="6" t="str">
        <f>LOOKUP(2,1/(Coding!C:C=B546),Coding!H:H)</f>
        <v>25.00</v>
      </c>
      <c r="H546" s="8">
        <f>E546+F546+G546</f>
        <v>94</v>
      </c>
      <c r="I546" s="4" t="str">
        <f>IF(J546&lt;&gt;"Complete","Not Active",IF(H546&gt;=75,"Good",IF(H546&gt;=50,"Satisfactory",IF(H546&gt;=25,"Need Attention","Intervention"))))</f>
        <v>Good</v>
      </c>
      <c r="J546" s="4" t="str">
        <f>IF(COUNTIF(E546:G546,"#N/A")=3,"Not Attempted",IF(OR(ISNA(E546),ISNA(F546),ISNA(G546)),"NotCompleted","Complete"))</f>
        <v>Complete</v>
      </c>
    </row>
    <row r="547" spans="1:10" ht="15.6" x14ac:dyDescent="0.3">
      <c r="A547" s="17" t="s">
        <v>5488</v>
      </c>
      <c r="B547" s="20" t="s">
        <v>830</v>
      </c>
      <c r="C547" s="20" t="s">
        <v>6901</v>
      </c>
      <c r="D547" s="2" t="s">
        <v>634</v>
      </c>
      <c r="E547" s="6" t="str">
        <f>LOOKUP(2,1/(MCQ!C:C=B547),MCQ!H:H)</f>
        <v>8.00</v>
      </c>
      <c r="F547" s="6" t="str">
        <f>LOOKUP(2,1/(Debugging!C:C=B547),Debugging!H:H)</f>
        <v>36.00</v>
      </c>
      <c r="G547" s="6" t="str">
        <f>LOOKUP(2,1/(Coding!C:C=B547),Coding!H:H)</f>
        <v>0.00</v>
      </c>
      <c r="H547" s="8">
        <f>E547+F547+G547</f>
        <v>44</v>
      </c>
      <c r="I547" s="4" t="str">
        <f>IF(J547&lt;&gt;"Complete","Not Active",IF(H547&gt;=75,"Good",IF(H547&gt;=50,"Satisfactory",IF(H547&gt;=25,"Need Attention","Intervention"))))</f>
        <v>Need Attention</v>
      </c>
      <c r="J547" s="4" t="str">
        <f>IF(COUNTIF(E547:G547,"#N/A")=3,"Not Attempted",IF(OR(ISNA(E547),ISNA(F547),ISNA(G547)),"NotCompleted","Complete"))</f>
        <v>Complete</v>
      </c>
    </row>
    <row r="548" spans="1:10" ht="15.6" x14ac:dyDescent="0.3">
      <c r="A548" s="17" t="s">
        <v>5488</v>
      </c>
      <c r="B548" s="20" t="s">
        <v>832</v>
      </c>
      <c r="C548" s="20" t="s">
        <v>6902</v>
      </c>
      <c r="D548" s="2" t="s">
        <v>31</v>
      </c>
      <c r="E548" s="6" t="str">
        <f>LOOKUP(2,1/(MCQ!C:C=B548),MCQ!H:H)</f>
        <v>23.00</v>
      </c>
      <c r="F548" s="6" t="str">
        <f>LOOKUP(2,1/(Debugging!C:C=B548),Debugging!H:H)</f>
        <v>34.00</v>
      </c>
      <c r="G548" s="6" t="str">
        <f>LOOKUP(2,1/(Coding!C:C=B548),Coding!H:H)</f>
        <v>25.00</v>
      </c>
      <c r="H548" s="8">
        <f>E548+F548+G548</f>
        <v>82</v>
      </c>
      <c r="I548" s="4" t="str">
        <f>IF(J548&lt;&gt;"Complete","Not Active",IF(H548&gt;=75,"Good",IF(H548&gt;=50,"Satisfactory",IF(H548&gt;=25,"Need Attention","Intervention"))))</f>
        <v>Good</v>
      </c>
      <c r="J548" s="4" t="str">
        <f>IF(COUNTIF(E548:G548,"#N/A")=3,"Not Attempted",IF(OR(ISNA(E548),ISNA(F548),ISNA(G548)),"NotCompleted","Complete"))</f>
        <v>Complete</v>
      </c>
    </row>
    <row r="549" spans="1:10" ht="15.6" x14ac:dyDescent="0.3">
      <c r="A549" s="17" t="s">
        <v>5488</v>
      </c>
      <c r="B549" s="20" t="s">
        <v>834</v>
      </c>
      <c r="C549" s="20" t="s">
        <v>6903</v>
      </c>
      <c r="D549" s="2" t="s">
        <v>42</v>
      </c>
      <c r="E549" s="6" t="str">
        <f>LOOKUP(2,1/(MCQ!C:C=B549),MCQ!H:H)</f>
        <v>25.00</v>
      </c>
      <c r="F549" s="6" t="str">
        <f>LOOKUP(2,1/(Debugging!C:C=B549),Debugging!H:H)</f>
        <v>45.00</v>
      </c>
      <c r="G549" s="6" t="str">
        <f>LOOKUP(2,1/(Coding!C:C=B549),Coding!H:H)</f>
        <v>25.00</v>
      </c>
      <c r="H549" s="8">
        <f>E549+F549+G549</f>
        <v>95</v>
      </c>
      <c r="I549" s="4" t="str">
        <f>IF(J549&lt;&gt;"Complete","Not Active",IF(H549&gt;=75,"Good",IF(H549&gt;=50,"Satisfactory",IF(H549&gt;=25,"Need Attention","Intervention"))))</f>
        <v>Good</v>
      </c>
      <c r="J549" s="4" t="str">
        <f>IF(COUNTIF(E549:G549,"#N/A")=3,"Not Attempted",IF(OR(ISNA(E549),ISNA(F549),ISNA(G549)),"NotCompleted","Complete"))</f>
        <v>Complete</v>
      </c>
    </row>
    <row r="550" spans="1:10" ht="15.6" x14ac:dyDescent="0.3">
      <c r="A550" s="18" t="s">
        <v>5488</v>
      </c>
      <c r="B550" s="20" t="s">
        <v>1038</v>
      </c>
      <c r="C550" s="21" t="s">
        <v>6904</v>
      </c>
      <c r="D550" s="2" t="s">
        <v>42</v>
      </c>
      <c r="E550" s="6" t="str">
        <f>LOOKUP(2,1/(MCQ!C:C=B550),MCQ!H:H)</f>
        <v>22.00</v>
      </c>
      <c r="F550" s="6" t="str">
        <f>LOOKUP(2,1/(Debugging!C:C=B550),Debugging!H:H)</f>
        <v>34.00</v>
      </c>
      <c r="G550" s="6" t="str">
        <f>LOOKUP(2,1/(Coding!C:C=B550),Coding!H:H)</f>
        <v>25.00</v>
      </c>
      <c r="H550" s="8">
        <f>E550+F550+G550</f>
        <v>81</v>
      </c>
      <c r="I550" s="4" t="str">
        <f>IF(J550&lt;&gt;"Complete","Not Active",IF(H550&gt;=75,"Good",IF(H550&gt;=50,"Satisfactory",IF(H550&gt;=25,"Need Attention","Intervention"))))</f>
        <v>Good</v>
      </c>
      <c r="J550" s="4" t="str">
        <f>IF(COUNTIF(E550:G550,"#N/A")=3,"Not Attempted",IF(OR(ISNA(E550),ISNA(F550),ISNA(G550)),"NotCompleted","Complete"))</f>
        <v>Complete</v>
      </c>
    </row>
    <row r="551" spans="1:10" ht="15.6" x14ac:dyDescent="0.3">
      <c r="A551" s="18" t="s">
        <v>5488</v>
      </c>
      <c r="B551" s="20" t="s">
        <v>1040</v>
      </c>
      <c r="C551" s="21" t="s">
        <v>6905</v>
      </c>
      <c r="D551" s="2" t="s">
        <v>8</v>
      </c>
      <c r="E551" s="6" t="str">
        <f>LOOKUP(2,1/(MCQ!C:C=B551),MCQ!H:H)</f>
        <v>22.00</v>
      </c>
      <c r="F551" s="6" t="str">
        <f>LOOKUP(2,1/(Debugging!C:C=B551),Debugging!H:H)</f>
        <v>41.00</v>
      </c>
      <c r="G551" s="6" t="str">
        <f>LOOKUP(2,1/(Coding!C:C=B551),Coding!H:H)</f>
        <v>25.00</v>
      </c>
      <c r="H551" s="8">
        <f>E551+F551+G551</f>
        <v>88</v>
      </c>
      <c r="I551" s="4" t="str">
        <f>IF(J551&lt;&gt;"Complete","Not Active",IF(H551&gt;=75,"Good",IF(H551&gt;=50,"Satisfactory",IF(H551&gt;=25,"Need Attention","Intervention"))))</f>
        <v>Good</v>
      </c>
      <c r="J551" s="4" t="str">
        <f>IF(COUNTIF(E551:G551,"#N/A")=3,"Not Attempted",IF(OR(ISNA(E551),ISNA(F551),ISNA(G551)),"NotCompleted","Complete"))</f>
        <v>Complete</v>
      </c>
    </row>
    <row r="552" spans="1:10" ht="15.6" x14ac:dyDescent="0.3">
      <c r="A552" s="18" t="s">
        <v>5488</v>
      </c>
      <c r="B552" s="20" t="s">
        <v>1042</v>
      </c>
      <c r="C552" s="21" t="s">
        <v>6906</v>
      </c>
      <c r="D552" s="2" t="s">
        <v>31</v>
      </c>
      <c r="E552" s="6" t="str">
        <f>LOOKUP(2,1/(MCQ!C:C=B552),MCQ!H:H)</f>
        <v>23.00</v>
      </c>
      <c r="F552" s="6" t="str">
        <f>LOOKUP(2,1/(Debugging!C:C=B552),Debugging!H:H)</f>
        <v>0.00</v>
      </c>
      <c r="G552" s="6" t="str">
        <f>LOOKUP(2,1/(Coding!C:C=B552),Coding!H:H)</f>
        <v>25.00</v>
      </c>
      <c r="H552" s="8">
        <f>E552+F552+G552</f>
        <v>48</v>
      </c>
      <c r="I552" s="4" t="str">
        <f>IF(J552&lt;&gt;"Complete","Not Active",IF(H552&gt;=75,"Good",IF(H552&gt;=50,"Satisfactory",IF(H552&gt;=25,"Need Attention","Intervention"))))</f>
        <v>Need Attention</v>
      </c>
      <c r="J552" s="4" t="str">
        <f>IF(COUNTIF(E552:G552,"#N/A")=3,"Not Attempted",IF(OR(ISNA(E552),ISNA(F552),ISNA(G552)),"NotCompleted","Complete"))</f>
        <v>Complete</v>
      </c>
    </row>
    <row r="553" spans="1:10" ht="15.6" x14ac:dyDescent="0.3">
      <c r="A553" s="18" t="s">
        <v>5488</v>
      </c>
      <c r="B553" s="20" t="s">
        <v>1043</v>
      </c>
      <c r="C553" s="21" t="s">
        <v>6907</v>
      </c>
      <c r="D553" s="2" t="s">
        <v>31</v>
      </c>
      <c r="E553" s="6" t="str">
        <f>LOOKUP(2,1/(MCQ!C:C=B553),MCQ!H:H)</f>
        <v>24.00</v>
      </c>
      <c r="F553" s="6" t="str">
        <f>LOOKUP(2,1/(Debugging!C:C=B553),Debugging!H:H)</f>
        <v>45.00</v>
      </c>
      <c r="G553" s="6" t="str">
        <f>LOOKUP(2,1/(Coding!C:C=B553),Coding!H:H)</f>
        <v>25.00</v>
      </c>
      <c r="H553" s="8">
        <f>E553+F553+G553</f>
        <v>94</v>
      </c>
      <c r="I553" s="4" t="str">
        <f>IF(J553&lt;&gt;"Complete","Not Active",IF(H553&gt;=75,"Good",IF(H553&gt;=50,"Satisfactory",IF(H553&gt;=25,"Need Attention","Intervention"))))</f>
        <v>Good</v>
      </c>
      <c r="J553" s="4" t="str">
        <f>IF(COUNTIF(E553:G553,"#N/A")=3,"Not Attempted",IF(OR(ISNA(E553),ISNA(F553),ISNA(G553)),"NotCompleted","Complete"))</f>
        <v>Complete</v>
      </c>
    </row>
    <row r="554" spans="1:10" ht="15.6" x14ac:dyDescent="0.3">
      <c r="A554" s="18" t="s">
        <v>5488</v>
      </c>
      <c r="B554" s="20" t="s">
        <v>1045</v>
      </c>
      <c r="C554" s="21" t="s">
        <v>6908</v>
      </c>
      <c r="D554" s="2" t="s">
        <v>55</v>
      </c>
      <c r="E554" s="6" t="str">
        <f>LOOKUP(2,1/(MCQ!C:C=B554),MCQ!H:H)</f>
        <v>19.00</v>
      </c>
      <c r="F554" s="6" t="e">
        <v>#N/A</v>
      </c>
      <c r="G554" s="6" t="str">
        <f>LOOKUP(2,1/(Coding!C:C=B554),Coding!H:H)</f>
        <v>22.50</v>
      </c>
      <c r="H554" s="8" t="e">
        <f>E554+F554+G554</f>
        <v>#N/A</v>
      </c>
      <c r="I554" s="4" t="str">
        <f>IF(J554&lt;&gt;"Complete","Not Active",IF(H554&gt;=75,"Good",IF(H554&gt;=50,"Satisfactory",IF(H554&gt;=25,"Need Attention","Intervention"))))</f>
        <v>Not Active</v>
      </c>
      <c r="J554" s="4" t="str">
        <f>IF(COUNTIF(E554:G554,"#N/A")=3,"Not Attempted",IF(OR(ISNA(E554),ISNA(F554),ISNA(G554)),"NotCompleted","Complete"))</f>
        <v>NotCompleted</v>
      </c>
    </row>
    <row r="555" spans="1:10" ht="15.6" x14ac:dyDescent="0.3">
      <c r="A555" s="18" t="s">
        <v>5488</v>
      </c>
      <c r="B555" s="20" t="s">
        <v>1047</v>
      </c>
      <c r="C555" s="21" t="s">
        <v>6909</v>
      </c>
      <c r="D555" s="2" t="s">
        <v>55</v>
      </c>
      <c r="E555" s="6" t="str">
        <f>LOOKUP(2,1/(MCQ!C:C=B555),MCQ!H:H)</f>
        <v>25.00</v>
      </c>
      <c r="F555" s="6" t="e">
        <f>LOOKUP(2,1/(Coding!B:B=A555),Coding!G:G)</f>
        <v>#N/A</v>
      </c>
      <c r="G555" s="6" t="str">
        <f>LOOKUP(2,1/(Coding!C:C=B555),Coding!H:H)</f>
        <v>24.00</v>
      </c>
      <c r="H555" s="8" t="e">
        <f>E555+F555+G555</f>
        <v>#N/A</v>
      </c>
      <c r="I555" s="4" t="str">
        <f>IF(J555&lt;&gt;"Complete","Not Active",IF(H555&gt;=75,"Good",IF(H555&gt;=50,"Satisfactory",IF(H555&gt;=25,"Need Attention","Intervention"))))</f>
        <v>Not Active</v>
      </c>
      <c r="J555" s="4" t="str">
        <f>IF(COUNTIF(E555:G555,"#N/A")=3,"Not Attempted",IF(OR(ISNA(E555),ISNA(F555),ISNA(G555)),"NotCompleted","Complete"))</f>
        <v>NotCompleted</v>
      </c>
    </row>
    <row r="556" spans="1:10" ht="15.6" x14ac:dyDescent="0.3">
      <c r="A556" s="17" t="s">
        <v>5488</v>
      </c>
      <c r="B556" s="20" t="s">
        <v>5641</v>
      </c>
      <c r="C556" s="20" t="s">
        <v>6910</v>
      </c>
      <c r="D556" s="2" t="s">
        <v>652</v>
      </c>
      <c r="E556" s="6" t="str">
        <f>LOOKUP(2,1/(MCQ!C:C=B556),MCQ!H:H)</f>
        <v>22.00</v>
      </c>
      <c r="F556" s="6" t="e">
        <f>LOOKUP(2,1/(Debugging!C:C=B556),Debugging!H:H)</f>
        <v>#N/A</v>
      </c>
      <c r="G556" s="6" t="e">
        <f>LOOKUP(2,1/(Coding!C:C=B556),Coding!H:H)</f>
        <v>#N/A</v>
      </c>
      <c r="H556" s="8" t="e">
        <f>E556+F556+G556</f>
        <v>#N/A</v>
      </c>
      <c r="I556" s="4" t="str">
        <f>IF(J556&lt;&gt;"Complete","Not Active",IF(H556&gt;=75,"Good",IF(H556&gt;=50,"Satisfactory",IF(H556&gt;=25,"Need Attention","Intervention"))))</f>
        <v>Not Active</v>
      </c>
      <c r="J556" s="4" t="str">
        <f>IF(COUNTIF(E556:G556,"#N/A")=3,"Not Attempted",IF(OR(ISNA(E556),ISNA(F556),ISNA(G556)),"NotCompleted","Complete"))</f>
        <v>NotCompleted</v>
      </c>
    </row>
    <row r="557" spans="1:10" ht="15.6" x14ac:dyDescent="0.3">
      <c r="A557" s="17" t="s">
        <v>5488</v>
      </c>
      <c r="B557" s="20" t="s">
        <v>837</v>
      </c>
      <c r="C557" s="20" t="s">
        <v>6911</v>
      </c>
      <c r="D557" s="2" t="s">
        <v>11</v>
      </c>
      <c r="E557" s="6" t="str">
        <f>LOOKUP(2,1/(MCQ!C:C=B557),MCQ!H:H)</f>
        <v>20.00</v>
      </c>
      <c r="F557" s="6" t="str">
        <f>LOOKUP(2,1/(Debugging!C:C=B557),Debugging!H:H)</f>
        <v>38.00</v>
      </c>
      <c r="G557" s="6" t="str">
        <f>LOOKUP(2,1/(Coding!C:C=B557),Coding!H:H)</f>
        <v>25.00</v>
      </c>
      <c r="H557" s="8">
        <f>E557+F557+G557</f>
        <v>83</v>
      </c>
      <c r="I557" s="4" t="str">
        <f>IF(J557&lt;&gt;"Complete","Not Active",IF(H557&gt;=75,"Good",IF(H557&gt;=50,"Satisfactory",IF(H557&gt;=25,"Need Attention","Intervention"))))</f>
        <v>Good</v>
      </c>
      <c r="J557" s="4" t="str">
        <f>IF(COUNTIF(E557:G557,"#N/A")=3,"Not Attempted",IF(OR(ISNA(E557),ISNA(F557),ISNA(G557)),"NotCompleted","Complete"))</f>
        <v>Complete</v>
      </c>
    </row>
    <row r="558" spans="1:10" ht="15.6" x14ac:dyDescent="0.3">
      <c r="A558" s="17" t="s">
        <v>5488</v>
      </c>
      <c r="B558" s="20" t="s">
        <v>839</v>
      </c>
      <c r="C558" s="20" t="s">
        <v>6912</v>
      </c>
      <c r="D558" s="2" t="s">
        <v>123</v>
      </c>
      <c r="E558" s="6" t="str">
        <f>LOOKUP(2,1/(MCQ!C:C=B558),MCQ!H:H)</f>
        <v>24.00</v>
      </c>
      <c r="F558" s="6" t="str">
        <f>LOOKUP(2,1/(Debugging!C:C=B558),Debugging!H:H)</f>
        <v>47.00</v>
      </c>
      <c r="G558" s="6" t="str">
        <f>LOOKUP(2,1/(Coding!C:C=B558),Coding!H:H)</f>
        <v>23.50</v>
      </c>
      <c r="H558" s="8">
        <f>E558+F558+G558</f>
        <v>94.5</v>
      </c>
      <c r="I558" s="4" t="str">
        <f>IF(J558&lt;&gt;"Complete","Not Active",IF(H558&gt;=75,"Good",IF(H558&gt;=50,"Satisfactory",IF(H558&gt;=25,"Need Attention","Intervention"))))</f>
        <v>Good</v>
      </c>
      <c r="J558" s="4" t="str">
        <f>IF(COUNTIF(E558:G558,"#N/A")=3,"Not Attempted",IF(OR(ISNA(E558),ISNA(F558),ISNA(G558)),"NotCompleted","Complete"))</f>
        <v>Complete</v>
      </c>
    </row>
    <row r="559" spans="1:10" ht="15.6" x14ac:dyDescent="0.3">
      <c r="A559" s="17" t="s">
        <v>5488</v>
      </c>
      <c r="B559" s="20" t="s">
        <v>841</v>
      </c>
      <c r="C559" s="20" t="s">
        <v>6913</v>
      </c>
      <c r="D559" s="2" t="s">
        <v>8</v>
      </c>
      <c r="E559" s="6" t="str">
        <f>LOOKUP(2,1/(MCQ!C:C=B559),MCQ!H:H)</f>
        <v>21.00</v>
      </c>
      <c r="F559" s="6" t="str">
        <f>LOOKUP(2,1/(Debugging!C:C=B559),Debugging!H:H)</f>
        <v>45.00</v>
      </c>
      <c r="G559" s="6" t="str">
        <f>LOOKUP(2,1/(Coding!C:C=B559),Coding!H:H)</f>
        <v>21.00</v>
      </c>
      <c r="H559" s="8">
        <f>E559+F559+G559</f>
        <v>87</v>
      </c>
      <c r="I559" s="4" t="str">
        <f>IF(J559&lt;&gt;"Complete","Not Active",IF(H559&gt;=75,"Good",IF(H559&gt;=50,"Satisfactory",IF(H559&gt;=25,"Need Attention","Intervention"))))</f>
        <v>Good</v>
      </c>
      <c r="J559" s="4" t="str">
        <f>IF(COUNTIF(E559:G559,"#N/A")=3,"Not Attempted",IF(OR(ISNA(E559),ISNA(F559),ISNA(G559)),"NotCompleted","Complete"))</f>
        <v>Complete</v>
      </c>
    </row>
    <row r="560" spans="1:10" ht="15.6" x14ac:dyDescent="0.3">
      <c r="A560" s="17" t="s">
        <v>5488</v>
      </c>
      <c r="B560" s="20" t="s">
        <v>842</v>
      </c>
      <c r="C560" s="20" t="s">
        <v>6913</v>
      </c>
      <c r="D560" s="2" t="s">
        <v>49</v>
      </c>
      <c r="E560" s="6" t="str">
        <f>LOOKUP(2,1/(MCQ!C:C=B560),MCQ!H:H)</f>
        <v>24.00</v>
      </c>
      <c r="F560" s="6" t="str">
        <f>LOOKUP(2,1/(Debugging!C:C=B560),Debugging!H:H)</f>
        <v>42.00</v>
      </c>
      <c r="G560" s="6" t="str">
        <f>LOOKUP(2,1/(Coding!C:C=B560),Coding!H:H)</f>
        <v>25.00</v>
      </c>
      <c r="H560" s="8">
        <f>E560+F560+G560</f>
        <v>91</v>
      </c>
      <c r="I560" s="4" t="str">
        <f>IF(J560&lt;&gt;"Complete","Not Active",IF(H560&gt;=75,"Good",IF(H560&gt;=50,"Satisfactory",IF(H560&gt;=25,"Need Attention","Intervention"))))</f>
        <v>Good</v>
      </c>
      <c r="J560" s="4" t="str">
        <f>IF(COUNTIF(E560:G560,"#N/A")=3,"Not Attempted",IF(OR(ISNA(E560),ISNA(F560),ISNA(G560)),"NotCompleted","Complete"))</f>
        <v>Complete</v>
      </c>
    </row>
    <row r="561" spans="1:10" ht="15.6" x14ac:dyDescent="0.3">
      <c r="A561" s="17" t="s">
        <v>5488</v>
      </c>
      <c r="B561" s="20" t="s">
        <v>843</v>
      </c>
      <c r="C561" s="20" t="s">
        <v>6685</v>
      </c>
      <c r="D561" s="2" t="s">
        <v>31</v>
      </c>
      <c r="E561" s="6" t="str">
        <f>LOOKUP(2,1/(MCQ!C:C=B561),MCQ!H:H)</f>
        <v>25.00</v>
      </c>
      <c r="F561" s="6" t="e">
        <v>#N/A</v>
      </c>
      <c r="G561" s="6" t="str">
        <f>LOOKUP(2,1/(Coding!C:C=B561),Coding!H:H)</f>
        <v>23.50</v>
      </c>
      <c r="H561" s="8" t="e">
        <f>E561+F561+G561</f>
        <v>#N/A</v>
      </c>
      <c r="I561" s="4" t="str">
        <f>IF(J561&lt;&gt;"Complete","Not Active",IF(H561&gt;=75,"Good",IF(H561&gt;=50,"Satisfactory",IF(H561&gt;=25,"Need Attention","Intervention"))))</f>
        <v>Not Active</v>
      </c>
      <c r="J561" s="4" t="str">
        <f>IF(COUNTIF(E561:G561,"#N/A")=3,"Not Attempted",IF(OR(ISNA(E561),ISNA(F561),ISNA(G561)),"NotCompleted","Complete"))</f>
        <v>NotCompleted</v>
      </c>
    </row>
    <row r="562" spans="1:10" ht="15.6" x14ac:dyDescent="0.3">
      <c r="A562" s="17" t="s">
        <v>5488</v>
      </c>
      <c r="B562" s="20" t="s">
        <v>844</v>
      </c>
      <c r="C562" s="20" t="s">
        <v>6914</v>
      </c>
      <c r="D562" s="2" t="s">
        <v>42</v>
      </c>
      <c r="E562" s="6" t="str">
        <f>LOOKUP(2,1/(MCQ!C:C=B562),MCQ!H:H)</f>
        <v>20.00</v>
      </c>
      <c r="F562" s="6" t="str">
        <f>LOOKUP(2,1/(Debugging!C:C=B562),Debugging!H:H)</f>
        <v>37.00</v>
      </c>
      <c r="G562" s="6" t="str">
        <f>LOOKUP(2,1/(Coding!C:C=B562),Coding!H:H)</f>
        <v>22.00</v>
      </c>
      <c r="H562" s="8">
        <f>E562+F562+G562</f>
        <v>79</v>
      </c>
      <c r="I562" s="4" t="str">
        <f>IF(J562&lt;&gt;"Complete","Not Active",IF(H562&gt;=75,"Good",IF(H562&gt;=50,"Satisfactory",IF(H562&gt;=25,"Need Attention","Intervention"))))</f>
        <v>Good</v>
      </c>
      <c r="J562" s="4" t="str">
        <f>IF(COUNTIF(E562:G562,"#N/A")=3,"Not Attempted",IF(OR(ISNA(E562),ISNA(F562),ISNA(G562)),"NotCompleted","Complete"))</f>
        <v>Complete</v>
      </c>
    </row>
    <row r="563" spans="1:10" ht="15.6" x14ac:dyDescent="0.3">
      <c r="A563" s="17" t="s">
        <v>5488</v>
      </c>
      <c r="B563" s="20" t="s">
        <v>846</v>
      </c>
      <c r="C563" s="20" t="s">
        <v>6915</v>
      </c>
      <c r="D563" s="2" t="s">
        <v>22</v>
      </c>
      <c r="E563" s="6" t="str">
        <f>LOOKUP(2,1/(MCQ!C:C=B563),MCQ!H:H)</f>
        <v>25.00</v>
      </c>
      <c r="F563" s="6" t="str">
        <f>LOOKUP(2,1/(Debugging!C:C=B563),Debugging!H:H)</f>
        <v>46.00</v>
      </c>
      <c r="G563" s="6" t="str">
        <f>LOOKUP(2,1/(Coding!C:C=B563),Coding!H:H)</f>
        <v>25.00</v>
      </c>
      <c r="H563" s="8">
        <f>E563+F563+G563</f>
        <v>96</v>
      </c>
      <c r="I563" s="4" t="str">
        <f>IF(J563&lt;&gt;"Complete","Not Active",IF(H563&gt;=75,"Good",IF(H563&gt;=50,"Satisfactory",IF(H563&gt;=25,"Need Attention","Intervention"))))</f>
        <v>Good</v>
      </c>
      <c r="J563" s="4" t="str">
        <f>IF(COUNTIF(E563:G563,"#N/A")=3,"Not Attempted",IF(OR(ISNA(E563),ISNA(F563),ISNA(G563)),"NotCompleted","Complete"))</f>
        <v>Complete</v>
      </c>
    </row>
    <row r="564" spans="1:10" ht="15.6" x14ac:dyDescent="0.3">
      <c r="A564" s="17" t="s">
        <v>5488</v>
      </c>
      <c r="B564" s="20" t="s">
        <v>847</v>
      </c>
      <c r="C564" s="20" t="s">
        <v>6916</v>
      </c>
      <c r="D564" s="2" t="s">
        <v>8</v>
      </c>
      <c r="E564" s="6" t="str">
        <f>LOOKUP(2,1/(MCQ!C:C=B564),MCQ!H:H)</f>
        <v>19.00</v>
      </c>
      <c r="F564" s="6" t="e">
        <f>LOOKUP(2,1/(Debugging!C:C=B564),Debugging!H:H)</f>
        <v>#N/A</v>
      </c>
      <c r="G564" s="6" t="str">
        <f>LOOKUP(2,1/(Coding!C:C=B564),Coding!H:H)</f>
        <v>15.00</v>
      </c>
      <c r="H564" s="8" t="e">
        <f>E564+F564+G564</f>
        <v>#N/A</v>
      </c>
      <c r="I564" s="4" t="str">
        <f>IF(J564&lt;&gt;"Complete","Not Active",IF(H564&gt;=75,"Good",IF(H564&gt;=50,"Satisfactory",IF(H564&gt;=25,"Need Attention","Intervention"))))</f>
        <v>Not Active</v>
      </c>
      <c r="J564" s="4" t="str">
        <f>IF(COUNTIF(E564:G564,"#N/A")=3,"Not Attempted",IF(OR(ISNA(E564),ISNA(F564),ISNA(G564)),"NotCompleted","Complete"))</f>
        <v>NotCompleted</v>
      </c>
    </row>
    <row r="565" spans="1:10" ht="15.6" x14ac:dyDescent="0.3">
      <c r="A565" s="17" t="s">
        <v>5488</v>
      </c>
      <c r="B565" s="20" t="s">
        <v>849</v>
      </c>
      <c r="C565" s="20" t="s">
        <v>6917</v>
      </c>
      <c r="D565" s="2" t="s">
        <v>31</v>
      </c>
      <c r="E565" s="6" t="str">
        <f>LOOKUP(2,1/(MCQ!C:C=B565),MCQ!H:H)</f>
        <v>23.00</v>
      </c>
      <c r="F565" s="6" t="str">
        <f>LOOKUP(2,1/(Debugging!C:C=B565),Debugging!H:H)</f>
        <v>45.00</v>
      </c>
      <c r="G565" s="6" t="str">
        <f>LOOKUP(2,1/(Coding!C:C=B565),Coding!H:H)</f>
        <v>25.00</v>
      </c>
      <c r="H565" s="8">
        <f>E565+F565+G565</f>
        <v>93</v>
      </c>
      <c r="I565" s="4" t="str">
        <f>IF(J565&lt;&gt;"Complete","Not Active",IF(H565&gt;=75,"Good",IF(H565&gt;=50,"Satisfactory",IF(H565&gt;=25,"Need Attention","Intervention"))))</f>
        <v>Good</v>
      </c>
      <c r="J565" s="4" t="str">
        <f>IF(COUNTIF(E565:G565,"#N/A")=3,"Not Attempted",IF(OR(ISNA(E565),ISNA(F565),ISNA(G565)),"NotCompleted","Complete"))</f>
        <v>Complete</v>
      </c>
    </row>
    <row r="566" spans="1:10" ht="15.6" x14ac:dyDescent="0.3">
      <c r="A566" s="17" t="s">
        <v>5488</v>
      </c>
      <c r="B566" s="20" t="s">
        <v>850</v>
      </c>
      <c r="C566" s="20" t="s">
        <v>6918</v>
      </c>
      <c r="D566" s="2" t="s">
        <v>11</v>
      </c>
      <c r="E566" s="6" t="str">
        <f>LOOKUP(2,1/(MCQ!C:C=B566),MCQ!H:H)</f>
        <v>23.00</v>
      </c>
      <c r="F566" s="6" t="str">
        <f>LOOKUP(2,1/(Debugging!C:C=B566),Debugging!H:H)</f>
        <v>49.00</v>
      </c>
      <c r="G566" s="6" t="str">
        <f>LOOKUP(2,1/(Coding!C:C=B566),Coding!H:H)</f>
        <v>23.50</v>
      </c>
      <c r="H566" s="8">
        <f>E566+F566+G566</f>
        <v>95.5</v>
      </c>
      <c r="I566" s="4" t="str">
        <f>IF(J566&lt;&gt;"Complete","Not Active",IF(H566&gt;=75,"Good",IF(H566&gt;=50,"Satisfactory",IF(H566&gt;=25,"Need Attention","Intervention"))))</f>
        <v>Good</v>
      </c>
      <c r="J566" s="4" t="str">
        <f>IF(COUNTIF(E566:G566,"#N/A")=3,"Not Attempted",IF(OR(ISNA(E566),ISNA(F566),ISNA(G566)),"NotCompleted","Complete"))</f>
        <v>Complete</v>
      </c>
    </row>
    <row r="567" spans="1:10" ht="15.6" x14ac:dyDescent="0.3">
      <c r="A567" s="17" t="s">
        <v>5488</v>
      </c>
      <c r="B567" s="20" t="s">
        <v>852</v>
      </c>
      <c r="C567" s="20" t="s">
        <v>6919</v>
      </c>
      <c r="D567" s="2" t="s">
        <v>228</v>
      </c>
      <c r="E567" s="6" t="str">
        <f>LOOKUP(2,1/(MCQ!C:C=B567),MCQ!H:H)</f>
        <v>21.00</v>
      </c>
      <c r="F567" s="6" t="str">
        <f>LOOKUP(2,1/(Debugging!C:C=B567),Debugging!H:H)</f>
        <v>46.00</v>
      </c>
      <c r="G567" s="6" t="str">
        <f>LOOKUP(2,1/(Coding!C:C=B567),Coding!H:H)</f>
        <v>23.50</v>
      </c>
      <c r="H567" s="8">
        <f>E567+F567+G567</f>
        <v>90.5</v>
      </c>
      <c r="I567" s="4" t="str">
        <f>IF(J567&lt;&gt;"Complete","Not Active",IF(H567&gt;=75,"Good",IF(H567&gt;=50,"Satisfactory",IF(H567&gt;=25,"Need Attention","Intervention"))))</f>
        <v>Good</v>
      </c>
      <c r="J567" s="4" t="str">
        <f>IF(COUNTIF(E567:G567,"#N/A")=3,"Not Attempted",IF(OR(ISNA(E567),ISNA(F567),ISNA(G567)),"NotCompleted","Complete"))</f>
        <v>Complete</v>
      </c>
    </row>
    <row r="568" spans="1:10" ht="15.6" x14ac:dyDescent="0.3">
      <c r="A568" s="17" t="s">
        <v>5488</v>
      </c>
      <c r="B568" s="20" t="s">
        <v>854</v>
      </c>
      <c r="C568" s="20" t="s">
        <v>6920</v>
      </c>
      <c r="D568" s="2" t="s">
        <v>8</v>
      </c>
      <c r="E568" s="6" t="str">
        <f>LOOKUP(2,1/(MCQ!C:C=B568),MCQ!H:H)</f>
        <v>21.00</v>
      </c>
      <c r="F568" s="6" t="str">
        <f>LOOKUP(2,1/(Debugging!C:C=B568),Debugging!H:H)</f>
        <v>44.00</v>
      </c>
      <c r="G568" s="6" t="str">
        <f>LOOKUP(2,1/(Coding!C:C=B568),Coding!H:H)</f>
        <v>25.00</v>
      </c>
      <c r="H568" s="8">
        <f>E568+F568+G568</f>
        <v>90</v>
      </c>
      <c r="I568" s="4" t="str">
        <f>IF(J568&lt;&gt;"Complete","Not Active",IF(H568&gt;=75,"Good",IF(H568&gt;=50,"Satisfactory",IF(H568&gt;=25,"Need Attention","Intervention"))))</f>
        <v>Good</v>
      </c>
      <c r="J568" s="4" t="str">
        <f>IF(COUNTIF(E568:G568,"#N/A")=3,"Not Attempted",IF(OR(ISNA(E568),ISNA(F568),ISNA(G568)),"NotCompleted","Complete"))</f>
        <v>Complete</v>
      </c>
    </row>
    <row r="569" spans="1:10" ht="15.6" x14ac:dyDescent="0.3">
      <c r="A569" s="17" t="s">
        <v>5488</v>
      </c>
      <c r="B569" s="20" t="s">
        <v>856</v>
      </c>
      <c r="C569" s="20" t="s">
        <v>6921</v>
      </c>
      <c r="D569" s="2" t="s">
        <v>55</v>
      </c>
      <c r="E569" s="6" t="str">
        <f>LOOKUP(2,1/(MCQ!C:C=B569),MCQ!H:H)</f>
        <v>23.00</v>
      </c>
      <c r="F569" s="6" t="str">
        <f>LOOKUP(2,1/(Debugging!C:C=B569),Debugging!H:H)</f>
        <v>28.00</v>
      </c>
      <c r="G569" s="6" t="str">
        <f>LOOKUP(2,1/(Coding!C:C=B569),Coding!H:H)</f>
        <v>24.00</v>
      </c>
      <c r="H569" s="8">
        <f>E569+F569+G569</f>
        <v>75</v>
      </c>
      <c r="I569" s="4" t="str">
        <f>IF(J569&lt;&gt;"Complete","Not Active",IF(H569&gt;=75,"Good",IF(H569&gt;=50,"Satisfactory",IF(H569&gt;=25,"Need Attention","Intervention"))))</f>
        <v>Good</v>
      </c>
      <c r="J569" s="4" t="str">
        <f>IF(COUNTIF(E569:G569,"#N/A")=3,"Not Attempted",IF(OR(ISNA(E569),ISNA(F569),ISNA(G569)),"NotCompleted","Complete"))</f>
        <v>Complete</v>
      </c>
    </row>
    <row r="570" spans="1:10" ht="15.6" x14ac:dyDescent="0.3">
      <c r="A570" s="17" t="s">
        <v>5488</v>
      </c>
      <c r="B570" s="20" t="s">
        <v>857</v>
      </c>
      <c r="C570" s="20" t="s">
        <v>6921</v>
      </c>
      <c r="D570" s="2" t="s">
        <v>19</v>
      </c>
      <c r="E570" s="6" t="str">
        <f>LOOKUP(2,1/(MCQ!C:C=B570),MCQ!H:H)</f>
        <v>21.00</v>
      </c>
      <c r="F570" s="6" t="str">
        <f>LOOKUP(2,1/(Debugging!C:C=B570),Debugging!H:H)</f>
        <v>32.00</v>
      </c>
      <c r="G570" s="6" t="str">
        <f>LOOKUP(2,1/(Coding!C:C=B570),Coding!H:H)</f>
        <v>25.00</v>
      </c>
      <c r="H570" s="8">
        <f>E570+F570+G570</f>
        <v>78</v>
      </c>
      <c r="I570" s="4" t="str">
        <f>IF(J570&lt;&gt;"Complete","Not Active",IF(H570&gt;=75,"Good",IF(H570&gt;=50,"Satisfactory",IF(H570&gt;=25,"Need Attention","Intervention"))))</f>
        <v>Good</v>
      </c>
      <c r="J570" s="4" t="str">
        <f>IF(COUNTIF(E570:G570,"#N/A")=3,"Not Attempted",IF(OR(ISNA(E570),ISNA(F570),ISNA(G570)),"NotCompleted","Complete"))</f>
        <v>Complete</v>
      </c>
    </row>
    <row r="571" spans="1:10" ht="15.6" x14ac:dyDescent="0.3">
      <c r="A571" s="17" t="s">
        <v>5488</v>
      </c>
      <c r="B571" s="20" t="s">
        <v>858</v>
      </c>
      <c r="C571" s="20" t="s">
        <v>6922</v>
      </c>
      <c r="D571" s="2" t="s">
        <v>8</v>
      </c>
      <c r="E571" s="6" t="str">
        <f>LOOKUP(2,1/(MCQ!C:C=B571),MCQ!H:H)</f>
        <v>23.00</v>
      </c>
      <c r="F571" s="6" t="str">
        <f>LOOKUP(2,1/(Debugging!C:C=B571),Debugging!H:H)</f>
        <v>48.00</v>
      </c>
      <c r="G571" s="6" t="str">
        <f>LOOKUP(2,1/(Coding!C:C=B571),Coding!H:H)</f>
        <v>25.00</v>
      </c>
      <c r="H571" s="8">
        <f>E571+F571+G571</f>
        <v>96</v>
      </c>
      <c r="I571" s="4" t="str">
        <f>IF(J571&lt;&gt;"Complete","Not Active",IF(H571&gt;=75,"Good",IF(H571&gt;=50,"Satisfactory",IF(H571&gt;=25,"Need Attention","Intervention"))))</f>
        <v>Good</v>
      </c>
      <c r="J571" s="4" t="str">
        <f>IF(COUNTIF(E571:G571,"#N/A")=3,"Not Attempted",IF(OR(ISNA(E571),ISNA(F571),ISNA(G571)),"NotCompleted","Complete"))</f>
        <v>Complete</v>
      </c>
    </row>
    <row r="572" spans="1:10" ht="15.6" x14ac:dyDescent="0.3">
      <c r="A572" s="17" t="s">
        <v>5488</v>
      </c>
      <c r="B572" s="20" t="s">
        <v>860</v>
      </c>
      <c r="C572" s="20" t="s">
        <v>6923</v>
      </c>
      <c r="D572" s="2" t="s">
        <v>28</v>
      </c>
      <c r="E572" s="6" t="str">
        <f>LOOKUP(2,1/(MCQ!C:C=B572),MCQ!H:H)</f>
        <v>22.00</v>
      </c>
      <c r="F572" s="6" t="str">
        <f>LOOKUP(2,1/(Debugging!C:C=B572),Debugging!H:H)</f>
        <v>46.00</v>
      </c>
      <c r="G572" s="6" t="str">
        <f>LOOKUP(2,1/(Coding!C:C=B572),Coding!H:H)</f>
        <v>25.00</v>
      </c>
      <c r="H572" s="8">
        <f>E572+F572+G572</f>
        <v>93</v>
      </c>
      <c r="I572" s="4" t="str">
        <f>IF(J572&lt;&gt;"Complete","Not Active",IF(H572&gt;=75,"Good",IF(H572&gt;=50,"Satisfactory",IF(H572&gt;=25,"Need Attention","Intervention"))))</f>
        <v>Good</v>
      </c>
      <c r="J572" s="4" t="str">
        <f>IF(COUNTIF(E572:G572,"#N/A")=3,"Not Attempted",IF(OR(ISNA(E572),ISNA(F572),ISNA(G572)),"NotCompleted","Complete"))</f>
        <v>Complete</v>
      </c>
    </row>
    <row r="573" spans="1:10" ht="15.6" x14ac:dyDescent="0.3">
      <c r="A573" s="17" t="s">
        <v>5488</v>
      </c>
      <c r="B573" s="20" t="s">
        <v>5696</v>
      </c>
      <c r="C573" s="20" t="s">
        <v>6924</v>
      </c>
      <c r="D573" s="2" t="s">
        <v>42</v>
      </c>
      <c r="E573" s="6" t="str">
        <f>LOOKUP(2,1/(MCQ!C:C=B573),MCQ!H:H)</f>
        <v>20.00</v>
      </c>
      <c r="F573" s="6" t="str">
        <f>LOOKUP(2,1/(Debugging!C:C=B573),Debugging!H:H)</f>
        <v>43.00</v>
      </c>
      <c r="G573" s="6" t="e">
        <f>LOOKUP(2,1/(Coding!C:C=B573),Coding!H:H)</f>
        <v>#N/A</v>
      </c>
      <c r="H573" s="8" t="e">
        <f>E573+F573+G573</f>
        <v>#N/A</v>
      </c>
      <c r="I573" s="4" t="str">
        <f>IF(J573&lt;&gt;"Complete","Not Active",IF(H573&gt;=75,"Good",IF(H573&gt;=50,"Satisfactory",IF(H573&gt;=25,"Need Attention","Intervention"))))</f>
        <v>Not Active</v>
      </c>
      <c r="J573" s="4" t="str">
        <f>IF(COUNTIF(E573:G573,"#N/A")=3,"Not Attempted",IF(OR(ISNA(E573),ISNA(F573),ISNA(G573)),"NotCompleted","Complete"))</f>
        <v>NotCompleted</v>
      </c>
    </row>
    <row r="574" spans="1:10" ht="15.6" x14ac:dyDescent="0.3">
      <c r="A574" s="17" t="s">
        <v>5488</v>
      </c>
      <c r="B574" s="20" t="s">
        <v>861</v>
      </c>
      <c r="C574" s="20" t="s">
        <v>6925</v>
      </c>
      <c r="D574" s="2" t="s">
        <v>8</v>
      </c>
      <c r="E574" s="6" t="str">
        <f>LOOKUP(2,1/(MCQ!C:C=B574),MCQ!H:H)</f>
        <v>23.00</v>
      </c>
      <c r="F574" s="6" t="str">
        <f>LOOKUP(2,1/(Debugging!C:C=B574),Debugging!H:H)</f>
        <v>44.00</v>
      </c>
      <c r="G574" s="6" t="str">
        <f>LOOKUP(2,1/(Coding!C:C=B574),Coding!H:H)</f>
        <v>25.00</v>
      </c>
      <c r="H574" s="8">
        <f>E574+F574+G574</f>
        <v>92</v>
      </c>
      <c r="I574" s="4" t="str">
        <f>IF(J574&lt;&gt;"Complete","Not Active",IF(H574&gt;=75,"Good",IF(H574&gt;=50,"Satisfactory",IF(H574&gt;=25,"Need Attention","Intervention"))))</f>
        <v>Good</v>
      </c>
      <c r="J574" s="4" t="str">
        <f>IF(COUNTIF(E574:G574,"#N/A")=3,"Not Attempted",IF(OR(ISNA(E574),ISNA(F574),ISNA(G574)),"NotCompleted","Complete"))</f>
        <v>Complete</v>
      </c>
    </row>
    <row r="575" spans="1:10" ht="15.6" x14ac:dyDescent="0.3">
      <c r="A575" s="17" t="s">
        <v>5488</v>
      </c>
      <c r="B575" s="20" t="s">
        <v>863</v>
      </c>
      <c r="C575" s="20" t="s">
        <v>6926</v>
      </c>
      <c r="D575" s="2" t="s">
        <v>123</v>
      </c>
      <c r="E575" s="6" t="str">
        <f>LOOKUP(2,1/(MCQ!C:C=B575),MCQ!H:H)</f>
        <v>23.00</v>
      </c>
      <c r="F575" s="6" t="str">
        <f>LOOKUP(2,1/(Debugging!C:C=B575),Debugging!H:H)</f>
        <v>47.00</v>
      </c>
      <c r="G575" s="6" t="str">
        <f>LOOKUP(2,1/(Coding!C:C=B575),Coding!H:H)</f>
        <v>24.00</v>
      </c>
      <c r="H575" s="8">
        <f>E575+F575+G575</f>
        <v>94</v>
      </c>
      <c r="I575" s="4" t="str">
        <f>IF(J575&lt;&gt;"Complete","Not Active",IF(H575&gt;=75,"Good",IF(H575&gt;=50,"Satisfactory",IF(H575&gt;=25,"Need Attention","Intervention"))))</f>
        <v>Good</v>
      </c>
      <c r="J575" s="4" t="str">
        <f>IF(COUNTIF(E575:G575,"#N/A")=3,"Not Attempted",IF(OR(ISNA(E575),ISNA(F575),ISNA(G575)),"NotCompleted","Complete"))</f>
        <v>Complete</v>
      </c>
    </row>
    <row r="576" spans="1:10" ht="15.6" x14ac:dyDescent="0.3">
      <c r="A576" s="17" t="s">
        <v>5488</v>
      </c>
      <c r="B576" s="20" t="s">
        <v>865</v>
      </c>
      <c r="C576" s="20" t="s">
        <v>6927</v>
      </c>
      <c r="D576" s="2" t="s">
        <v>55</v>
      </c>
      <c r="E576" s="6" t="str">
        <f>LOOKUP(2,1/(MCQ!C:C=B576),MCQ!H:H)</f>
        <v>19.00</v>
      </c>
      <c r="F576" s="6" t="str">
        <f>LOOKUP(2,1/(Debugging!C:C=B576),Debugging!H:H)</f>
        <v>47.00</v>
      </c>
      <c r="G576" s="6" t="str">
        <f>LOOKUP(2,1/(Coding!C:C=B576),Coding!H:H)</f>
        <v>25.00</v>
      </c>
      <c r="H576" s="8">
        <f>E576+F576+G576</f>
        <v>91</v>
      </c>
      <c r="I576" s="4" t="str">
        <f>IF(J576&lt;&gt;"Complete","Not Active",IF(H576&gt;=75,"Good",IF(H576&gt;=50,"Satisfactory",IF(H576&gt;=25,"Need Attention","Intervention"))))</f>
        <v>Good</v>
      </c>
      <c r="J576" s="4" t="str">
        <f>IF(COUNTIF(E576:G576,"#N/A")=3,"Not Attempted",IF(OR(ISNA(E576),ISNA(F576),ISNA(G576)),"NotCompleted","Complete"))</f>
        <v>Complete</v>
      </c>
    </row>
    <row r="577" spans="1:10" ht="15.6" x14ac:dyDescent="0.3">
      <c r="A577" s="17" t="s">
        <v>5488</v>
      </c>
      <c r="B577" s="20" t="s">
        <v>867</v>
      </c>
      <c r="C577" s="20" t="s">
        <v>6928</v>
      </c>
      <c r="D577" s="2" t="s">
        <v>8</v>
      </c>
      <c r="E577" s="6" t="str">
        <f>LOOKUP(2,1/(MCQ!C:C=B577),MCQ!H:H)</f>
        <v>22.00</v>
      </c>
      <c r="F577" s="6" t="str">
        <f>LOOKUP(2,1/(Debugging!C:C=B577),Debugging!H:H)</f>
        <v>49.00</v>
      </c>
      <c r="G577" s="6" t="str">
        <f>LOOKUP(2,1/(Coding!C:C=B577),Coding!H:H)</f>
        <v>24.00</v>
      </c>
      <c r="H577" s="8">
        <f>E577+F577+G577</f>
        <v>95</v>
      </c>
      <c r="I577" s="4" t="str">
        <f>IF(J577&lt;&gt;"Complete","Not Active",IF(H577&gt;=75,"Good",IF(H577&gt;=50,"Satisfactory",IF(H577&gt;=25,"Need Attention","Intervention"))))</f>
        <v>Good</v>
      </c>
      <c r="J577" s="4" t="str">
        <f>IF(COUNTIF(E577:G577,"#N/A")=3,"Not Attempted",IF(OR(ISNA(E577),ISNA(F577),ISNA(G577)),"NotCompleted","Complete"))</f>
        <v>Complete</v>
      </c>
    </row>
    <row r="578" spans="1:10" ht="15.6" x14ac:dyDescent="0.3">
      <c r="A578" s="17" t="s">
        <v>5488</v>
      </c>
      <c r="B578" s="20" t="s">
        <v>869</v>
      </c>
      <c r="C578" s="20" t="s">
        <v>6929</v>
      </c>
      <c r="D578" s="2" t="s">
        <v>49</v>
      </c>
      <c r="E578" s="6" t="str">
        <f>LOOKUP(2,1/(MCQ!C:C=B578),MCQ!H:H)</f>
        <v>25.00</v>
      </c>
      <c r="F578" s="6" t="str">
        <f>LOOKUP(2,1/(Debugging!C:C=B578),Debugging!H:H)</f>
        <v>37.00</v>
      </c>
      <c r="G578" s="6" t="str">
        <f>LOOKUP(2,1/(Coding!C:C=B578),Coding!H:H)</f>
        <v>25.00</v>
      </c>
      <c r="H578" s="8">
        <f>E578+F578+G578</f>
        <v>87</v>
      </c>
      <c r="I578" s="4" t="str">
        <f>IF(J578&lt;&gt;"Complete","Not Active",IF(H578&gt;=75,"Good",IF(H578&gt;=50,"Satisfactory",IF(H578&gt;=25,"Need Attention","Intervention"))))</f>
        <v>Good</v>
      </c>
      <c r="J578" s="4" t="str">
        <f>IF(COUNTIF(E578:G578,"#N/A")=3,"Not Attempted",IF(OR(ISNA(E578),ISNA(F578),ISNA(G578)),"NotCompleted","Complete"))</f>
        <v>Complete</v>
      </c>
    </row>
    <row r="579" spans="1:10" ht="15.6" x14ac:dyDescent="0.3">
      <c r="A579" s="17" t="s">
        <v>5488</v>
      </c>
      <c r="B579" s="20" t="s">
        <v>871</v>
      </c>
      <c r="C579" s="20" t="s">
        <v>6710</v>
      </c>
      <c r="D579" s="2" t="s">
        <v>8</v>
      </c>
      <c r="E579" s="6" t="e">
        <f>LOOKUP(2,1/(Debugging!B:B=A579),Debugging!G:G)</f>
        <v>#N/A</v>
      </c>
      <c r="F579" s="6" t="str">
        <f>LOOKUP(2,1/(Debugging!C:C=B579),Debugging!H:H)</f>
        <v>44.00</v>
      </c>
      <c r="G579" s="6" t="str">
        <f>LOOKUP(2,1/(Coding!C:C=B579),Coding!H:H)</f>
        <v>25.00</v>
      </c>
      <c r="H579" s="8" t="e">
        <f>E579+F579+G579</f>
        <v>#N/A</v>
      </c>
      <c r="I579" s="4" t="str">
        <f>IF(J579&lt;&gt;"Complete","Not Active",IF(H579&gt;=75,"Good",IF(H579&gt;=50,"Satisfactory",IF(H579&gt;=25,"Need Attention","Intervention"))))</f>
        <v>Not Active</v>
      </c>
      <c r="J579" s="4" t="str">
        <f>IF(COUNTIF(E579:G579,"#N/A")=3,"Not Attempted",IF(OR(ISNA(E579),ISNA(F579),ISNA(G579)),"NotCompleted","Complete"))</f>
        <v>NotCompleted</v>
      </c>
    </row>
    <row r="580" spans="1:10" ht="15.6" x14ac:dyDescent="0.3">
      <c r="A580" s="17" t="s">
        <v>5488</v>
      </c>
      <c r="B580" s="20" t="s">
        <v>872</v>
      </c>
      <c r="C580" s="20" t="s">
        <v>6930</v>
      </c>
      <c r="D580" s="2" t="s">
        <v>8</v>
      </c>
      <c r="E580" s="6" t="str">
        <f>LOOKUP(2,1/(MCQ!C:C=B580),MCQ!H:H)</f>
        <v>25.00</v>
      </c>
      <c r="F580" s="6" t="str">
        <f>LOOKUP(2,1/(Debugging!C:C=B580),Debugging!H:H)</f>
        <v>50.00</v>
      </c>
      <c r="G580" s="6" t="str">
        <f>LOOKUP(2,1/(Coding!C:C=B580),Coding!H:H)</f>
        <v>25.00</v>
      </c>
      <c r="H580" s="8">
        <f>E580+F580+G580</f>
        <v>100</v>
      </c>
      <c r="I580" s="4" t="str">
        <f>IF(J580&lt;&gt;"Complete","Not Active",IF(H580&gt;=75,"Good",IF(H580&gt;=50,"Satisfactory",IF(H580&gt;=25,"Need Attention","Intervention"))))</f>
        <v>Good</v>
      </c>
      <c r="J580" s="4" t="str">
        <f>IF(COUNTIF(E580:G580,"#N/A")=3,"Not Attempted",IF(OR(ISNA(E580),ISNA(F580),ISNA(G580)),"NotCompleted","Complete"))</f>
        <v>Complete</v>
      </c>
    </row>
    <row r="581" spans="1:10" ht="15.6" x14ac:dyDescent="0.3">
      <c r="A581" s="17" t="s">
        <v>5488</v>
      </c>
      <c r="B581" s="20" t="s">
        <v>874</v>
      </c>
      <c r="C581" s="20" t="s">
        <v>6931</v>
      </c>
      <c r="D581" s="2" t="s">
        <v>31</v>
      </c>
      <c r="E581" s="6" t="str">
        <f>LOOKUP(2,1/(MCQ!C:C=B581),MCQ!H:H)</f>
        <v>20.00</v>
      </c>
      <c r="F581" s="6" t="str">
        <f>LOOKUP(2,1/(Debugging!C:C=B581),Debugging!H:H)</f>
        <v>39.00</v>
      </c>
      <c r="G581" s="6" t="str">
        <f>LOOKUP(2,1/(Coding!C:C=B581),Coding!H:H)</f>
        <v>25.00</v>
      </c>
      <c r="H581" s="8">
        <f>E581+F581+G581</f>
        <v>84</v>
      </c>
      <c r="I581" s="4" t="str">
        <f>IF(J581&lt;&gt;"Complete","Not Active",IF(H581&gt;=75,"Good",IF(H581&gt;=50,"Satisfactory",IF(H581&gt;=25,"Need Attention","Intervention"))))</f>
        <v>Good</v>
      </c>
      <c r="J581" s="4" t="str">
        <f>IF(COUNTIF(E581:G581,"#N/A")=3,"Not Attempted",IF(OR(ISNA(E581),ISNA(F581),ISNA(G581)),"NotCompleted","Complete"))</f>
        <v>Complete</v>
      </c>
    </row>
    <row r="582" spans="1:10" ht="15.6" x14ac:dyDescent="0.3">
      <c r="A582" s="17" t="s">
        <v>5488</v>
      </c>
      <c r="B582" s="20" t="s">
        <v>876</v>
      </c>
      <c r="C582" s="20" t="s">
        <v>6932</v>
      </c>
      <c r="D582" s="2" t="s">
        <v>16</v>
      </c>
      <c r="E582" s="6" t="str">
        <f>LOOKUP(2,1/(MCQ!C:C=B582),MCQ!H:H)</f>
        <v>19.00</v>
      </c>
      <c r="F582" s="6" t="str">
        <f>LOOKUP(2,1/(Debugging!C:C=B582),Debugging!H:H)</f>
        <v>44.00</v>
      </c>
      <c r="G582" s="6" t="str">
        <f>LOOKUP(2,1/(Coding!C:C=B582),Coding!H:H)</f>
        <v>25.00</v>
      </c>
      <c r="H582" s="8">
        <f>E582+F582+G582</f>
        <v>88</v>
      </c>
      <c r="I582" s="4" t="str">
        <f>IF(J582&lt;&gt;"Complete","Not Active",IF(H582&gt;=75,"Good",IF(H582&gt;=50,"Satisfactory",IF(H582&gt;=25,"Need Attention","Intervention"))))</f>
        <v>Good</v>
      </c>
      <c r="J582" s="4" t="str">
        <f>IF(COUNTIF(E582:G582,"#N/A")=3,"Not Attempted",IF(OR(ISNA(E582),ISNA(F582),ISNA(G582)),"NotCompleted","Complete"))</f>
        <v>Complete</v>
      </c>
    </row>
    <row r="583" spans="1:10" ht="15.6" x14ac:dyDescent="0.3">
      <c r="A583" s="17" t="s">
        <v>5488</v>
      </c>
      <c r="B583" s="20" t="s">
        <v>878</v>
      </c>
      <c r="C583" s="20" t="s">
        <v>6933</v>
      </c>
      <c r="D583" s="2" t="s">
        <v>123</v>
      </c>
      <c r="E583" s="6" t="str">
        <f>LOOKUP(2,1/(MCQ!C:C=B583),MCQ!H:H)</f>
        <v>24.00</v>
      </c>
      <c r="F583" s="6" t="str">
        <f>LOOKUP(2,1/(Debugging!C:C=B583),Debugging!H:H)</f>
        <v>44.00</v>
      </c>
      <c r="G583" s="6" t="str">
        <f>LOOKUP(2,1/(Coding!C:C=B583),Coding!H:H)</f>
        <v>20.50</v>
      </c>
      <c r="H583" s="8">
        <f>E583+F583+G583</f>
        <v>88.5</v>
      </c>
      <c r="I583" s="4" t="str">
        <f>IF(J583&lt;&gt;"Complete","Not Active",IF(H583&gt;=75,"Good",IF(H583&gt;=50,"Satisfactory",IF(H583&gt;=25,"Need Attention","Intervention"))))</f>
        <v>Good</v>
      </c>
      <c r="J583" s="4" t="str">
        <f>IF(COUNTIF(E583:G583,"#N/A")=3,"Not Attempted",IF(OR(ISNA(E583),ISNA(F583),ISNA(G583)),"NotCompleted","Complete"))</f>
        <v>Complete</v>
      </c>
    </row>
    <row r="584" spans="1:10" ht="15.6" x14ac:dyDescent="0.3">
      <c r="A584" s="17" t="s">
        <v>5488</v>
      </c>
      <c r="B584" s="20" t="s">
        <v>880</v>
      </c>
      <c r="C584" s="20" t="s">
        <v>6934</v>
      </c>
      <c r="D584" s="2" t="s">
        <v>42</v>
      </c>
      <c r="E584" s="6" t="str">
        <f>LOOKUP(2,1/(MCQ!C:C=B584),MCQ!H:H)</f>
        <v>19.00</v>
      </c>
      <c r="F584" s="6" t="str">
        <f>LOOKUP(2,1/(Debugging!C:C=B584),Debugging!H:H)</f>
        <v>38.00</v>
      </c>
      <c r="G584" s="6" t="str">
        <f>LOOKUP(2,1/(Coding!C:C=B584),Coding!H:H)</f>
        <v>25.00</v>
      </c>
      <c r="H584" s="8">
        <f>E584+F584+G584</f>
        <v>82</v>
      </c>
      <c r="I584" s="4" t="str">
        <f>IF(J584&lt;&gt;"Complete","Not Active",IF(H584&gt;=75,"Good",IF(H584&gt;=50,"Satisfactory",IF(H584&gt;=25,"Need Attention","Intervention"))))</f>
        <v>Good</v>
      </c>
      <c r="J584" s="4" t="str">
        <f>IF(COUNTIF(E584:G584,"#N/A")=3,"Not Attempted",IF(OR(ISNA(E584),ISNA(F584),ISNA(G584)),"NotCompleted","Complete"))</f>
        <v>Complete</v>
      </c>
    </row>
    <row r="585" spans="1:10" ht="15.6" x14ac:dyDescent="0.3">
      <c r="A585" s="17" t="s">
        <v>5488</v>
      </c>
      <c r="B585" s="20" t="s">
        <v>882</v>
      </c>
      <c r="C585" s="20" t="s">
        <v>6935</v>
      </c>
      <c r="D585" s="2" t="s">
        <v>8</v>
      </c>
      <c r="E585" s="6" t="e">
        <f>LOOKUP(2,1/(Debugging!B:B=A585),Debugging!G:G)</f>
        <v>#N/A</v>
      </c>
      <c r="F585" s="6" t="str">
        <f>LOOKUP(2,1/(Debugging!C:C=B585),Debugging!H:H)</f>
        <v>42.00</v>
      </c>
      <c r="G585" s="6" t="str">
        <f>LOOKUP(2,1/(Coding!C:C=B585),Coding!H:H)</f>
        <v>23.50</v>
      </c>
      <c r="H585" s="8" t="e">
        <f>E585+F585+G585</f>
        <v>#N/A</v>
      </c>
      <c r="I585" s="4" t="str">
        <f>IF(J585&lt;&gt;"Complete","Not Active",IF(H585&gt;=75,"Good",IF(H585&gt;=50,"Satisfactory",IF(H585&gt;=25,"Need Attention","Intervention"))))</f>
        <v>Not Active</v>
      </c>
      <c r="J585" s="4" t="str">
        <f>IF(COUNTIF(E585:G585,"#N/A")=3,"Not Attempted",IF(OR(ISNA(E585),ISNA(F585),ISNA(G585)),"NotCompleted","Complete"))</f>
        <v>NotCompleted</v>
      </c>
    </row>
    <row r="586" spans="1:10" ht="15.6" x14ac:dyDescent="0.3">
      <c r="A586" s="17" t="s">
        <v>5488</v>
      </c>
      <c r="B586" s="20" t="s">
        <v>884</v>
      </c>
      <c r="C586" s="20" t="s">
        <v>6936</v>
      </c>
      <c r="D586" s="2" t="s">
        <v>8</v>
      </c>
      <c r="E586" s="6" t="str">
        <f>LOOKUP(2,1/(MCQ!C:C=B586),MCQ!H:H)</f>
        <v>25.00</v>
      </c>
      <c r="F586" s="6" t="str">
        <f>LOOKUP(2,1/(Debugging!C:C=B586),Debugging!H:H)</f>
        <v>38.00</v>
      </c>
      <c r="G586" s="6" t="str">
        <f>LOOKUP(2,1/(Coding!C:C=B586),Coding!H:H)</f>
        <v>25.00</v>
      </c>
      <c r="H586" s="8">
        <f>E586+F586+G586</f>
        <v>88</v>
      </c>
      <c r="I586" s="4" t="str">
        <f>IF(J586&lt;&gt;"Complete","Not Active",IF(H586&gt;=75,"Good",IF(H586&gt;=50,"Satisfactory",IF(H586&gt;=25,"Need Attention","Intervention"))))</f>
        <v>Good</v>
      </c>
      <c r="J586" s="4" t="str">
        <f>IF(COUNTIF(E586:G586,"#N/A")=3,"Not Attempted",IF(OR(ISNA(E586),ISNA(F586),ISNA(G586)),"NotCompleted","Complete"))</f>
        <v>Complete</v>
      </c>
    </row>
    <row r="587" spans="1:10" ht="15.6" x14ac:dyDescent="0.3">
      <c r="A587" s="17" t="s">
        <v>5488</v>
      </c>
      <c r="B587" s="20" t="s">
        <v>886</v>
      </c>
      <c r="C587" s="20" t="s">
        <v>6937</v>
      </c>
      <c r="D587" s="2" t="s">
        <v>8</v>
      </c>
      <c r="E587" s="6" t="str">
        <f>LOOKUP(2,1/(MCQ!C:C=B587),MCQ!H:H)</f>
        <v>22.00</v>
      </c>
      <c r="F587" s="6" t="str">
        <f>LOOKUP(2,1/(Debugging!C:C=B587),Debugging!H:H)</f>
        <v>42.00</v>
      </c>
      <c r="G587" s="6" t="str">
        <f>LOOKUP(2,1/(Coding!C:C=B587),Coding!H:H)</f>
        <v>20.50</v>
      </c>
      <c r="H587" s="8">
        <f>E587+F587+G587</f>
        <v>84.5</v>
      </c>
      <c r="I587" s="4" t="str">
        <f>IF(J587&lt;&gt;"Complete","Not Active",IF(H587&gt;=75,"Good",IF(H587&gt;=50,"Satisfactory",IF(H587&gt;=25,"Need Attention","Intervention"))))</f>
        <v>Good</v>
      </c>
      <c r="J587" s="4" t="str">
        <f>IF(COUNTIF(E587:G587,"#N/A")=3,"Not Attempted",IF(OR(ISNA(E587),ISNA(F587),ISNA(G587)),"NotCompleted","Complete"))</f>
        <v>Complete</v>
      </c>
    </row>
    <row r="588" spans="1:10" ht="15.6" x14ac:dyDescent="0.3">
      <c r="A588" s="17" t="s">
        <v>5488</v>
      </c>
      <c r="B588" s="20" t="s">
        <v>888</v>
      </c>
      <c r="C588" s="20" t="s">
        <v>6938</v>
      </c>
      <c r="D588" s="2" t="s">
        <v>8</v>
      </c>
      <c r="E588" s="6" t="str">
        <f>LOOKUP(2,1/(MCQ!C:C=B588),MCQ!H:H)</f>
        <v>23.00</v>
      </c>
      <c r="F588" s="6" t="str">
        <f>LOOKUP(2,1/(Debugging!C:C=B588),Debugging!H:H)</f>
        <v>25.00</v>
      </c>
      <c r="G588" s="6" t="str">
        <f>LOOKUP(2,1/(Coding!C:C=B588),Coding!H:H)</f>
        <v>25.00</v>
      </c>
      <c r="H588" s="8">
        <f>E588+F588+G588</f>
        <v>73</v>
      </c>
      <c r="I588" s="4" t="str">
        <f>IF(J588&lt;&gt;"Complete","Not Active",IF(H588&gt;=75,"Good",IF(H588&gt;=50,"Satisfactory",IF(H588&gt;=25,"Need Attention","Intervention"))))</f>
        <v>Satisfactory</v>
      </c>
      <c r="J588" s="4" t="str">
        <f>IF(COUNTIF(E588:G588,"#N/A")=3,"Not Attempted",IF(OR(ISNA(E588),ISNA(F588),ISNA(G588)),"NotCompleted","Complete"))</f>
        <v>Complete</v>
      </c>
    </row>
    <row r="589" spans="1:10" ht="15.6" x14ac:dyDescent="0.3">
      <c r="A589" s="17" t="s">
        <v>5488</v>
      </c>
      <c r="B589" s="20" t="s">
        <v>889</v>
      </c>
      <c r="C589" s="20" t="s">
        <v>6939</v>
      </c>
      <c r="D589" s="2" t="s">
        <v>22</v>
      </c>
      <c r="E589" s="6" t="str">
        <f>LOOKUP(2,1/(MCQ!C:C=B589),MCQ!H:H)</f>
        <v>19.00</v>
      </c>
      <c r="F589" s="6" t="str">
        <f>LOOKUP(2,1/(Debugging!C:C=B589),Debugging!H:H)</f>
        <v>42.00</v>
      </c>
      <c r="G589" s="6" t="str">
        <f>LOOKUP(2,1/(Coding!C:C=B589),Coding!H:H)</f>
        <v>25.00</v>
      </c>
      <c r="H589" s="8">
        <f>E589+F589+G589</f>
        <v>86</v>
      </c>
      <c r="I589" s="4" t="str">
        <f>IF(J589&lt;&gt;"Complete","Not Active",IF(H589&gt;=75,"Good",IF(H589&gt;=50,"Satisfactory",IF(H589&gt;=25,"Need Attention","Intervention"))))</f>
        <v>Good</v>
      </c>
      <c r="J589" s="4" t="str">
        <f>IF(COUNTIF(E589:G589,"#N/A")=3,"Not Attempted",IF(OR(ISNA(E589),ISNA(F589),ISNA(G589)),"NotCompleted","Complete"))</f>
        <v>Complete</v>
      </c>
    </row>
    <row r="590" spans="1:10" ht="15.6" x14ac:dyDescent="0.3">
      <c r="A590" s="17" t="s">
        <v>5488</v>
      </c>
      <c r="B590" s="20" t="s">
        <v>891</v>
      </c>
      <c r="C590" s="20" t="s">
        <v>6940</v>
      </c>
      <c r="D590" s="2" t="s">
        <v>28</v>
      </c>
      <c r="E590" s="6" t="str">
        <f>LOOKUP(2,1/(MCQ!C:C=B590),MCQ!H:H)</f>
        <v>19.00</v>
      </c>
      <c r="F590" s="6" t="str">
        <f>LOOKUP(2,1/(Debugging!C:C=B590),Debugging!H:H)</f>
        <v>33.00</v>
      </c>
      <c r="G590" s="6" t="str">
        <f>LOOKUP(2,1/(Coding!C:C=B590),Coding!H:H)</f>
        <v>21.00</v>
      </c>
      <c r="H590" s="8">
        <f>E590+F590+G590</f>
        <v>73</v>
      </c>
      <c r="I590" s="4" t="str">
        <f>IF(J590&lt;&gt;"Complete","Not Active",IF(H590&gt;=75,"Good",IF(H590&gt;=50,"Satisfactory",IF(H590&gt;=25,"Need Attention","Intervention"))))</f>
        <v>Satisfactory</v>
      </c>
      <c r="J590" s="4" t="str">
        <f>IF(COUNTIF(E590:G590,"#N/A")=3,"Not Attempted",IF(OR(ISNA(E590),ISNA(F590),ISNA(G590)),"NotCompleted","Complete"))</f>
        <v>Complete</v>
      </c>
    </row>
    <row r="591" spans="1:10" ht="15.6" x14ac:dyDescent="0.3">
      <c r="A591" s="17" t="s">
        <v>5488</v>
      </c>
      <c r="B591" s="20" t="s">
        <v>894</v>
      </c>
      <c r="C591" s="20" t="s">
        <v>6941</v>
      </c>
      <c r="D591" s="2" t="s">
        <v>80</v>
      </c>
      <c r="E591" s="6" t="str">
        <f>LOOKUP(2,1/(MCQ!C:C=B591),MCQ!H:H)</f>
        <v>20.00</v>
      </c>
      <c r="F591" s="6" t="e">
        <f>LOOKUP(2,1/(Debugging!C:C=B591),Debugging!H:H)</f>
        <v>#N/A</v>
      </c>
      <c r="G591" s="6" t="str">
        <f>LOOKUP(2,1/(Coding!C:C=B591),Coding!H:H)</f>
        <v>25.00</v>
      </c>
      <c r="H591" s="8" t="e">
        <f>E591+F591+G591</f>
        <v>#N/A</v>
      </c>
      <c r="I591" s="4" t="str">
        <f>IF(J591&lt;&gt;"Complete","Not Active",IF(H591&gt;=75,"Good",IF(H591&gt;=50,"Satisfactory",IF(H591&gt;=25,"Need Attention","Intervention"))))</f>
        <v>Not Active</v>
      </c>
      <c r="J591" s="4" t="str">
        <f>IF(COUNTIF(E591:G591,"#N/A")=3,"Not Attempted",IF(OR(ISNA(E591),ISNA(F591),ISNA(G591)),"NotCompleted","Complete"))</f>
        <v>NotCompleted</v>
      </c>
    </row>
    <row r="592" spans="1:10" ht="15.6" x14ac:dyDescent="0.3">
      <c r="A592" s="17" t="s">
        <v>5488</v>
      </c>
      <c r="B592" s="20" t="s">
        <v>896</v>
      </c>
      <c r="C592" s="20" t="s">
        <v>6942</v>
      </c>
      <c r="D592" s="2" t="s">
        <v>723</v>
      </c>
      <c r="E592" s="6" t="str">
        <f>LOOKUP(2,1/(MCQ!C:C=B592),MCQ!H:H)</f>
        <v>22.00</v>
      </c>
      <c r="F592" s="6" t="str">
        <f>LOOKUP(2,1/(Debugging!C:C=B592),Debugging!H:H)</f>
        <v>21.00</v>
      </c>
      <c r="G592" s="6" t="str">
        <f>LOOKUP(2,1/(Coding!C:C=B592),Coding!H:H)</f>
        <v>25.00</v>
      </c>
      <c r="H592" s="8">
        <f>E592+F592+G592</f>
        <v>68</v>
      </c>
      <c r="I592" s="4" t="str">
        <f>IF(J592&lt;&gt;"Complete","Not Active",IF(H592&gt;=75,"Good",IF(H592&gt;=50,"Satisfactory",IF(H592&gt;=25,"Need Attention","Intervention"))))</f>
        <v>Satisfactory</v>
      </c>
      <c r="J592" s="4" t="str">
        <f>IF(COUNTIF(E592:G592,"#N/A")=3,"Not Attempted",IF(OR(ISNA(E592),ISNA(F592),ISNA(G592)),"NotCompleted","Complete"))</f>
        <v>Complete</v>
      </c>
    </row>
    <row r="593" spans="1:10" ht="15.6" x14ac:dyDescent="0.3">
      <c r="A593" s="17" t="s">
        <v>5488</v>
      </c>
      <c r="B593" s="20" t="s">
        <v>898</v>
      </c>
      <c r="C593" s="20" t="s">
        <v>6943</v>
      </c>
      <c r="D593" s="2" t="s">
        <v>19</v>
      </c>
      <c r="E593" s="6" t="str">
        <f>LOOKUP(2,1/(MCQ!C:C=B593),MCQ!H:H)</f>
        <v>21.00</v>
      </c>
      <c r="F593" s="6" t="str">
        <f>LOOKUP(2,1/(Debugging!C:C=B593),Debugging!H:H)</f>
        <v>43.00</v>
      </c>
      <c r="G593" s="6" t="str">
        <f>LOOKUP(2,1/(Coding!C:C=B593),Coding!H:H)</f>
        <v>23.50</v>
      </c>
      <c r="H593" s="8">
        <f>E593+F593+G593</f>
        <v>87.5</v>
      </c>
      <c r="I593" s="4" t="str">
        <f>IF(J593&lt;&gt;"Complete","Not Active",IF(H593&gt;=75,"Good",IF(H593&gt;=50,"Satisfactory",IF(H593&gt;=25,"Need Attention","Intervention"))))</f>
        <v>Good</v>
      </c>
      <c r="J593" s="4" t="str">
        <f>IF(COUNTIF(E593:G593,"#N/A")=3,"Not Attempted",IF(OR(ISNA(E593),ISNA(F593),ISNA(G593)),"NotCompleted","Complete"))</f>
        <v>Complete</v>
      </c>
    </row>
    <row r="594" spans="1:10" ht="15.6" x14ac:dyDescent="0.3">
      <c r="A594" s="17" t="s">
        <v>5488</v>
      </c>
      <c r="B594" s="20" t="s">
        <v>900</v>
      </c>
      <c r="C594" s="20" t="s">
        <v>6944</v>
      </c>
      <c r="D594" s="2" t="s">
        <v>11</v>
      </c>
      <c r="E594" s="6" t="str">
        <f>LOOKUP(2,1/(MCQ!C:C=B594),MCQ!H:H)</f>
        <v>21.00</v>
      </c>
      <c r="F594" s="6" t="str">
        <f>LOOKUP(2,1/(Debugging!C:C=B594),Debugging!H:H)</f>
        <v>32.00</v>
      </c>
      <c r="G594" s="6" t="str">
        <f>LOOKUP(2,1/(Coding!C:C=B594),Coding!H:H)</f>
        <v>25.00</v>
      </c>
      <c r="H594" s="8">
        <f>E594+F594+G594</f>
        <v>78</v>
      </c>
      <c r="I594" s="4" t="str">
        <f>IF(J594&lt;&gt;"Complete","Not Active",IF(H594&gt;=75,"Good",IF(H594&gt;=50,"Satisfactory",IF(H594&gt;=25,"Need Attention","Intervention"))))</f>
        <v>Good</v>
      </c>
      <c r="J594" s="4" t="str">
        <f>IF(COUNTIF(E594:G594,"#N/A")=3,"Not Attempted",IF(OR(ISNA(E594),ISNA(F594),ISNA(G594)),"NotCompleted","Complete"))</f>
        <v>Complete</v>
      </c>
    </row>
    <row r="595" spans="1:10" ht="15.6" x14ac:dyDescent="0.3">
      <c r="A595" s="17" t="s">
        <v>5488</v>
      </c>
      <c r="B595" s="20" t="s">
        <v>902</v>
      </c>
      <c r="C595" s="20" t="s">
        <v>6945</v>
      </c>
      <c r="D595" s="2" t="s">
        <v>22</v>
      </c>
      <c r="E595" s="6" t="str">
        <f>LOOKUP(2,1/(MCQ!C:C=B595),MCQ!H:H)</f>
        <v>23.00</v>
      </c>
      <c r="F595" s="6" t="str">
        <f>LOOKUP(2,1/(Debugging!C:C=B595),Debugging!H:H)</f>
        <v>49.00</v>
      </c>
      <c r="G595" s="6" t="str">
        <f>LOOKUP(2,1/(Coding!C:C=B595),Coding!H:H)</f>
        <v>22.50</v>
      </c>
      <c r="H595" s="8">
        <f>E595+F595+G595</f>
        <v>94.5</v>
      </c>
      <c r="I595" s="4" t="str">
        <f>IF(J595&lt;&gt;"Complete","Not Active",IF(H595&gt;=75,"Good",IF(H595&gt;=50,"Satisfactory",IF(H595&gt;=25,"Need Attention","Intervention"))))</f>
        <v>Good</v>
      </c>
      <c r="J595" s="4" t="str">
        <f>IF(COUNTIF(E595:G595,"#N/A")=3,"Not Attempted",IF(OR(ISNA(E595),ISNA(F595),ISNA(G595)),"NotCompleted","Complete"))</f>
        <v>Complete</v>
      </c>
    </row>
    <row r="596" spans="1:10" ht="15.6" x14ac:dyDescent="0.3">
      <c r="A596" s="17" t="s">
        <v>5488</v>
      </c>
      <c r="B596" s="20" t="s">
        <v>904</v>
      </c>
      <c r="C596" s="20" t="s">
        <v>6946</v>
      </c>
      <c r="D596" s="2" t="s">
        <v>42</v>
      </c>
      <c r="E596" s="6" t="str">
        <f>LOOKUP(2,1/(MCQ!C:C=B596),MCQ!H:H)</f>
        <v>24.00</v>
      </c>
      <c r="F596" s="6" t="str">
        <f>LOOKUP(2,1/(Debugging!C:C=B596),Debugging!H:H)</f>
        <v>27.00</v>
      </c>
      <c r="G596" s="6" t="str">
        <f>LOOKUP(2,1/(Coding!C:C=B596),Coding!H:H)</f>
        <v>25.00</v>
      </c>
      <c r="H596" s="8">
        <f>E596+F596+G596</f>
        <v>76</v>
      </c>
      <c r="I596" s="4" t="str">
        <f>IF(J596&lt;&gt;"Complete","Not Active",IF(H596&gt;=75,"Good",IF(H596&gt;=50,"Satisfactory",IF(H596&gt;=25,"Need Attention","Intervention"))))</f>
        <v>Good</v>
      </c>
      <c r="J596" s="4" t="str">
        <f>IF(COUNTIF(E596:G596,"#N/A")=3,"Not Attempted",IF(OR(ISNA(E596),ISNA(F596),ISNA(G596)),"NotCompleted","Complete"))</f>
        <v>Complete</v>
      </c>
    </row>
    <row r="597" spans="1:10" ht="15.6" x14ac:dyDescent="0.3">
      <c r="A597" s="17" t="s">
        <v>5488</v>
      </c>
      <c r="B597" s="20" t="s">
        <v>906</v>
      </c>
      <c r="C597" s="20" t="s">
        <v>6947</v>
      </c>
      <c r="D597" s="2" t="s">
        <v>55</v>
      </c>
      <c r="E597" s="6" t="str">
        <f>LOOKUP(2,1/(MCQ!C:C=B597),MCQ!H:H)</f>
        <v>23.00</v>
      </c>
      <c r="F597" s="6" t="str">
        <f>LOOKUP(2,1/(Debugging!C:C=B597),Debugging!H:H)</f>
        <v>47.00</v>
      </c>
      <c r="G597" s="6" t="str">
        <f>LOOKUP(2,1/(Coding!C:C=B597),Coding!H:H)</f>
        <v>25.00</v>
      </c>
      <c r="H597" s="8">
        <f>E597+F597+G597</f>
        <v>95</v>
      </c>
      <c r="I597" s="4" t="str">
        <f>IF(J597&lt;&gt;"Complete","Not Active",IF(H597&gt;=75,"Good",IF(H597&gt;=50,"Satisfactory",IF(H597&gt;=25,"Need Attention","Intervention"))))</f>
        <v>Good</v>
      </c>
      <c r="J597" s="4" t="str">
        <f>IF(COUNTIF(E597:G597,"#N/A")=3,"Not Attempted",IF(OR(ISNA(E597),ISNA(F597),ISNA(G597)),"NotCompleted","Complete"))</f>
        <v>Complete</v>
      </c>
    </row>
    <row r="598" spans="1:10" ht="15.6" x14ac:dyDescent="0.3">
      <c r="A598" s="17" t="s">
        <v>5488</v>
      </c>
      <c r="B598" s="20" t="s">
        <v>908</v>
      </c>
      <c r="C598" s="20" t="s">
        <v>6948</v>
      </c>
      <c r="D598" s="2" t="s">
        <v>55</v>
      </c>
      <c r="E598" s="6" t="str">
        <f>LOOKUP(2,1/(MCQ!C:C=B598),MCQ!H:H)</f>
        <v>19.00</v>
      </c>
      <c r="F598" s="6" t="str">
        <f>LOOKUP(2,1/(Debugging!C:C=B598),Debugging!H:H)</f>
        <v>39.00</v>
      </c>
      <c r="G598" s="6" t="str">
        <f>LOOKUP(2,1/(Coding!C:C=B598),Coding!H:H)</f>
        <v>23.50</v>
      </c>
      <c r="H598" s="8">
        <f>E598+F598+G598</f>
        <v>81.5</v>
      </c>
      <c r="I598" s="4" t="str">
        <f>IF(J598&lt;&gt;"Complete","Not Active",IF(H598&gt;=75,"Good",IF(H598&gt;=50,"Satisfactory",IF(H598&gt;=25,"Need Attention","Intervention"))))</f>
        <v>Good</v>
      </c>
      <c r="J598" s="4" t="str">
        <f>IF(COUNTIF(E598:G598,"#N/A")=3,"Not Attempted",IF(OR(ISNA(E598),ISNA(F598),ISNA(G598)),"NotCompleted","Complete"))</f>
        <v>Complete</v>
      </c>
    </row>
    <row r="599" spans="1:10" ht="15.6" x14ac:dyDescent="0.3">
      <c r="A599" s="17" t="s">
        <v>5488</v>
      </c>
      <c r="B599" s="20" t="s">
        <v>910</v>
      </c>
      <c r="C599" s="20" t="s">
        <v>6751</v>
      </c>
      <c r="D599" s="2" t="s">
        <v>19</v>
      </c>
      <c r="E599" s="6" t="e">
        <f>LOOKUP(2,1/(Debugging!B:B=A599),Debugging!G:G)</f>
        <v>#N/A</v>
      </c>
      <c r="F599" s="6" t="str">
        <f>LOOKUP(2,1/(Debugging!C:C=B599),Debugging!H:H)</f>
        <v>43.00</v>
      </c>
      <c r="G599" s="6" t="str">
        <f>LOOKUP(2,1/(Coding!C:C=B599),Coding!H:H)</f>
        <v>25.00</v>
      </c>
      <c r="H599" s="8" t="e">
        <f>E599+F599+G599</f>
        <v>#N/A</v>
      </c>
      <c r="I599" s="4" t="str">
        <f>IF(J599&lt;&gt;"Complete","Not Active",IF(H599&gt;=75,"Good",IF(H599&gt;=50,"Satisfactory",IF(H599&gt;=25,"Need Attention","Intervention"))))</f>
        <v>Not Active</v>
      </c>
      <c r="J599" s="4" t="str">
        <f>IF(COUNTIF(E599:G599,"#N/A")=3,"Not Attempted",IF(OR(ISNA(E599),ISNA(F599),ISNA(G599)),"NotCompleted","Complete"))</f>
        <v>NotCompleted</v>
      </c>
    </row>
    <row r="600" spans="1:10" ht="15.6" x14ac:dyDescent="0.3">
      <c r="A600" s="17" t="s">
        <v>5488</v>
      </c>
      <c r="B600" s="20" t="s">
        <v>912</v>
      </c>
      <c r="C600" s="20" t="s">
        <v>6751</v>
      </c>
      <c r="D600" s="2" t="s">
        <v>31</v>
      </c>
      <c r="E600" s="6" t="str">
        <f>LOOKUP(2,1/(MCQ!C:C=B600),MCQ!H:H)</f>
        <v>23.00</v>
      </c>
      <c r="F600" s="6" t="str">
        <f>LOOKUP(2,1/(Debugging!C:C=B600),Debugging!H:H)</f>
        <v>48.00</v>
      </c>
      <c r="G600" s="6" t="str">
        <f>LOOKUP(2,1/(Coding!C:C=B600),Coding!H:H)</f>
        <v>22.00</v>
      </c>
      <c r="H600" s="8">
        <f>E600+F600+G600</f>
        <v>93</v>
      </c>
      <c r="I600" s="4" t="str">
        <f>IF(J600&lt;&gt;"Complete","Not Active",IF(H600&gt;=75,"Good",IF(H600&gt;=50,"Satisfactory",IF(H600&gt;=25,"Need Attention","Intervention"))))</f>
        <v>Good</v>
      </c>
      <c r="J600" s="4" t="str">
        <f>IF(COUNTIF(E600:G600,"#N/A")=3,"Not Attempted",IF(OR(ISNA(E600),ISNA(F600),ISNA(G600)),"NotCompleted","Complete"))</f>
        <v>Complete</v>
      </c>
    </row>
    <row r="601" spans="1:10" ht="15.6" x14ac:dyDescent="0.3">
      <c r="A601" s="17" t="s">
        <v>5488</v>
      </c>
      <c r="B601" s="20" t="s">
        <v>913</v>
      </c>
      <c r="C601" s="20" t="s">
        <v>6949</v>
      </c>
      <c r="D601" s="2" t="s">
        <v>8</v>
      </c>
      <c r="E601" s="6" t="str">
        <f>LOOKUP(2,1/(MCQ!C:C=B601),MCQ!H:H)</f>
        <v>17.00</v>
      </c>
      <c r="F601" s="6" t="str">
        <f>LOOKUP(2,1/(Debugging!C:C=B601),Debugging!H:H)</f>
        <v>44.00</v>
      </c>
      <c r="G601" s="6" t="str">
        <f>LOOKUP(2,1/(Coding!C:C=B601),Coding!H:H)</f>
        <v>17.50</v>
      </c>
      <c r="H601" s="8">
        <f>E601+F601+G601</f>
        <v>78.5</v>
      </c>
      <c r="I601" s="4" t="str">
        <f>IF(J601&lt;&gt;"Complete","Not Active",IF(H601&gt;=75,"Good",IF(H601&gt;=50,"Satisfactory",IF(H601&gt;=25,"Need Attention","Intervention"))))</f>
        <v>Good</v>
      </c>
      <c r="J601" s="4" t="str">
        <f>IF(COUNTIF(E601:G601,"#N/A")=3,"Not Attempted",IF(OR(ISNA(E601),ISNA(F601),ISNA(G601)),"NotCompleted","Complete"))</f>
        <v>Complete</v>
      </c>
    </row>
    <row r="602" spans="1:10" ht="15.6" x14ac:dyDescent="0.3">
      <c r="A602" s="17" t="s">
        <v>5488</v>
      </c>
      <c r="B602" s="20" t="s">
        <v>5831</v>
      </c>
      <c r="C602" s="20" t="s">
        <v>6950</v>
      </c>
      <c r="D602" s="2" t="s">
        <v>49</v>
      </c>
      <c r="E602" s="6" t="str">
        <f>LOOKUP(2,1/(MCQ!C:C=B602),MCQ!H:H)</f>
        <v>21.00</v>
      </c>
      <c r="F602" s="6" t="e">
        <f>LOOKUP(2,1/(Debugging!C:C=B602),Debugging!H:H)</f>
        <v>#N/A</v>
      </c>
      <c r="G602" s="6" t="e">
        <f>LOOKUP(2,1/(Coding!C:C=B602),Coding!H:H)</f>
        <v>#N/A</v>
      </c>
      <c r="H602" s="8" t="e">
        <f>E602+F602+G602</f>
        <v>#N/A</v>
      </c>
      <c r="I602" s="4" t="str">
        <f>IF(J602&lt;&gt;"Complete","Not Active",IF(H602&gt;=75,"Good",IF(H602&gt;=50,"Satisfactory",IF(H602&gt;=25,"Need Attention","Intervention"))))</f>
        <v>Not Active</v>
      </c>
      <c r="J602" s="4" t="str">
        <f>IF(COUNTIF(E602:G602,"#N/A")=3,"Not Attempted",IF(OR(ISNA(E602),ISNA(F602),ISNA(G602)),"NotCompleted","Complete"))</f>
        <v>NotCompleted</v>
      </c>
    </row>
    <row r="603" spans="1:10" ht="15.6" x14ac:dyDescent="0.3">
      <c r="A603" s="17" t="s">
        <v>5488</v>
      </c>
      <c r="B603" s="20" t="s">
        <v>915</v>
      </c>
      <c r="C603" s="20" t="s">
        <v>6951</v>
      </c>
      <c r="D603" s="2" t="s">
        <v>8</v>
      </c>
      <c r="E603" s="6" t="str">
        <f>LOOKUP(2,1/(MCQ!C:C=B603),MCQ!H:H)</f>
        <v>24.00</v>
      </c>
      <c r="F603" s="6" t="str">
        <f>LOOKUP(2,1/(Debugging!C:C=B603),Debugging!H:H)</f>
        <v>31.00</v>
      </c>
      <c r="G603" s="6" t="str">
        <f>LOOKUP(2,1/(Coding!C:C=B603),Coding!H:H)</f>
        <v>25.00</v>
      </c>
      <c r="H603" s="8">
        <f>E603+F603+G603</f>
        <v>80</v>
      </c>
      <c r="I603" s="4" t="str">
        <f>IF(J603&lt;&gt;"Complete","Not Active",IF(H603&gt;=75,"Good",IF(H603&gt;=50,"Satisfactory",IF(H603&gt;=25,"Need Attention","Intervention"))))</f>
        <v>Good</v>
      </c>
      <c r="J603" s="4" t="str">
        <f>IF(COUNTIF(E603:G603,"#N/A")=3,"Not Attempted",IF(OR(ISNA(E603),ISNA(F603),ISNA(G603)),"NotCompleted","Complete"))</f>
        <v>Complete</v>
      </c>
    </row>
    <row r="604" spans="1:10" ht="15.6" x14ac:dyDescent="0.3">
      <c r="A604" s="17" t="s">
        <v>5488</v>
      </c>
      <c r="B604" s="20" t="s">
        <v>917</v>
      </c>
      <c r="C604" s="20" t="s">
        <v>6952</v>
      </c>
      <c r="D604" s="2" t="s">
        <v>748</v>
      </c>
      <c r="E604" s="6" t="str">
        <f>LOOKUP(2,1/(MCQ!C:C=B604),MCQ!H:H)</f>
        <v>24.00</v>
      </c>
      <c r="F604" s="6" t="str">
        <f>LOOKUP(2,1/(Debugging!C:C=B604),Debugging!H:H)</f>
        <v>39.00</v>
      </c>
      <c r="G604" s="6" t="str">
        <f>LOOKUP(2,1/(Coding!C:C=B604),Coding!H:H)</f>
        <v>14.50</v>
      </c>
      <c r="H604" s="8">
        <f>E604+F604+G604</f>
        <v>77.5</v>
      </c>
      <c r="I604" s="4" t="str">
        <f>IF(J604&lt;&gt;"Complete","Not Active",IF(H604&gt;=75,"Good",IF(H604&gt;=50,"Satisfactory",IF(H604&gt;=25,"Need Attention","Intervention"))))</f>
        <v>Good</v>
      </c>
      <c r="J604" s="4" t="str">
        <f>IF(COUNTIF(E604:G604,"#N/A")=3,"Not Attempted",IF(OR(ISNA(E604),ISNA(F604),ISNA(G604)),"NotCompleted","Complete"))</f>
        <v>Complete</v>
      </c>
    </row>
    <row r="605" spans="1:10" ht="15.6" x14ac:dyDescent="0.3">
      <c r="A605" s="17" t="s">
        <v>5488</v>
      </c>
      <c r="B605" s="20" t="s">
        <v>920</v>
      </c>
      <c r="C605" s="20" t="s">
        <v>6953</v>
      </c>
      <c r="D605" s="2" t="s">
        <v>71</v>
      </c>
      <c r="E605" s="6" t="str">
        <f>LOOKUP(2,1/(MCQ!C:C=B605),MCQ!H:H)</f>
        <v>25.00</v>
      </c>
      <c r="F605" s="6" t="str">
        <f>LOOKUP(2,1/(Debugging!C:C=B605),Debugging!H:H)</f>
        <v>40.00</v>
      </c>
      <c r="G605" s="6" t="str">
        <f>LOOKUP(2,1/(Coding!C:C=B605),Coding!H:H)</f>
        <v>25.00</v>
      </c>
      <c r="H605" s="8">
        <f>E605+F605+G605</f>
        <v>90</v>
      </c>
      <c r="I605" s="4" t="str">
        <f>IF(J605&lt;&gt;"Complete","Not Active",IF(H605&gt;=75,"Good",IF(H605&gt;=50,"Satisfactory",IF(H605&gt;=25,"Need Attention","Intervention"))))</f>
        <v>Good</v>
      </c>
      <c r="J605" s="4" t="str">
        <f>IF(COUNTIF(E605:G605,"#N/A")=3,"Not Attempted",IF(OR(ISNA(E605),ISNA(F605),ISNA(G605)),"NotCompleted","Complete"))</f>
        <v>Complete</v>
      </c>
    </row>
    <row r="606" spans="1:10" ht="15.6" x14ac:dyDescent="0.3">
      <c r="A606" s="17" t="s">
        <v>5488</v>
      </c>
      <c r="B606" s="20" t="s">
        <v>922</v>
      </c>
      <c r="C606" s="20" t="s">
        <v>6954</v>
      </c>
      <c r="D606" s="2" t="s">
        <v>123</v>
      </c>
      <c r="E606" s="6" t="str">
        <f>LOOKUP(2,1/(MCQ!C:C=B606),MCQ!H:H)</f>
        <v>23.00</v>
      </c>
      <c r="F606" s="6" t="str">
        <f>LOOKUP(2,1/(Debugging!C:C=B606),Debugging!H:H)</f>
        <v>0.00</v>
      </c>
      <c r="G606" s="6" t="str">
        <f>LOOKUP(2,1/(Coding!C:C=B606),Coding!H:H)</f>
        <v>23.50</v>
      </c>
      <c r="H606" s="8">
        <f>E606+F606+G606</f>
        <v>46.5</v>
      </c>
      <c r="I606" s="4" t="str">
        <f>IF(J606&lt;&gt;"Complete","Not Active",IF(H606&gt;=75,"Good",IF(H606&gt;=50,"Satisfactory",IF(H606&gt;=25,"Need Attention","Intervention"))))</f>
        <v>Need Attention</v>
      </c>
      <c r="J606" s="4" t="str">
        <f>IF(COUNTIF(E606:G606,"#N/A")=3,"Not Attempted",IF(OR(ISNA(E606),ISNA(F606),ISNA(G606)),"NotCompleted","Complete"))</f>
        <v>Complete</v>
      </c>
    </row>
    <row r="607" spans="1:10" ht="15.6" x14ac:dyDescent="0.3">
      <c r="A607" s="17" t="s">
        <v>5488</v>
      </c>
      <c r="B607" s="20" t="s">
        <v>924</v>
      </c>
      <c r="C607" s="20" t="s">
        <v>6955</v>
      </c>
      <c r="D607" s="2" t="s">
        <v>42</v>
      </c>
      <c r="E607" s="6" t="str">
        <f>LOOKUP(2,1/(MCQ!C:C=B607),MCQ!H:H)</f>
        <v>19.00</v>
      </c>
      <c r="F607" s="6" t="str">
        <f>LOOKUP(2,1/(Debugging!C:C=B607),Debugging!H:H)</f>
        <v>41.00</v>
      </c>
      <c r="G607" s="6" t="str">
        <f>LOOKUP(2,1/(Coding!C:C=B607),Coding!H:H)</f>
        <v>25.00</v>
      </c>
      <c r="H607" s="8">
        <f>E607+F607+G607</f>
        <v>85</v>
      </c>
      <c r="I607" s="4" t="str">
        <f>IF(J607&lt;&gt;"Complete","Not Active",IF(H607&gt;=75,"Good",IF(H607&gt;=50,"Satisfactory",IF(H607&gt;=25,"Need Attention","Intervention"))))</f>
        <v>Good</v>
      </c>
      <c r="J607" s="4" t="str">
        <f>IF(COUNTIF(E607:G607,"#N/A")=3,"Not Attempted",IF(OR(ISNA(E607),ISNA(F607),ISNA(G607)),"NotCompleted","Complete"))</f>
        <v>Complete</v>
      </c>
    </row>
    <row r="608" spans="1:10" ht="15.6" x14ac:dyDescent="0.3">
      <c r="A608" s="17" t="s">
        <v>5488</v>
      </c>
      <c r="B608" s="20" t="s">
        <v>927</v>
      </c>
      <c r="C608" s="20" t="s">
        <v>6956</v>
      </c>
      <c r="D608" s="2" t="s">
        <v>11</v>
      </c>
      <c r="E608" s="6" t="str">
        <f>LOOKUP(2,1/(MCQ!C:C=B608),MCQ!H:H)</f>
        <v>23.00</v>
      </c>
      <c r="F608" s="6" t="e">
        <f>LOOKUP(2,1/(Coding!B:B=A608),Coding!G:G)</f>
        <v>#N/A</v>
      </c>
      <c r="G608" s="6" t="str">
        <f>LOOKUP(2,1/(Coding!C:C=B608),Coding!H:H)</f>
        <v>25.00</v>
      </c>
      <c r="H608" s="8" t="e">
        <f>E608+F608+G608</f>
        <v>#N/A</v>
      </c>
      <c r="I608" s="4" t="str">
        <f>IF(J608&lt;&gt;"Complete","Not Active",IF(H608&gt;=75,"Good",IF(H608&gt;=50,"Satisfactory",IF(H608&gt;=25,"Need Attention","Intervention"))))</f>
        <v>Not Active</v>
      </c>
      <c r="J608" s="4" t="str">
        <f>IF(COUNTIF(E608:G608,"#N/A")=3,"Not Attempted",IF(OR(ISNA(E608),ISNA(F608),ISNA(G608)),"NotCompleted","Complete"))</f>
        <v>NotCompleted</v>
      </c>
    </row>
    <row r="609" spans="1:10" ht="15.6" x14ac:dyDescent="0.3">
      <c r="A609" s="17" t="s">
        <v>5488</v>
      </c>
      <c r="B609" s="20" t="s">
        <v>929</v>
      </c>
      <c r="C609" s="20" t="s">
        <v>6957</v>
      </c>
      <c r="D609" s="2" t="s">
        <v>133</v>
      </c>
      <c r="E609" s="6" t="str">
        <f>LOOKUP(2,1/(MCQ!C:C=B609),MCQ!H:H)</f>
        <v>22.00</v>
      </c>
      <c r="F609" s="6" t="str">
        <f>LOOKUP(2,1/(Debugging!C:C=B609),Debugging!H:H)</f>
        <v>0.00</v>
      </c>
      <c r="G609" s="6" t="str">
        <f>LOOKUP(2,1/(Coding!C:C=B609),Coding!H:H)</f>
        <v>25.00</v>
      </c>
      <c r="H609" s="8">
        <f>E609+F609+G609</f>
        <v>47</v>
      </c>
      <c r="I609" s="4" t="str">
        <f>IF(J609&lt;&gt;"Complete","Not Active",IF(H609&gt;=75,"Good",IF(H609&gt;=50,"Satisfactory",IF(H609&gt;=25,"Need Attention","Intervention"))))</f>
        <v>Need Attention</v>
      </c>
      <c r="J609" s="4" t="str">
        <f>IF(COUNTIF(E609:G609,"#N/A")=3,"Not Attempted",IF(OR(ISNA(E609),ISNA(F609),ISNA(G609)),"NotCompleted","Complete"))</f>
        <v>Complete</v>
      </c>
    </row>
    <row r="610" spans="1:10" ht="15.6" x14ac:dyDescent="0.3">
      <c r="A610" s="17" t="s">
        <v>5488</v>
      </c>
      <c r="B610" s="20" t="s">
        <v>931</v>
      </c>
      <c r="C610" s="20" t="s">
        <v>6958</v>
      </c>
      <c r="D610" s="2" t="s">
        <v>71</v>
      </c>
      <c r="E610" s="6" t="str">
        <f>LOOKUP(2,1/(MCQ!C:C=B610),MCQ!H:H)</f>
        <v>23.00</v>
      </c>
      <c r="F610" s="6" t="str">
        <f>LOOKUP(2,1/(Debugging!C:C=B610),Debugging!H:H)</f>
        <v>36.00</v>
      </c>
      <c r="G610" s="6" t="str">
        <f>LOOKUP(2,1/(Coding!C:C=B610),Coding!H:H)</f>
        <v>25.00</v>
      </c>
      <c r="H610" s="8">
        <f>E610+F610+G610</f>
        <v>84</v>
      </c>
      <c r="I610" s="4" t="str">
        <f>IF(J610&lt;&gt;"Complete","Not Active",IF(H610&gt;=75,"Good",IF(H610&gt;=50,"Satisfactory",IF(H610&gt;=25,"Need Attention","Intervention"))))</f>
        <v>Good</v>
      </c>
      <c r="J610" s="4" t="str">
        <f>IF(COUNTIF(E610:G610,"#N/A")=3,"Not Attempted",IF(OR(ISNA(E610),ISNA(F610),ISNA(G610)),"NotCompleted","Complete"))</f>
        <v>Complete</v>
      </c>
    </row>
    <row r="611" spans="1:10" ht="15.6" x14ac:dyDescent="0.3">
      <c r="A611" s="17" t="s">
        <v>5488</v>
      </c>
      <c r="B611" s="20" t="s">
        <v>933</v>
      </c>
      <c r="C611" s="20" t="s">
        <v>6959</v>
      </c>
      <c r="D611" s="2" t="s">
        <v>25</v>
      </c>
      <c r="E611" s="6" t="str">
        <f>LOOKUP(2,1/(MCQ!C:C=B611),MCQ!H:H)</f>
        <v>24.00</v>
      </c>
      <c r="F611" s="6" t="str">
        <f>LOOKUP(2,1/(Debugging!C:C=B611),Debugging!H:H)</f>
        <v>37.00</v>
      </c>
      <c r="G611" s="6" t="str">
        <f>LOOKUP(2,1/(Coding!C:C=B611),Coding!H:H)</f>
        <v>25.00</v>
      </c>
      <c r="H611" s="8">
        <f>E611+F611+G611</f>
        <v>86</v>
      </c>
      <c r="I611" s="4" t="str">
        <f>IF(J611&lt;&gt;"Complete","Not Active",IF(H611&gt;=75,"Good",IF(H611&gt;=50,"Satisfactory",IF(H611&gt;=25,"Need Attention","Intervention"))))</f>
        <v>Good</v>
      </c>
      <c r="J611" s="4" t="str">
        <f>IF(COUNTIF(E611:G611,"#N/A")=3,"Not Attempted",IF(OR(ISNA(E611),ISNA(F611),ISNA(G611)),"NotCompleted","Complete"))</f>
        <v>Complete</v>
      </c>
    </row>
    <row r="612" spans="1:10" ht="15.6" x14ac:dyDescent="0.3">
      <c r="A612" s="17" t="s">
        <v>5488</v>
      </c>
      <c r="B612" s="20" t="s">
        <v>935</v>
      </c>
      <c r="C612" s="20" t="s">
        <v>6960</v>
      </c>
      <c r="D612" s="2" t="s">
        <v>25</v>
      </c>
      <c r="E612" s="6" t="str">
        <f>LOOKUP(2,1/(MCQ!C:C=B612),MCQ!H:H)</f>
        <v>24.00</v>
      </c>
      <c r="F612" s="6" t="str">
        <f>LOOKUP(2,1/(Debugging!C:C=B612),Debugging!H:H)</f>
        <v>37.00</v>
      </c>
      <c r="G612" s="6" t="str">
        <f>LOOKUP(2,1/(Coding!C:C=B612),Coding!H:H)</f>
        <v>25.00</v>
      </c>
      <c r="H612" s="8">
        <f>E612+F612+G612</f>
        <v>86</v>
      </c>
      <c r="I612" s="4" t="str">
        <f>IF(J612&lt;&gt;"Complete","Not Active",IF(H612&gt;=75,"Good",IF(H612&gt;=50,"Satisfactory",IF(H612&gt;=25,"Need Attention","Intervention"))))</f>
        <v>Good</v>
      </c>
      <c r="J612" s="4" t="str">
        <f>IF(COUNTIF(E612:G612,"#N/A")=3,"Not Attempted",IF(OR(ISNA(E612),ISNA(F612),ISNA(G612)),"NotCompleted","Complete"))</f>
        <v>Complete</v>
      </c>
    </row>
    <row r="613" spans="1:10" ht="15.6" x14ac:dyDescent="0.3">
      <c r="A613" s="17" t="s">
        <v>5488</v>
      </c>
      <c r="B613" s="20" t="s">
        <v>936</v>
      </c>
      <c r="C613" s="20" t="s">
        <v>6961</v>
      </c>
      <c r="D613" s="2" t="s">
        <v>42</v>
      </c>
      <c r="E613" s="6" t="str">
        <f>LOOKUP(2,1/(MCQ!C:C=B613),MCQ!H:H)</f>
        <v>24.00</v>
      </c>
      <c r="F613" s="6" t="str">
        <f>LOOKUP(2,1/(Debugging!C:C=B613),Debugging!H:H)</f>
        <v>43.00</v>
      </c>
      <c r="G613" s="6" t="str">
        <f>LOOKUP(2,1/(Coding!C:C=B613),Coding!H:H)</f>
        <v>25.00</v>
      </c>
      <c r="H613" s="8">
        <f>E613+F613+G613</f>
        <v>92</v>
      </c>
      <c r="I613" s="4" t="str">
        <f>IF(J613&lt;&gt;"Complete","Not Active",IF(H613&gt;=75,"Good",IF(H613&gt;=50,"Satisfactory",IF(H613&gt;=25,"Need Attention","Intervention"))))</f>
        <v>Good</v>
      </c>
      <c r="J613" s="4" t="str">
        <f>IF(COUNTIF(E613:G613,"#N/A")=3,"Not Attempted",IF(OR(ISNA(E613),ISNA(F613),ISNA(G613)),"NotCompleted","Complete"))</f>
        <v>Complete</v>
      </c>
    </row>
    <row r="614" spans="1:10" ht="15.6" x14ac:dyDescent="0.3">
      <c r="A614" s="17" t="s">
        <v>5488</v>
      </c>
      <c r="B614" s="20" t="s">
        <v>937</v>
      </c>
      <c r="C614" s="20" t="s">
        <v>6962</v>
      </c>
      <c r="D614" s="2" t="s">
        <v>71</v>
      </c>
      <c r="E614" s="6" t="str">
        <f>LOOKUP(2,1/(MCQ!C:C=B614),MCQ!H:H)</f>
        <v>23.00</v>
      </c>
      <c r="F614" s="6" t="str">
        <f>LOOKUP(2,1/(Debugging!C:C=B614),Debugging!H:H)</f>
        <v>50.00</v>
      </c>
      <c r="G614" s="6" t="str">
        <f>LOOKUP(2,1/(Coding!C:C=B614),Coding!H:H)</f>
        <v>25.00</v>
      </c>
      <c r="H614" s="8">
        <f>E614+F614+G614</f>
        <v>98</v>
      </c>
      <c r="I614" s="4" t="str">
        <f>IF(J614&lt;&gt;"Complete","Not Active",IF(H614&gt;=75,"Good",IF(H614&gt;=50,"Satisfactory",IF(H614&gt;=25,"Need Attention","Intervention"))))</f>
        <v>Good</v>
      </c>
      <c r="J614" s="4" t="str">
        <f>IF(COUNTIF(E614:G614,"#N/A")=3,"Not Attempted",IF(OR(ISNA(E614),ISNA(F614),ISNA(G614)),"NotCompleted","Complete"))</f>
        <v>Complete</v>
      </c>
    </row>
    <row r="615" spans="1:10" ht="15.6" x14ac:dyDescent="0.3">
      <c r="A615" s="18" t="s">
        <v>5488</v>
      </c>
      <c r="B615" s="20" t="s">
        <v>1049</v>
      </c>
      <c r="C615" s="21" t="s">
        <v>6963</v>
      </c>
      <c r="D615" s="2" t="s">
        <v>42</v>
      </c>
      <c r="E615" s="6" t="str">
        <f>LOOKUP(2,1/(MCQ!C:C=B615),MCQ!H:H)</f>
        <v>18.00</v>
      </c>
      <c r="F615" s="6" t="str">
        <f>LOOKUP(2,1/(Debugging!C:C=B615),Debugging!H:H)</f>
        <v>44.00</v>
      </c>
      <c r="G615" s="6" t="str">
        <f>LOOKUP(2,1/(Coding!C:C=B615),Coding!H:H)</f>
        <v>22.00</v>
      </c>
      <c r="H615" s="8">
        <f>E615+F615+G615</f>
        <v>84</v>
      </c>
      <c r="I615" s="4" t="str">
        <f>IF(J615&lt;&gt;"Complete","Not Active",IF(H615&gt;=75,"Good",IF(H615&gt;=50,"Satisfactory",IF(H615&gt;=25,"Need Attention","Intervention"))))</f>
        <v>Good</v>
      </c>
      <c r="J615" s="4" t="str">
        <f>IF(COUNTIF(E615:G615,"#N/A")=3,"Not Attempted",IF(OR(ISNA(E615),ISNA(F615),ISNA(G615)),"NotCompleted","Complete"))</f>
        <v>Complete</v>
      </c>
    </row>
    <row r="616" spans="1:10" ht="15.6" x14ac:dyDescent="0.3">
      <c r="A616" s="18" t="s">
        <v>5488</v>
      </c>
      <c r="B616" s="20" t="s">
        <v>1051</v>
      </c>
      <c r="C616" s="21" t="s">
        <v>6964</v>
      </c>
      <c r="D616" s="2" t="s">
        <v>123</v>
      </c>
      <c r="E616" s="6" t="str">
        <f>LOOKUP(2,1/(MCQ!C:C=B616),MCQ!H:H)</f>
        <v>22.00</v>
      </c>
      <c r="F616" s="6" t="str">
        <f>LOOKUP(2,1/(Debugging!C:C=B616),Debugging!H:H)</f>
        <v>40.00</v>
      </c>
      <c r="G616" s="6" t="str">
        <f>LOOKUP(2,1/(Coding!C:C=B616),Coding!H:H)</f>
        <v>25.00</v>
      </c>
      <c r="H616" s="8">
        <f>E616+F616+G616</f>
        <v>87</v>
      </c>
      <c r="I616" s="4" t="str">
        <f>IF(J616&lt;&gt;"Complete","Not Active",IF(H616&gt;=75,"Good",IF(H616&gt;=50,"Satisfactory",IF(H616&gt;=25,"Need Attention","Intervention"))))</f>
        <v>Good</v>
      </c>
      <c r="J616" s="4" t="str">
        <f>IF(COUNTIF(E616:G616,"#N/A")=3,"Not Attempted",IF(OR(ISNA(E616),ISNA(F616),ISNA(G616)),"NotCompleted","Complete"))</f>
        <v>Complete</v>
      </c>
    </row>
    <row r="617" spans="1:10" ht="15.6" x14ac:dyDescent="0.3">
      <c r="A617" s="18" t="s">
        <v>5488</v>
      </c>
      <c r="B617" s="20" t="s">
        <v>1052</v>
      </c>
      <c r="C617" s="21" t="s">
        <v>6965</v>
      </c>
      <c r="D617" s="2" t="s">
        <v>31</v>
      </c>
      <c r="E617" s="6" t="str">
        <f>LOOKUP(2,1/(MCQ!C:C=B617),MCQ!H:H)</f>
        <v>23.00</v>
      </c>
      <c r="F617" s="6" t="str">
        <f>LOOKUP(2,1/(Debugging!C:C=B617),Debugging!H:H)</f>
        <v>20.00</v>
      </c>
      <c r="G617" s="6" t="str">
        <f>LOOKUP(2,1/(Coding!C:C=B617),Coding!H:H)</f>
        <v>25.00</v>
      </c>
      <c r="H617" s="8">
        <f>E617+F617+G617</f>
        <v>68</v>
      </c>
      <c r="I617" s="4" t="str">
        <f>IF(J617&lt;&gt;"Complete","Not Active",IF(H617&gt;=75,"Good",IF(H617&gt;=50,"Satisfactory",IF(H617&gt;=25,"Need Attention","Intervention"))))</f>
        <v>Satisfactory</v>
      </c>
      <c r="J617" s="4" t="str">
        <f>IF(COUNTIF(E617:G617,"#N/A")=3,"Not Attempted",IF(OR(ISNA(E617),ISNA(F617),ISNA(G617)),"NotCompleted","Complete"))</f>
        <v>Complete</v>
      </c>
    </row>
    <row r="618" spans="1:10" ht="15.6" x14ac:dyDescent="0.3">
      <c r="A618" s="18" t="s">
        <v>5488</v>
      </c>
      <c r="B618" s="20" t="s">
        <v>1053</v>
      </c>
      <c r="C618" s="21" t="s">
        <v>6966</v>
      </c>
      <c r="D618" s="2" t="s">
        <v>49</v>
      </c>
      <c r="E618" s="6" t="str">
        <f>LOOKUP(2,1/(MCQ!C:C=B618),MCQ!H:H)</f>
        <v>24.00</v>
      </c>
      <c r="F618" s="6" t="e">
        <f>LOOKUP(2,1/(Debugging!C:C=B618),Debugging!H:H)</f>
        <v>#N/A</v>
      </c>
      <c r="G618" s="6" t="str">
        <f>LOOKUP(2,1/(Coding!C:C=B618),Coding!H:H)</f>
        <v>24.00</v>
      </c>
      <c r="H618" s="8" t="e">
        <f>E618+F618+G618</f>
        <v>#N/A</v>
      </c>
      <c r="I618" s="4" t="str">
        <f>IF(J618&lt;&gt;"Complete","Not Active",IF(H618&gt;=75,"Good",IF(H618&gt;=50,"Satisfactory",IF(H618&gt;=25,"Need Attention","Intervention"))))</f>
        <v>Not Active</v>
      </c>
      <c r="J618" s="4" t="str">
        <f>IF(COUNTIF(E618:G618,"#N/A")=3,"Not Attempted",IF(OR(ISNA(E618),ISNA(F618),ISNA(G618)),"NotCompleted","Complete"))</f>
        <v>NotCompleted</v>
      </c>
    </row>
    <row r="619" spans="1:10" ht="15.6" x14ac:dyDescent="0.3">
      <c r="A619" s="18" t="s">
        <v>5488</v>
      </c>
      <c r="B619" s="20" t="s">
        <v>5686</v>
      </c>
      <c r="C619" s="21" t="s">
        <v>6967</v>
      </c>
      <c r="D619" s="2" t="s">
        <v>42</v>
      </c>
      <c r="E619" s="6" t="str">
        <f>LOOKUP(2,1/(MCQ!C:C=B619),MCQ!H:H)</f>
        <v>25.00</v>
      </c>
      <c r="F619" s="6" t="str">
        <f>LOOKUP(2,1/(Debugging!C:C=B619),Debugging!H:H)</f>
        <v>45.00</v>
      </c>
      <c r="G619" s="6" t="e">
        <f>LOOKUP(2,1/(Coding!C:C=B619),Coding!H:H)</f>
        <v>#N/A</v>
      </c>
      <c r="H619" s="8" t="e">
        <f>E619+F619+G619</f>
        <v>#N/A</v>
      </c>
      <c r="I619" s="4" t="str">
        <f>IF(J619&lt;&gt;"Complete","Not Active",IF(H619&gt;=75,"Good",IF(H619&gt;=50,"Satisfactory",IF(H619&gt;=25,"Need Attention","Intervention"))))</f>
        <v>Not Active</v>
      </c>
      <c r="J619" s="4" t="str">
        <f>IF(COUNTIF(E619:G619,"#N/A")=3,"Not Attempted",IF(OR(ISNA(E619),ISNA(F619),ISNA(G619)),"NotCompleted","Complete"))</f>
        <v>NotCompleted</v>
      </c>
    </row>
    <row r="620" spans="1:10" ht="15.6" x14ac:dyDescent="0.3">
      <c r="A620" s="18" t="s">
        <v>5488</v>
      </c>
      <c r="B620" s="20" t="s">
        <v>1055</v>
      </c>
      <c r="C620" s="21" t="s">
        <v>6968</v>
      </c>
      <c r="D620" s="2" t="s">
        <v>55</v>
      </c>
      <c r="E620" s="6" t="str">
        <f>LOOKUP(2,1/(MCQ!C:C=B620),MCQ!H:H)</f>
        <v>25.00</v>
      </c>
      <c r="F620" s="6" t="str">
        <f>LOOKUP(2,1/(Debugging!C:C=B620),Debugging!H:H)</f>
        <v>0.00</v>
      </c>
      <c r="G620" s="6" t="str">
        <f>LOOKUP(2,1/(Coding!C:C=B620),Coding!H:H)</f>
        <v>25.00</v>
      </c>
      <c r="H620" s="8">
        <f>E620+F620+G620</f>
        <v>50</v>
      </c>
      <c r="I620" s="4" t="str">
        <f>IF(J620&lt;&gt;"Complete","Not Active",IF(H620&gt;=75,"Good",IF(H620&gt;=50,"Satisfactory",IF(H620&gt;=25,"Need Attention","Intervention"))))</f>
        <v>Satisfactory</v>
      </c>
      <c r="J620" s="4" t="str">
        <f>IF(COUNTIF(E620:G620,"#N/A")=3,"Not Attempted",IF(OR(ISNA(E620),ISNA(F620),ISNA(G620)),"NotCompleted","Complete"))</f>
        <v>Complete</v>
      </c>
    </row>
    <row r="621" spans="1:10" ht="15.6" x14ac:dyDescent="0.3">
      <c r="A621" s="18" t="s">
        <v>5488</v>
      </c>
      <c r="B621" s="20" t="s">
        <v>1057</v>
      </c>
      <c r="C621" s="21" t="s">
        <v>6969</v>
      </c>
      <c r="D621" s="2" t="s">
        <v>25</v>
      </c>
      <c r="E621" s="6" t="str">
        <f>LOOKUP(2,1/(MCQ!C:C=B621),MCQ!H:H)</f>
        <v>20.00</v>
      </c>
      <c r="F621" s="6" t="e">
        <f>LOOKUP(2,1/(Debugging!C:C=B621),Debugging!H:H)</f>
        <v>#N/A</v>
      </c>
      <c r="G621" s="6" t="str">
        <f>LOOKUP(2,1/(Coding!C:C=B621),Coding!H:H)</f>
        <v>24.00</v>
      </c>
      <c r="H621" s="8" t="e">
        <f>E621+F621+G621</f>
        <v>#N/A</v>
      </c>
      <c r="I621" s="4" t="str">
        <f>IF(J621&lt;&gt;"Complete","Not Active",IF(H621&gt;=75,"Good",IF(H621&gt;=50,"Satisfactory",IF(H621&gt;=25,"Need Attention","Intervention"))))</f>
        <v>Not Active</v>
      </c>
      <c r="J621" s="4" t="str">
        <f>IF(COUNTIF(E621:G621,"#N/A")=3,"Not Attempted",IF(OR(ISNA(E621),ISNA(F621),ISNA(G621)),"NotCompleted","Complete"))</f>
        <v>NotCompleted</v>
      </c>
    </row>
    <row r="622" spans="1:10" ht="15.6" x14ac:dyDescent="0.3">
      <c r="A622" s="17" t="s">
        <v>5488</v>
      </c>
      <c r="B622" s="20" t="s">
        <v>940</v>
      </c>
      <c r="C622" s="20" t="s">
        <v>6970</v>
      </c>
      <c r="D622" s="2" t="s">
        <v>8</v>
      </c>
      <c r="E622" s="6" t="str">
        <f>LOOKUP(2,1/(MCQ!C:C=B622),MCQ!H:H)</f>
        <v>24.00</v>
      </c>
      <c r="F622" s="6" t="str">
        <f>LOOKUP(2,1/(Debugging!C:C=B622),Debugging!H:H)</f>
        <v>47.00</v>
      </c>
      <c r="G622" s="6" t="str">
        <f>LOOKUP(2,1/(Coding!C:C=B622),Coding!H:H)</f>
        <v>25.00</v>
      </c>
      <c r="H622" s="8">
        <f>E622+F622+G622</f>
        <v>96</v>
      </c>
      <c r="I622" s="4" t="str">
        <f>IF(J622&lt;&gt;"Complete","Not Active",IF(H622&gt;=75,"Good",IF(H622&gt;=50,"Satisfactory",IF(H622&gt;=25,"Need Attention","Intervention"))))</f>
        <v>Good</v>
      </c>
      <c r="J622" s="4" t="str">
        <f>IF(COUNTIF(E622:G622,"#N/A")=3,"Not Attempted",IF(OR(ISNA(E622),ISNA(F622),ISNA(G622)),"NotCompleted","Complete"))</f>
        <v>Complete</v>
      </c>
    </row>
    <row r="623" spans="1:10" ht="15.6" x14ac:dyDescent="0.3">
      <c r="A623" s="17" t="s">
        <v>5488</v>
      </c>
      <c r="B623" s="20" t="s">
        <v>942</v>
      </c>
      <c r="C623" s="20" t="s">
        <v>6971</v>
      </c>
      <c r="D623" s="2" t="s">
        <v>71</v>
      </c>
      <c r="E623" s="6" t="str">
        <f>LOOKUP(2,1/(MCQ!C:C=B623),MCQ!H:H)</f>
        <v>23.00</v>
      </c>
      <c r="F623" s="6" t="e">
        <f>LOOKUP(2,1/(Coding!B:B=A623),Coding!G:G)</f>
        <v>#N/A</v>
      </c>
      <c r="G623" s="6" t="str">
        <f>LOOKUP(2,1/(Coding!C:C=B623),Coding!H:H)</f>
        <v>23.50</v>
      </c>
      <c r="H623" s="8" t="e">
        <f>E623+F623+G623</f>
        <v>#N/A</v>
      </c>
      <c r="I623" s="4" t="str">
        <f>IF(J623&lt;&gt;"Complete","Not Active",IF(H623&gt;=75,"Good",IF(H623&gt;=50,"Satisfactory",IF(H623&gt;=25,"Need Attention","Intervention"))))</f>
        <v>Not Active</v>
      </c>
      <c r="J623" s="4" t="str">
        <f>IF(COUNTIF(E623:G623,"#N/A")=3,"Not Attempted",IF(OR(ISNA(E623),ISNA(F623),ISNA(G623)),"NotCompleted","Complete"))</f>
        <v>NotCompleted</v>
      </c>
    </row>
    <row r="624" spans="1:10" ht="15.6" x14ac:dyDescent="0.3">
      <c r="A624" s="17" t="s">
        <v>5488</v>
      </c>
      <c r="B624" s="20" t="s">
        <v>944</v>
      </c>
      <c r="C624" s="20" t="s">
        <v>6972</v>
      </c>
      <c r="D624" s="2" t="s">
        <v>8</v>
      </c>
      <c r="E624" s="6" t="str">
        <f>LOOKUP(2,1/(MCQ!C:C=B624),MCQ!H:H)</f>
        <v>19.00</v>
      </c>
      <c r="F624" s="6" t="str">
        <f>LOOKUP(2,1/(Debugging!C:C=B624),Debugging!H:H)</f>
        <v>41.00</v>
      </c>
      <c r="G624" s="6" t="str">
        <f>LOOKUP(2,1/(Coding!C:C=B624),Coding!H:H)</f>
        <v>20.50</v>
      </c>
      <c r="H624" s="8">
        <f>E624+F624+G624</f>
        <v>80.5</v>
      </c>
      <c r="I624" s="4" t="str">
        <f>IF(J624&lt;&gt;"Complete","Not Active",IF(H624&gt;=75,"Good",IF(H624&gt;=50,"Satisfactory",IF(H624&gt;=25,"Need Attention","Intervention"))))</f>
        <v>Good</v>
      </c>
      <c r="J624" s="4" t="str">
        <f>IF(COUNTIF(E624:G624,"#N/A")=3,"Not Attempted",IF(OR(ISNA(E624),ISNA(F624),ISNA(G624)),"NotCompleted","Complete"))</f>
        <v>Complete</v>
      </c>
    </row>
    <row r="625" spans="1:10" ht="15.6" x14ac:dyDescent="0.3">
      <c r="A625" s="17" t="s">
        <v>5488</v>
      </c>
      <c r="B625" s="20" t="s">
        <v>945</v>
      </c>
      <c r="C625" s="20" t="s">
        <v>6973</v>
      </c>
      <c r="D625" s="2" t="s">
        <v>8</v>
      </c>
      <c r="E625" s="6" t="str">
        <f>LOOKUP(2,1/(MCQ!C:C=B625),MCQ!H:H)</f>
        <v>25.00</v>
      </c>
      <c r="F625" s="6" t="str">
        <f>LOOKUP(2,1/(Debugging!C:C=B625),Debugging!H:H)</f>
        <v>45.00</v>
      </c>
      <c r="G625" s="6" t="str">
        <f>LOOKUP(2,1/(Coding!C:C=B625),Coding!H:H)</f>
        <v>25.00</v>
      </c>
      <c r="H625" s="8">
        <f>E625+F625+G625</f>
        <v>95</v>
      </c>
      <c r="I625" s="4" t="str">
        <f>IF(J625&lt;&gt;"Complete","Not Active",IF(H625&gt;=75,"Good",IF(H625&gt;=50,"Satisfactory",IF(H625&gt;=25,"Need Attention","Intervention"))))</f>
        <v>Good</v>
      </c>
      <c r="J625" s="4" t="str">
        <f>IF(COUNTIF(E625:G625,"#N/A")=3,"Not Attempted",IF(OR(ISNA(E625),ISNA(F625),ISNA(G625)),"NotCompleted","Complete"))</f>
        <v>Complete</v>
      </c>
    </row>
    <row r="626" spans="1:10" ht="15.6" x14ac:dyDescent="0.3">
      <c r="A626" s="17" t="s">
        <v>5488</v>
      </c>
      <c r="B626" s="20" t="s">
        <v>6464</v>
      </c>
      <c r="C626" s="20" t="s">
        <v>6974</v>
      </c>
      <c r="D626" s="2" t="s">
        <v>42</v>
      </c>
      <c r="E626" s="6" t="e">
        <f>LOOKUP(2,1/(MCQ!C:C=B626),MCQ!H:H)</f>
        <v>#N/A</v>
      </c>
      <c r="F626" s="6" t="e">
        <f>LOOKUP(2,1/(Debugging!C:C=B626),Debugging!H:H)</f>
        <v>#N/A</v>
      </c>
      <c r="G626" s="6" t="e">
        <f>LOOKUP(2,1/(Coding!C:C=B626),Coding!H:H)</f>
        <v>#N/A</v>
      </c>
      <c r="H626" s="8" t="e">
        <f>E626+F626+G626</f>
        <v>#N/A</v>
      </c>
      <c r="I626" s="4" t="str">
        <f>IF(J626&lt;&gt;"Complete","Not Active",IF(H626&gt;=75,"Good",IF(H626&gt;=50,"Satisfactory",IF(H626&gt;=25,"Need Attention","Intervention"))))</f>
        <v>Not Active</v>
      </c>
      <c r="J626" s="4" t="str">
        <f>IF(COUNTIF(E626:G626,"#N/A")=3,"Not Attempted",IF(OR(ISNA(E626),ISNA(F626),ISNA(G626)),"NotCompleted","Complete"))</f>
        <v>Not Attempted</v>
      </c>
    </row>
    <row r="627" spans="1:10" ht="15.6" x14ac:dyDescent="0.3">
      <c r="A627" s="17" t="s">
        <v>5488</v>
      </c>
      <c r="B627" s="20" t="s">
        <v>5876</v>
      </c>
      <c r="C627" s="20" t="s">
        <v>6975</v>
      </c>
      <c r="D627" s="2" t="s">
        <v>8</v>
      </c>
      <c r="E627" s="6" t="str">
        <f>LOOKUP(2,1/(MCQ!C:C=B627),MCQ!H:H)</f>
        <v>20.00</v>
      </c>
      <c r="F627" s="6" t="str">
        <f>LOOKUP(2,1/(Debugging!C:C=B627),Debugging!H:H)</f>
        <v>34.00</v>
      </c>
      <c r="G627" s="6" t="e">
        <f>LOOKUP(2,1/(Coding!C:C=B627),Coding!H:H)</f>
        <v>#N/A</v>
      </c>
      <c r="H627" s="8" t="e">
        <f>E627+F627+G627</f>
        <v>#N/A</v>
      </c>
      <c r="I627" s="4" t="str">
        <f>IF(J627&lt;&gt;"Complete","Not Active",IF(H627&gt;=75,"Good",IF(H627&gt;=50,"Satisfactory",IF(H627&gt;=25,"Need Attention","Intervention"))))</f>
        <v>Not Active</v>
      </c>
      <c r="J627" s="4" t="str">
        <f>IF(COUNTIF(E627:G627,"#N/A")=3,"Not Attempted",IF(OR(ISNA(E627),ISNA(F627),ISNA(G627)),"NotCompleted","Complete"))</f>
        <v>NotCompleted</v>
      </c>
    </row>
    <row r="628" spans="1:10" ht="15.6" x14ac:dyDescent="0.3">
      <c r="A628" s="17" t="s">
        <v>5488</v>
      </c>
      <c r="B628" s="20" t="s">
        <v>948</v>
      </c>
      <c r="C628" s="20" t="s">
        <v>6976</v>
      </c>
      <c r="D628" s="2" t="s">
        <v>31</v>
      </c>
      <c r="E628" s="6" t="str">
        <f>LOOKUP(2,1/(MCQ!C:C=B628),MCQ!H:H)</f>
        <v>11.00</v>
      </c>
      <c r="F628" s="6" t="str">
        <f>LOOKUP(2,1/(Debugging!C:C=B628),Debugging!H:H)</f>
        <v>36.00</v>
      </c>
      <c r="G628" s="6" t="str">
        <f>LOOKUP(2,1/(Coding!C:C=B628),Coding!H:H)</f>
        <v>10.00</v>
      </c>
      <c r="H628" s="8">
        <f>E628+F628+G628</f>
        <v>57</v>
      </c>
      <c r="I628" s="4" t="str">
        <f>IF(J628&lt;&gt;"Complete","Not Active",IF(H628&gt;=75,"Good",IF(H628&gt;=50,"Satisfactory",IF(H628&gt;=25,"Need Attention","Intervention"))))</f>
        <v>Satisfactory</v>
      </c>
      <c r="J628" s="4" t="str">
        <f>IF(COUNTIF(E628:G628,"#N/A")=3,"Not Attempted",IF(OR(ISNA(E628),ISNA(F628),ISNA(G628)),"NotCompleted","Complete"))</f>
        <v>Complete</v>
      </c>
    </row>
    <row r="629" spans="1:10" ht="15.6" x14ac:dyDescent="0.3">
      <c r="A629" s="17" t="s">
        <v>5488</v>
      </c>
      <c r="B629" s="20" t="s">
        <v>950</v>
      </c>
      <c r="C629" s="20" t="s">
        <v>6977</v>
      </c>
      <c r="D629" s="2" t="s">
        <v>794</v>
      </c>
      <c r="E629" s="6" t="str">
        <f>LOOKUP(2,1/(MCQ!C:C=B629),MCQ!H:H)</f>
        <v>25.00</v>
      </c>
      <c r="F629" s="6" t="str">
        <f>LOOKUP(2,1/(Debugging!C:C=B629),Debugging!H:H)</f>
        <v>49.00</v>
      </c>
      <c r="G629" s="6" t="str">
        <f>LOOKUP(2,1/(Coding!C:C=B629),Coding!H:H)</f>
        <v>23.50</v>
      </c>
      <c r="H629" s="8">
        <f>E629+F629+G629</f>
        <v>97.5</v>
      </c>
      <c r="I629" s="4" t="str">
        <f>IF(J629&lt;&gt;"Complete","Not Active",IF(H629&gt;=75,"Good",IF(H629&gt;=50,"Satisfactory",IF(H629&gt;=25,"Need Attention","Intervention"))))</f>
        <v>Good</v>
      </c>
      <c r="J629" s="4" t="str">
        <f>IF(COUNTIF(E629:G629,"#N/A")=3,"Not Attempted",IF(OR(ISNA(E629),ISNA(F629),ISNA(G629)),"NotCompleted","Complete"))</f>
        <v>Complete</v>
      </c>
    </row>
    <row r="630" spans="1:10" ht="15.6" x14ac:dyDescent="0.3">
      <c r="A630" s="17" t="s">
        <v>5488</v>
      </c>
      <c r="B630" s="20" t="s">
        <v>952</v>
      </c>
      <c r="C630" s="20" t="s">
        <v>6978</v>
      </c>
      <c r="D630" s="2" t="s">
        <v>28</v>
      </c>
      <c r="E630" s="6" t="str">
        <f>LOOKUP(2,1/(MCQ!C:C=B630),MCQ!H:H)</f>
        <v>24.00</v>
      </c>
      <c r="F630" s="6" t="str">
        <f>LOOKUP(2,1/(Debugging!C:C=B630),Debugging!H:H)</f>
        <v>48.00</v>
      </c>
      <c r="G630" s="6" t="str">
        <f>LOOKUP(2,1/(Coding!C:C=B630),Coding!H:H)</f>
        <v>25.00</v>
      </c>
      <c r="H630" s="8">
        <f>E630+F630+G630</f>
        <v>97</v>
      </c>
      <c r="I630" s="4" t="str">
        <f>IF(J630&lt;&gt;"Complete","Not Active",IF(H630&gt;=75,"Good",IF(H630&gt;=50,"Satisfactory",IF(H630&gt;=25,"Need Attention","Intervention"))))</f>
        <v>Good</v>
      </c>
      <c r="J630" s="4" t="str">
        <f>IF(COUNTIF(E630:G630,"#N/A")=3,"Not Attempted",IF(OR(ISNA(E630),ISNA(F630),ISNA(G630)),"NotCompleted","Complete"))</f>
        <v>Complete</v>
      </c>
    </row>
    <row r="631" spans="1:10" ht="15.6" x14ac:dyDescent="0.3">
      <c r="A631" s="17" t="s">
        <v>5488</v>
      </c>
      <c r="B631" s="20" t="s">
        <v>954</v>
      </c>
      <c r="C631" s="20" t="s">
        <v>6979</v>
      </c>
      <c r="D631" s="2" t="s">
        <v>8</v>
      </c>
      <c r="E631" s="6" t="str">
        <f>LOOKUP(2,1/(MCQ!C:C=B631),MCQ!H:H)</f>
        <v>23.00</v>
      </c>
      <c r="F631" s="6" t="str">
        <f>LOOKUP(2,1/(Debugging!C:C=B631),Debugging!H:H)</f>
        <v>29.00</v>
      </c>
      <c r="G631" s="6" t="str">
        <f>LOOKUP(2,1/(Coding!C:C=B631),Coding!H:H)</f>
        <v>22.50</v>
      </c>
      <c r="H631" s="8">
        <f>E631+F631+G631</f>
        <v>74.5</v>
      </c>
      <c r="I631" s="4" t="str">
        <f>IF(J631&lt;&gt;"Complete","Not Active",IF(H631&gt;=75,"Good",IF(H631&gt;=50,"Satisfactory",IF(H631&gt;=25,"Need Attention","Intervention"))))</f>
        <v>Satisfactory</v>
      </c>
      <c r="J631" s="4" t="str">
        <f>IF(COUNTIF(E631:G631,"#N/A")=3,"Not Attempted",IF(OR(ISNA(E631),ISNA(F631),ISNA(G631)),"NotCompleted","Complete"))</f>
        <v>Complete</v>
      </c>
    </row>
    <row r="632" spans="1:10" ht="15.6" x14ac:dyDescent="0.3">
      <c r="A632" s="17" t="s">
        <v>5488</v>
      </c>
      <c r="B632" s="20" t="s">
        <v>5902</v>
      </c>
      <c r="C632" s="20" t="s">
        <v>5901</v>
      </c>
      <c r="D632" s="2" t="s">
        <v>16</v>
      </c>
      <c r="E632" s="6" t="str">
        <f>LOOKUP(2,1/(MCQ!C:C=B632),MCQ!H:H)</f>
        <v>21.00</v>
      </c>
      <c r="F632" s="6" t="str">
        <f>LOOKUP(2,1/(Debugging!C:C=B632),Debugging!H:H)</f>
        <v>31.00</v>
      </c>
      <c r="G632" s="6" t="e">
        <f>LOOKUP(2,1/(Coding!C:C=B632),Coding!H:H)</f>
        <v>#N/A</v>
      </c>
      <c r="H632" s="8" t="e">
        <f>E632+F632+G632</f>
        <v>#N/A</v>
      </c>
      <c r="I632" s="4" t="str">
        <f>IF(J632&lt;&gt;"Complete","Not Active",IF(H632&gt;=75,"Good",IF(H632&gt;=50,"Satisfactory",IF(H632&gt;=25,"Need Attention","Intervention"))))</f>
        <v>Not Active</v>
      </c>
      <c r="J632" s="4" t="str">
        <f>IF(COUNTIF(E632:G632,"#N/A")=3,"Not Attempted",IF(OR(ISNA(E632),ISNA(F632),ISNA(G632)),"NotCompleted","Complete"))</f>
        <v>NotCompleted</v>
      </c>
    </row>
    <row r="633" spans="1:10" ht="15.6" x14ac:dyDescent="0.3">
      <c r="A633" s="17" t="s">
        <v>5488</v>
      </c>
      <c r="B633" s="20" t="s">
        <v>956</v>
      </c>
      <c r="C633" s="20" t="s">
        <v>6980</v>
      </c>
      <c r="D633" s="2" t="s">
        <v>31</v>
      </c>
      <c r="E633" s="6" t="str">
        <f>LOOKUP(2,1/(MCQ!C:C=B633),MCQ!H:H)</f>
        <v>19.00</v>
      </c>
      <c r="F633" s="6" t="str">
        <f>LOOKUP(2,1/(Debugging!C:C=B633),Debugging!H:H)</f>
        <v>45.00</v>
      </c>
      <c r="G633" s="6" t="str">
        <f>LOOKUP(2,1/(Coding!C:C=B633),Coding!H:H)</f>
        <v>23.50</v>
      </c>
      <c r="H633" s="8">
        <f>E633+F633+G633</f>
        <v>87.5</v>
      </c>
      <c r="I633" s="4" t="str">
        <f>IF(J633&lt;&gt;"Complete","Not Active",IF(H633&gt;=75,"Good",IF(H633&gt;=50,"Satisfactory",IF(H633&gt;=25,"Need Attention","Intervention"))))</f>
        <v>Good</v>
      </c>
      <c r="J633" s="4" t="str">
        <f>IF(COUNTIF(E633:G633,"#N/A")=3,"Not Attempted",IF(OR(ISNA(E633),ISNA(F633),ISNA(G633)),"NotCompleted","Complete"))</f>
        <v>Complete</v>
      </c>
    </row>
    <row r="634" spans="1:10" ht="15.6" x14ac:dyDescent="0.3">
      <c r="A634" s="17" t="s">
        <v>5488</v>
      </c>
      <c r="B634" s="20" t="s">
        <v>957</v>
      </c>
      <c r="C634" s="20" t="s">
        <v>6981</v>
      </c>
      <c r="D634" s="2" t="s">
        <v>55</v>
      </c>
      <c r="E634" s="6" t="str">
        <f>LOOKUP(2,1/(MCQ!C:C=B634),MCQ!H:H)</f>
        <v>23.00</v>
      </c>
      <c r="F634" s="6" t="str">
        <f>LOOKUP(2,1/(Debugging!C:C=B634),Debugging!H:H)</f>
        <v>47.00</v>
      </c>
      <c r="G634" s="6" t="str">
        <f>LOOKUP(2,1/(Coding!C:C=B634),Coding!H:H)</f>
        <v>25.00</v>
      </c>
      <c r="H634" s="8">
        <f>E634+F634+G634</f>
        <v>95</v>
      </c>
      <c r="I634" s="4" t="str">
        <f>IF(J634&lt;&gt;"Complete","Not Active",IF(H634&gt;=75,"Good",IF(H634&gt;=50,"Satisfactory",IF(H634&gt;=25,"Need Attention","Intervention"))))</f>
        <v>Good</v>
      </c>
      <c r="J634" s="4" t="str">
        <f>IF(COUNTIF(E634:G634,"#N/A")=3,"Not Attempted",IF(OR(ISNA(E634),ISNA(F634),ISNA(G634)),"NotCompleted","Complete"))</f>
        <v>Complete</v>
      </c>
    </row>
    <row r="635" spans="1:10" ht="15.6" x14ac:dyDescent="0.3">
      <c r="A635" s="17" t="s">
        <v>5488</v>
      </c>
      <c r="B635" s="20" t="s">
        <v>958</v>
      </c>
      <c r="C635" s="20" t="s">
        <v>6982</v>
      </c>
      <c r="D635" s="2" t="s">
        <v>123</v>
      </c>
      <c r="E635" s="6" t="str">
        <f>LOOKUP(2,1/(MCQ!C:C=B635),MCQ!H:H)</f>
        <v>19.00</v>
      </c>
      <c r="F635" s="6" t="e">
        <f>LOOKUP(2,1/(Debugging!C:C=B635),Debugging!H:H)</f>
        <v>#N/A</v>
      </c>
      <c r="G635" s="6" t="str">
        <f>LOOKUP(2,1/(Coding!C:C=B635),Coding!H:H)</f>
        <v>23.50</v>
      </c>
      <c r="H635" s="8" t="e">
        <f>E635+F635+G635</f>
        <v>#N/A</v>
      </c>
      <c r="I635" s="4" t="str">
        <f>IF(J635&lt;&gt;"Complete","Not Active",IF(H635&gt;=75,"Good",IF(H635&gt;=50,"Satisfactory",IF(H635&gt;=25,"Need Attention","Intervention"))))</f>
        <v>Not Active</v>
      </c>
      <c r="J635" s="4" t="str">
        <f>IF(COUNTIF(E635:G635,"#N/A")=3,"Not Attempted",IF(OR(ISNA(E635),ISNA(F635),ISNA(G635)),"NotCompleted","Complete"))</f>
        <v>NotCompleted</v>
      </c>
    </row>
    <row r="636" spans="1:10" ht="15.6" x14ac:dyDescent="0.3">
      <c r="A636" s="17" t="s">
        <v>5488</v>
      </c>
      <c r="B636" s="20" t="s">
        <v>960</v>
      </c>
      <c r="C636" s="20" t="s">
        <v>6983</v>
      </c>
      <c r="D636" s="2" t="s">
        <v>42</v>
      </c>
      <c r="E636" s="6" t="str">
        <f>LOOKUP(2,1/(MCQ!C:C=B636),MCQ!H:H)</f>
        <v>25.00</v>
      </c>
      <c r="F636" s="6" t="str">
        <f>LOOKUP(2,1/(Debugging!C:C=B636),Debugging!H:H)</f>
        <v>41.00</v>
      </c>
      <c r="G636" s="6" t="str">
        <f>LOOKUP(2,1/(Coding!C:C=B636),Coding!H:H)</f>
        <v>21.00</v>
      </c>
      <c r="H636" s="8">
        <f>E636+F636+G636</f>
        <v>87</v>
      </c>
      <c r="I636" s="4" t="str">
        <f>IF(J636&lt;&gt;"Complete","Not Active",IF(H636&gt;=75,"Good",IF(H636&gt;=50,"Satisfactory",IF(H636&gt;=25,"Need Attention","Intervention"))))</f>
        <v>Good</v>
      </c>
      <c r="J636" s="4" t="str">
        <f>IF(COUNTIF(E636:G636,"#N/A")=3,"Not Attempted",IF(OR(ISNA(E636),ISNA(F636),ISNA(G636)),"NotCompleted","Complete"))</f>
        <v>Complete</v>
      </c>
    </row>
    <row r="637" spans="1:10" ht="15.6" x14ac:dyDescent="0.3">
      <c r="A637" s="17" t="s">
        <v>5488</v>
      </c>
      <c r="B637" s="20" t="s">
        <v>6465</v>
      </c>
      <c r="C637" s="20" t="s">
        <v>6984</v>
      </c>
      <c r="D637" s="2" t="s">
        <v>28</v>
      </c>
      <c r="E637" s="6" t="e">
        <f>LOOKUP(2,1/(MCQ!C:C=B637),MCQ!H:H)</f>
        <v>#N/A</v>
      </c>
      <c r="F637" s="6" t="e">
        <f>LOOKUP(2,1/(Debugging!C:C=B637),Debugging!H:H)</f>
        <v>#N/A</v>
      </c>
      <c r="G637" s="6" t="e">
        <f>LOOKUP(2,1/(Coding!C:C=B637),Coding!H:H)</f>
        <v>#N/A</v>
      </c>
      <c r="H637" s="8" t="e">
        <f>E637+F637+G637</f>
        <v>#N/A</v>
      </c>
      <c r="I637" s="4" t="str">
        <f>IF(J637&lt;&gt;"Complete","Not Active",IF(H637&gt;=75,"Good",IF(H637&gt;=50,"Satisfactory",IF(H637&gt;=25,"Need Attention","Intervention"))))</f>
        <v>Not Active</v>
      </c>
      <c r="J637" s="4" t="str">
        <f>IF(COUNTIF(E637:G637,"#N/A")=3,"Not Attempted",IF(OR(ISNA(E637),ISNA(F637),ISNA(G637)),"NotCompleted","Complete"))</f>
        <v>Not Attempted</v>
      </c>
    </row>
    <row r="638" spans="1:10" ht="15.6" x14ac:dyDescent="0.3">
      <c r="A638" s="17" t="s">
        <v>5488</v>
      </c>
      <c r="B638" s="20" t="s">
        <v>962</v>
      </c>
      <c r="C638" s="20" t="s">
        <v>6985</v>
      </c>
      <c r="D638" s="2" t="s">
        <v>8</v>
      </c>
      <c r="E638" s="6" t="str">
        <f>LOOKUP(2,1/(MCQ!C:C=B638),MCQ!H:H)</f>
        <v>21.00</v>
      </c>
      <c r="F638" s="6" t="str">
        <f>LOOKUP(2,1/(Debugging!C:C=B638),Debugging!H:H)</f>
        <v>38.00</v>
      </c>
      <c r="G638" s="6" t="str">
        <f>LOOKUP(2,1/(Coding!C:C=B638),Coding!H:H)</f>
        <v>25.00</v>
      </c>
      <c r="H638" s="8">
        <f>E638+F638+G638</f>
        <v>84</v>
      </c>
      <c r="I638" s="4" t="str">
        <f>IF(J638&lt;&gt;"Complete","Not Active",IF(H638&gt;=75,"Good",IF(H638&gt;=50,"Satisfactory",IF(H638&gt;=25,"Need Attention","Intervention"))))</f>
        <v>Good</v>
      </c>
      <c r="J638" s="4" t="str">
        <f>IF(COUNTIF(E638:G638,"#N/A")=3,"Not Attempted",IF(OR(ISNA(E638),ISNA(F638),ISNA(G638)),"NotCompleted","Complete"))</f>
        <v>Complete</v>
      </c>
    </row>
    <row r="639" spans="1:10" ht="15.6" x14ac:dyDescent="0.3">
      <c r="A639" s="17" t="s">
        <v>5488</v>
      </c>
      <c r="B639" s="20" t="s">
        <v>964</v>
      </c>
      <c r="C639" s="20" t="s">
        <v>6986</v>
      </c>
      <c r="D639" s="2" t="s">
        <v>19</v>
      </c>
      <c r="E639" s="6" t="str">
        <f>LOOKUP(2,1/(MCQ!C:C=B639),MCQ!H:H)</f>
        <v>24.00</v>
      </c>
      <c r="F639" s="6" t="str">
        <f>LOOKUP(2,1/(Debugging!C:C=B639),Debugging!H:H)</f>
        <v>42.00</v>
      </c>
      <c r="G639" s="6" t="str">
        <f>LOOKUP(2,1/(Coding!C:C=B639),Coding!H:H)</f>
        <v>25.00</v>
      </c>
      <c r="H639" s="8">
        <f>E639+F639+G639</f>
        <v>91</v>
      </c>
      <c r="I639" s="4" t="str">
        <f>IF(J639&lt;&gt;"Complete","Not Active",IF(H639&gt;=75,"Good",IF(H639&gt;=50,"Satisfactory",IF(H639&gt;=25,"Need Attention","Intervention"))))</f>
        <v>Good</v>
      </c>
      <c r="J639" s="4" t="str">
        <f>IF(COUNTIF(E639:G639,"#N/A")=3,"Not Attempted",IF(OR(ISNA(E639),ISNA(F639),ISNA(G639)),"NotCompleted","Complete"))</f>
        <v>Complete</v>
      </c>
    </row>
    <row r="640" spans="1:10" ht="15.6" x14ac:dyDescent="0.3">
      <c r="A640" s="17" t="s">
        <v>5488</v>
      </c>
      <c r="B640" s="20" t="s">
        <v>6466</v>
      </c>
      <c r="C640" s="20" t="s">
        <v>6987</v>
      </c>
      <c r="D640" s="2" t="s">
        <v>71</v>
      </c>
      <c r="E640" s="6" t="e">
        <f>LOOKUP(2,1/(MCQ!C:C=B640),MCQ!H:H)</f>
        <v>#N/A</v>
      </c>
      <c r="F640" s="6" t="e">
        <f>LOOKUP(2,1/(Debugging!C:C=B640),Debugging!H:H)</f>
        <v>#N/A</v>
      </c>
      <c r="G640" s="6" t="e">
        <f>LOOKUP(2,1/(Coding!C:C=B640),Coding!H:H)</f>
        <v>#N/A</v>
      </c>
      <c r="H640" s="8" t="e">
        <f>E640+F640+G640</f>
        <v>#N/A</v>
      </c>
      <c r="I640" s="4" t="str">
        <f>IF(J640&lt;&gt;"Complete","Not Active",IF(H640&gt;=75,"Good",IF(H640&gt;=50,"Satisfactory",IF(H640&gt;=25,"Need Attention","Intervention"))))</f>
        <v>Not Active</v>
      </c>
      <c r="J640" s="4" t="str">
        <f>IF(COUNTIF(E640:G640,"#N/A")=3,"Not Attempted",IF(OR(ISNA(E640),ISNA(F640),ISNA(G640)),"NotCompleted","Complete"))</f>
        <v>Not Attempted</v>
      </c>
    </row>
    <row r="641" spans="1:10" ht="15.6" x14ac:dyDescent="0.3">
      <c r="A641" s="17" t="s">
        <v>5488</v>
      </c>
      <c r="B641" s="20" t="s">
        <v>966</v>
      </c>
      <c r="C641" s="20" t="s">
        <v>6988</v>
      </c>
      <c r="D641" s="2" t="s">
        <v>133</v>
      </c>
      <c r="E641" s="6" t="str">
        <f>LOOKUP(2,1/(MCQ!C:C=B641),MCQ!H:H)</f>
        <v>24.00</v>
      </c>
      <c r="F641" s="6" t="str">
        <f>LOOKUP(2,1/(Debugging!C:C=B641),Debugging!H:H)</f>
        <v>27.00</v>
      </c>
      <c r="G641" s="6" t="e">
        <f>LOOKUP(2,1/(Coding!C:C=B641),Coding!H:H)</f>
        <v>#N/A</v>
      </c>
      <c r="H641" s="8" t="e">
        <f>E641+F641+G641</f>
        <v>#N/A</v>
      </c>
      <c r="I641" s="4" t="str">
        <f>IF(J641&lt;&gt;"Complete","Not Active",IF(H641&gt;=75,"Good",IF(H641&gt;=50,"Satisfactory",IF(H641&gt;=25,"Need Attention","Intervention"))))</f>
        <v>Not Active</v>
      </c>
      <c r="J641" s="4" t="str">
        <f>IF(COUNTIF(E641:G641,"#N/A")=3,"Not Attempted",IF(OR(ISNA(E641),ISNA(F641),ISNA(G641)),"NotCompleted","Complete"))</f>
        <v>NotCompleted</v>
      </c>
    </row>
    <row r="642" spans="1:10" ht="15.6" x14ac:dyDescent="0.3">
      <c r="A642" s="17" t="s">
        <v>5488</v>
      </c>
      <c r="B642" s="20" t="s">
        <v>968</v>
      </c>
      <c r="C642" s="20" t="s">
        <v>6989</v>
      </c>
      <c r="D642" s="2" t="s">
        <v>19</v>
      </c>
      <c r="E642" s="6" t="str">
        <f>LOOKUP(2,1/(MCQ!C:C=B642),MCQ!H:H)</f>
        <v>25.00</v>
      </c>
      <c r="F642" s="6" t="str">
        <f>LOOKUP(2,1/(Debugging!C:C=B642),Debugging!H:H)</f>
        <v>50.00</v>
      </c>
      <c r="G642" s="6" t="str">
        <f>LOOKUP(2,1/(Coding!C:C=B642),Coding!H:H)</f>
        <v>25.00</v>
      </c>
      <c r="H642" s="8">
        <f>E642+F642+G642</f>
        <v>100</v>
      </c>
      <c r="I642" s="4" t="str">
        <f>IF(J642&lt;&gt;"Complete","Not Active",IF(H642&gt;=75,"Good",IF(H642&gt;=50,"Satisfactory",IF(H642&gt;=25,"Need Attention","Intervention"))))</f>
        <v>Good</v>
      </c>
      <c r="J642" s="4" t="str">
        <f>IF(COUNTIF(E642:G642,"#N/A")=3,"Not Attempted",IF(OR(ISNA(E642),ISNA(F642),ISNA(G642)),"NotCompleted","Complete"))</f>
        <v>Complete</v>
      </c>
    </row>
    <row r="643" spans="1:10" ht="15.6" x14ac:dyDescent="0.3">
      <c r="A643" s="17" t="s">
        <v>5488</v>
      </c>
      <c r="B643" s="20" t="s">
        <v>970</v>
      </c>
      <c r="C643" s="20" t="s">
        <v>6990</v>
      </c>
      <c r="D643" s="2" t="s">
        <v>19</v>
      </c>
      <c r="E643" s="6" t="str">
        <f>LOOKUP(2,1/(MCQ!C:C=B643),MCQ!H:H)</f>
        <v>24.00</v>
      </c>
      <c r="F643" s="6" t="str">
        <f>LOOKUP(2,1/(Debugging!C:C=B643),Debugging!H:H)</f>
        <v>48.00</v>
      </c>
      <c r="G643" s="6" t="str">
        <f>LOOKUP(2,1/(Coding!C:C=B643),Coding!H:H)</f>
        <v>21.00</v>
      </c>
      <c r="H643" s="8">
        <f>E643+F643+G643</f>
        <v>93</v>
      </c>
      <c r="I643" s="4" t="str">
        <f>IF(J643&lt;&gt;"Complete","Not Active",IF(H643&gt;=75,"Good",IF(H643&gt;=50,"Satisfactory",IF(H643&gt;=25,"Need Attention","Intervention"))))</f>
        <v>Good</v>
      </c>
      <c r="J643" s="4" t="str">
        <f>IF(COUNTIF(E643:G643,"#N/A")=3,"Not Attempted",IF(OR(ISNA(E643),ISNA(F643),ISNA(G643)),"NotCompleted","Complete"))</f>
        <v>Complete</v>
      </c>
    </row>
    <row r="644" spans="1:10" ht="15.6" x14ac:dyDescent="0.3">
      <c r="A644" s="17" t="s">
        <v>5488</v>
      </c>
      <c r="B644" s="20" t="s">
        <v>972</v>
      </c>
      <c r="C644" s="20" t="s">
        <v>6991</v>
      </c>
      <c r="D644" s="2" t="s">
        <v>42</v>
      </c>
      <c r="E644" s="6" t="str">
        <f>LOOKUP(2,1/(MCQ!C:C=B644),MCQ!H:H)</f>
        <v>25.00</v>
      </c>
      <c r="F644" s="6" t="str">
        <f>LOOKUP(2,1/(Debugging!C:C=B644),Debugging!H:H)</f>
        <v>50.00</v>
      </c>
      <c r="G644" s="6" t="e">
        <f>LOOKUP(2,1/(Coding!C:C=B644),Coding!H:H)</f>
        <v>#N/A</v>
      </c>
      <c r="H644" s="8" t="e">
        <f>E644+F644+G644</f>
        <v>#N/A</v>
      </c>
      <c r="I644" s="4" t="str">
        <f>IF(J644&lt;&gt;"Complete","Not Active",IF(H644&gt;=75,"Good",IF(H644&gt;=50,"Satisfactory",IF(H644&gt;=25,"Need Attention","Intervention"))))</f>
        <v>Not Active</v>
      </c>
      <c r="J644" s="4" t="str">
        <f>IF(COUNTIF(E644:G644,"#N/A")=3,"Not Attempted",IF(OR(ISNA(E644),ISNA(F644),ISNA(G644)),"NotCompleted","Complete"))</f>
        <v>NotCompleted</v>
      </c>
    </row>
    <row r="645" spans="1:10" ht="15.6" x14ac:dyDescent="0.3">
      <c r="A645" s="17" t="s">
        <v>5488</v>
      </c>
      <c r="B645" s="20" t="s">
        <v>974</v>
      </c>
      <c r="C645" s="20" t="s">
        <v>6992</v>
      </c>
      <c r="D645" s="2" t="s">
        <v>11</v>
      </c>
      <c r="E645" s="6" t="str">
        <f>LOOKUP(2,1/(MCQ!C:C=B645),MCQ!H:H)</f>
        <v>22.00</v>
      </c>
      <c r="F645" s="6" t="str">
        <f>LOOKUP(2,1/(Debugging!C:C=B645),Debugging!H:H)</f>
        <v>49.00</v>
      </c>
      <c r="G645" s="6" t="str">
        <f>LOOKUP(2,1/(Coding!C:C=B645),Coding!H:H)</f>
        <v>20.50</v>
      </c>
      <c r="H645" s="8">
        <f>E645+F645+G645</f>
        <v>91.5</v>
      </c>
      <c r="I645" s="4" t="str">
        <f>IF(J645&lt;&gt;"Complete","Not Active",IF(H645&gt;=75,"Good",IF(H645&gt;=50,"Satisfactory",IF(H645&gt;=25,"Need Attention","Intervention"))))</f>
        <v>Good</v>
      </c>
      <c r="J645" s="4" t="str">
        <f>IF(COUNTIF(E645:G645,"#N/A")=3,"Not Attempted",IF(OR(ISNA(E645),ISNA(F645),ISNA(G645)),"NotCompleted","Complete"))</f>
        <v>Complete</v>
      </c>
    </row>
    <row r="646" spans="1:10" ht="15.6" x14ac:dyDescent="0.3">
      <c r="A646" s="17" t="s">
        <v>5488</v>
      </c>
      <c r="B646" s="20" t="s">
        <v>976</v>
      </c>
      <c r="C646" s="20" t="s">
        <v>6993</v>
      </c>
      <c r="D646" s="2" t="s">
        <v>55</v>
      </c>
      <c r="E646" s="6" t="str">
        <f>LOOKUP(2,1/(MCQ!C:C=B646),MCQ!H:H)</f>
        <v>25.00</v>
      </c>
      <c r="F646" s="6" t="str">
        <f>LOOKUP(2,1/(Debugging!C:C=B646),Debugging!H:H)</f>
        <v>43.00</v>
      </c>
      <c r="G646" s="6" t="str">
        <f>LOOKUP(2,1/(Coding!C:C=B646),Coding!H:H)</f>
        <v>25.00</v>
      </c>
      <c r="H646" s="8">
        <f>E646+F646+G646</f>
        <v>93</v>
      </c>
      <c r="I646" s="4" t="str">
        <f>IF(J646&lt;&gt;"Complete","Not Active",IF(H646&gt;=75,"Good",IF(H646&gt;=50,"Satisfactory",IF(H646&gt;=25,"Need Attention","Intervention"))))</f>
        <v>Good</v>
      </c>
      <c r="J646" s="4" t="str">
        <f>IF(COUNTIF(E646:G646,"#N/A")=3,"Not Attempted",IF(OR(ISNA(E646),ISNA(F646),ISNA(G646)),"NotCompleted","Complete"))</f>
        <v>Complete</v>
      </c>
    </row>
    <row r="647" spans="1:10" ht="15.6" x14ac:dyDescent="0.3">
      <c r="A647" s="17" t="s">
        <v>5488</v>
      </c>
      <c r="B647" s="20" t="s">
        <v>978</v>
      </c>
      <c r="C647" s="20" t="s">
        <v>6994</v>
      </c>
      <c r="D647" s="2" t="s">
        <v>825</v>
      </c>
      <c r="E647" s="6" t="str">
        <f>LOOKUP(2,1/(MCQ!C:C=B647),MCQ!H:H)</f>
        <v>22.00</v>
      </c>
      <c r="F647" s="6" t="str">
        <f>LOOKUP(2,1/(Debugging!C:C=B647),Debugging!H:H)</f>
        <v>38.00</v>
      </c>
      <c r="G647" s="6" t="str">
        <f>LOOKUP(2,1/(Coding!C:C=B647),Coding!H:H)</f>
        <v>25.00</v>
      </c>
      <c r="H647" s="8">
        <f>E647+F647+G647</f>
        <v>85</v>
      </c>
      <c r="I647" s="4" t="str">
        <f>IF(J647&lt;&gt;"Complete","Not Active",IF(H647&gt;=75,"Good",IF(H647&gt;=50,"Satisfactory",IF(H647&gt;=25,"Need Attention","Intervention"))))</f>
        <v>Good</v>
      </c>
      <c r="J647" s="4" t="str">
        <f>IF(COUNTIF(E647:G647,"#N/A")=3,"Not Attempted",IF(OR(ISNA(E647),ISNA(F647),ISNA(G647)),"NotCompleted","Complete"))</f>
        <v>Complete</v>
      </c>
    </row>
    <row r="648" spans="1:10" ht="15.6" x14ac:dyDescent="0.3">
      <c r="A648" s="17" t="s">
        <v>5488</v>
      </c>
      <c r="B648" s="20" t="s">
        <v>980</v>
      </c>
      <c r="C648" s="20" t="s">
        <v>6995</v>
      </c>
      <c r="D648" s="2" t="s">
        <v>8</v>
      </c>
      <c r="E648" s="6" t="str">
        <f>LOOKUP(2,1/(MCQ!C:C=B648),MCQ!H:H)</f>
        <v>22.00</v>
      </c>
      <c r="F648" s="6" t="str">
        <f>LOOKUP(2,1/(Debugging!C:C=B648),Debugging!H:H)</f>
        <v>49.00</v>
      </c>
      <c r="G648" s="6" t="str">
        <f>LOOKUP(2,1/(Coding!C:C=B648),Coding!H:H)</f>
        <v>23.50</v>
      </c>
      <c r="H648" s="8">
        <f>E648+F648+G648</f>
        <v>94.5</v>
      </c>
      <c r="I648" s="4" t="str">
        <f>IF(J648&lt;&gt;"Complete","Not Active",IF(H648&gt;=75,"Good",IF(H648&gt;=50,"Satisfactory",IF(H648&gt;=25,"Need Attention","Intervention"))))</f>
        <v>Good</v>
      </c>
      <c r="J648" s="4" t="str">
        <f>IF(COUNTIF(E648:G648,"#N/A")=3,"Not Attempted",IF(OR(ISNA(E648),ISNA(F648),ISNA(G648)),"NotCompleted","Complete"))</f>
        <v>Complete</v>
      </c>
    </row>
    <row r="649" spans="1:10" ht="15.6" x14ac:dyDescent="0.3">
      <c r="A649" s="17" t="s">
        <v>5488</v>
      </c>
      <c r="B649" s="20" t="s">
        <v>982</v>
      </c>
      <c r="C649" s="20" t="s">
        <v>6996</v>
      </c>
      <c r="D649" s="2" t="s">
        <v>8</v>
      </c>
      <c r="E649" s="6" t="str">
        <f>LOOKUP(2,1/(MCQ!C:C=B649),MCQ!H:H)</f>
        <v>23.00</v>
      </c>
      <c r="F649" s="6" t="e">
        <f>LOOKUP(2,1/(Debugging!C:C=B649),Debugging!H:H)</f>
        <v>#N/A</v>
      </c>
      <c r="G649" s="6" t="e">
        <f>LOOKUP(2,1/(Coding!C:C=B649),Coding!H:H)</f>
        <v>#N/A</v>
      </c>
      <c r="H649" s="8" t="e">
        <f>E649+F649+G649</f>
        <v>#N/A</v>
      </c>
      <c r="I649" s="4" t="str">
        <f>IF(J649&lt;&gt;"Complete","Not Active",IF(H649&gt;=75,"Good",IF(H649&gt;=50,"Satisfactory",IF(H649&gt;=25,"Need Attention","Intervention"))))</f>
        <v>Not Active</v>
      </c>
      <c r="J649" s="4" t="str">
        <f>IF(COUNTIF(E649:G649,"#N/A")=3,"Not Attempted",IF(OR(ISNA(E649),ISNA(F649),ISNA(G649)),"NotCompleted","Complete"))</f>
        <v>NotCompleted</v>
      </c>
    </row>
    <row r="650" spans="1:10" ht="15.6" x14ac:dyDescent="0.3">
      <c r="A650" s="17" t="s">
        <v>5488</v>
      </c>
      <c r="B650" s="20" t="s">
        <v>984</v>
      </c>
      <c r="C650" s="20" t="s">
        <v>6997</v>
      </c>
      <c r="D650" s="2" t="s">
        <v>337</v>
      </c>
      <c r="E650" s="6" t="str">
        <f>LOOKUP(2,1/(MCQ!C:C=B650),MCQ!H:H)</f>
        <v>24.00</v>
      </c>
      <c r="F650" s="6" t="e">
        <f>LOOKUP(2,1/(Debugging!C:C=B650),Debugging!H:H)</f>
        <v>#N/A</v>
      </c>
      <c r="G650" s="6" t="str">
        <f>LOOKUP(2,1/(Coding!C:C=B650),Coding!H:H)</f>
        <v>25.00</v>
      </c>
      <c r="H650" s="8" t="e">
        <f>E650+F650+G650</f>
        <v>#N/A</v>
      </c>
      <c r="I650" s="4" t="str">
        <f>IF(J650&lt;&gt;"Complete","Not Active",IF(H650&gt;=75,"Good",IF(H650&gt;=50,"Satisfactory",IF(H650&gt;=25,"Need Attention","Intervention"))))</f>
        <v>Not Active</v>
      </c>
      <c r="J650" s="4" t="str">
        <f>IF(COUNTIF(E650:G650,"#N/A")=3,"Not Attempted",IF(OR(ISNA(E650),ISNA(F650),ISNA(G650)),"NotCompleted","Complete"))</f>
        <v>NotCompleted</v>
      </c>
    </row>
    <row r="651" spans="1:10" ht="15.6" x14ac:dyDescent="0.3">
      <c r="A651" s="17" t="s">
        <v>5488</v>
      </c>
      <c r="B651" s="20" t="s">
        <v>986</v>
      </c>
      <c r="C651" s="20" t="s">
        <v>6998</v>
      </c>
      <c r="D651" s="2" t="s">
        <v>55</v>
      </c>
      <c r="E651" s="6" t="str">
        <f>LOOKUP(2,1/(MCQ!C:C=B651),MCQ!H:H)</f>
        <v>25.00</v>
      </c>
      <c r="F651" s="6" t="e">
        <f>LOOKUP(2,1/(Debugging!C:C=B651),Debugging!H:H)</f>
        <v>#N/A</v>
      </c>
      <c r="G651" s="6" t="e">
        <f>LOOKUP(2,1/(Coding!C:C=B651),Coding!H:H)</f>
        <v>#N/A</v>
      </c>
      <c r="H651" s="8" t="e">
        <f>E651+F651+G651</f>
        <v>#N/A</v>
      </c>
      <c r="I651" s="4" t="str">
        <f>IF(J651&lt;&gt;"Complete","Not Active",IF(H651&gt;=75,"Good",IF(H651&gt;=50,"Satisfactory",IF(H651&gt;=25,"Need Attention","Intervention"))))</f>
        <v>Not Active</v>
      </c>
      <c r="J651" s="4" t="str">
        <f>IF(COUNTIF(E651:G651,"#N/A")=3,"Not Attempted",IF(OR(ISNA(E651),ISNA(F651),ISNA(G651)),"NotCompleted","Complete"))</f>
        <v>NotCompleted</v>
      </c>
    </row>
    <row r="652" spans="1:10" ht="15.6" x14ac:dyDescent="0.3">
      <c r="A652" s="17" t="s">
        <v>5488</v>
      </c>
      <c r="B652" s="20" t="s">
        <v>988</v>
      </c>
      <c r="C652" s="20" t="s">
        <v>6999</v>
      </c>
      <c r="D652" s="2" t="s">
        <v>49</v>
      </c>
      <c r="E652" s="6" t="str">
        <f>LOOKUP(2,1/(MCQ!C:C=B652),MCQ!H:H)</f>
        <v>23.00</v>
      </c>
      <c r="F652" s="6" t="str">
        <f>LOOKUP(2,1/(Debugging!C:C=B652),Debugging!H:H)</f>
        <v>43.00</v>
      </c>
      <c r="G652" s="6" t="str">
        <f>LOOKUP(2,1/(Coding!C:C=B652),Coding!H:H)</f>
        <v>21.00</v>
      </c>
      <c r="H652" s="8">
        <f>E652+F652+G652</f>
        <v>87</v>
      </c>
      <c r="I652" s="4" t="str">
        <f>IF(J652&lt;&gt;"Complete","Not Active",IF(H652&gt;=75,"Good",IF(H652&gt;=50,"Satisfactory",IF(H652&gt;=25,"Need Attention","Intervention"))))</f>
        <v>Good</v>
      </c>
      <c r="J652" s="4" t="str">
        <f>IF(COUNTIF(E652:G652,"#N/A")=3,"Not Attempted",IF(OR(ISNA(E652),ISNA(F652),ISNA(G652)),"NotCompleted","Complete"))</f>
        <v>Complete</v>
      </c>
    </row>
    <row r="653" spans="1:10" ht="15.6" x14ac:dyDescent="0.3">
      <c r="A653" s="17" t="s">
        <v>5488</v>
      </c>
      <c r="B653" s="20" t="s">
        <v>6467</v>
      </c>
      <c r="C653" s="20" t="s">
        <v>7000</v>
      </c>
      <c r="D653" s="2" t="s">
        <v>836</v>
      </c>
      <c r="E653" s="6" t="e">
        <f>LOOKUP(2,1/(MCQ!C:C=B653),MCQ!H:H)</f>
        <v>#N/A</v>
      </c>
      <c r="F653" s="6" t="e">
        <f>LOOKUP(2,1/(Debugging!C:C=B653),Debugging!H:H)</f>
        <v>#N/A</v>
      </c>
      <c r="G653" s="6" t="e">
        <f>LOOKUP(2,1/(Coding!C:C=B653),Coding!H:H)</f>
        <v>#N/A</v>
      </c>
      <c r="H653" s="8" t="e">
        <f>E653+F653+G653</f>
        <v>#N/A</v>
      </c>
      <c r="I653" s="4" t="str">
        <f>IF(J653&lt;&gt;"Complete","Not Active",IF(H653&gt;=75,"Good",IF(H653&gt;=50,"Satisfactory",IF(H653&gt;=25,"Need Attention","Intervention"))))</f>
        <v>Not Active</v>
      </c>
      <c r="J653" s="4" t="str">
        <f>IF(COUNTIF(E653:G653,"#N/A")=3,"Not Attempted",IF(OR(ISNA(E653),ISNA(F653),ISNA(G653)),"NotCompleted","Complete"))</f>
        <v>Not Attempted</v>
      </c>
    </row>
    <row r="654" spans="1:10" ht="15.6" x14ac:dyDescent="0.3">
      <c r="A654" s="17" t="s">
        <v>5488</v>
      </c>
      <c r="B654" s="20" t="s">
        <v>5970</v>
      </c>
      <c r="C654" s="20" t="s">
        <v>7001</v>
      </c>
      <c r="D654" s="2" t="s">
        <v>25</v>
      </c>
      <c r="E654" s="6" t="str">
        <f>LOOKUP(2,1/(MCQ!C:C=B654),MCQ!H:H)</f>
        <v>25.00</v>
      </c>
      <c r="F654" s="6" t="str">
        <f>LOOKUP(2,1/(Debugging!C:C=B654),Debugging!H:H)</f>
        <v>44.00</v>
      </c>
      <c r="G654" s="6" t="e">
        <f>LOOKUP(2,1/(Coding!C:C=B654),Coding!H:H)</f>
        <v>#N/A</v>
      </c>
      <c r="H654" s="8" t="e">
        <f>E654+F654+G654</f>
        <v>#N/A</v>
      </c>
      <c r="I654" s="4" t="str">
        <f>IF(J654&lt;&gt;"Complete","Not Active",IF(H654&gt;=75,"Good",IF(H654&gt;=50,"Satisfactory",IF(H654&gt;=25,"Need Attention","Intervention"))))</f>
        <v>Not Active</v>
      </c>
      <c r="J654" s="4" t="str">
        <f>IF(COUNTIF(E654:G654,"#N/A")=3,"Not Attempted",IF(OR(ISNA(E654),ISNA(F654),ISNA(G654)),"NotCompleted","Complete"))</f>
        <v>NotCompleted</v>
      </c>
    </row>
    <row r="655" spans="1:10" ht="15.6" x14ac:dyDescent="0.3">
      <c r="A655" s="17" t="s">
        <v>5488</v>
      </c>
      <c r="B655" s="20" t="s">
        <v>6468</v>
      </c>
      <c r="C655" s="20" t="s">
        <v>7002</v>
      </c>
      <c r="D655" s="2" t="s">
        <v>11</v>
      </c>
      <c r="E655" s="6" t="e">
        <f>LOOKUP(2,1/(MCQ!C:C=B655),MCQ!H:H)</f>
        <v>#N/A</v>
      </c>
      <c r="F655" s="6" t="e">
        <f>LOOKUP(2,1/(Debugging!C:C=B655),Debugging!H:H)</f>
        <v>#N/A</v>
      </c>
      <c r="G655" s="6" t="e">
        <f>LOOKUP(2,1/(Coding!C:C=B655),Coding!H:H)</f>
        <v>#N/A</v>
      </c>
      <c r="H655" s="8" t="e">
        <f>E655+F655+G655</f>
        <v>#N/A</v>
      </c>
      <c r="I655" s="4" t="str">
        <f>IF(J655&lt;&gt;"Complete","Not Active",IF(H655&gt;=75,"Good",IF(H655&gt;=50,"Satisfactory",IF(H655&gt;=25,"Need Attention","Intervention"))))</f>
        <v>Not Active</v>
      </c>
      <c r="J655" s="4" t="str">
        <f>IF(COUNTIF(E655:G655,"#N/A")=3,"Not Attempted",IF(OR(ISNA(E655),ISNA(F655),ISNA(G655)),"NotCompleted","Complete"))</f>
        <v>Not Attempted</v>
      </c>
    </row>
    <row r="656" spans="1:10" ht="15.6" x14ac:dyDescent="0.3">
      <c r="A656" s="17" t="s">
        <v>5488</v>
      </c>
      <c r="B656" s="20" t="s">
        <v>990</v>
      </c>
      <c r="C656" s="20" t="s">
        <v>7003</v>
      </c>
      <c r="D656" s="2" t="s">
        <v>31</v>
      </c>
      <c r="E656" s="6" t="str">
        <f>LOOKUP(2,1/(MCQ!C:C=B656),MCQ!H:H)</f>
        <v>25.00</v>
      </c>
      <c r="F656" s="6" t="str">
        <f>LOOKUP(2,1/(Debugging!C:C=B656),Debugging!H:H)</f>
        <v>50.00</v>
      </c>
      <c r="G656" s="6" t="str">
        <f>LOOKUP(2,1/(Coding!C:C=B656),Coding!H:H)</f>
        <v>25.00</v>
      </c>
      <c r="H656" s="8">
        <f>E656+F656+G656</f>
        <v>100</v>
      </c>
      <c r="I656" s="4" t="str">
        <f>IF(J656&lt;&gt;"Complete","Not Active",IF(H656&gt;=75,"Good",IF(H656&gt;=50,"Satisfactory",IF(H656&gt;=25,"Need Attention","Intervention"))))</f>
        <v>Good</v>
      </c>
      <c r="J656" s="4" t="str">
        <f>IF(COUNTIF(E656:G656,"#N/A")=3,"Not Attempted",IF(OR(ISNA(E656),ISNA(F656),ISNA(G656)),"NotCompleted","Complete"))</f>
        <v>Complete</v>
      </c>
    </row>
    <row r="657" spans="1:10" ht="15.6" x14ac:dyDescent="0.3">
      <c r="A657" s="17" t="s">
        <v>5488</v>
      </c>
      <c r="B657" s="20" t="s">
        <v>993</v>
      </c>
      <c r="C657" s="20" t="s">
        <v>7004</v>
      </c>
      <c r="D657" s="2" t="s">
        <v>31</v>
      </c>
      <c r="E657" s="6" t="str">
        <f>LOOKUP(2,1/(MCQ!C:C=B657),MCQ!H:H)</f>
        <v>25.00</v>
      </c>
      <c r="F657" s="6" t="str">
        <f>LOOKUP(2,1/(Debugging!C:C=B657),Debugging!H:H)</f>
        <v>48.00</v>
      </c>
      <c r="G657" s="6" t="str">
        <f>LOOKUP(2,1/(Coding!C:C=B657),Coding!H:H)</f>
        <v>25.00</v>
      </c>
      <c r="H657" s="8">
        <f>E657+F657+G657</f>
        <v>98</v>
      </c>
      <c r="I657" s="4" t="str">
        <f>IF(J657&lt;&gt;"Complete","Not Active",IF(H657&gt;=75,"Good",IF(H657&gt;=50,"Satisfactory",IF(H657&gt;=25,"Need Attention","Intervention"))))</f>
        <v>Good</v>
      </c>
      <c r="J657" s="4" t="str">
        <f>IF(COUNTIF(E657:G657,"#N/A")=3,"Not Attempted",IF(OR(ISNA(E657),ISNA(F657),ISNA(G657)),"NotCompleted","Complete"))</f>
        <v>Complete</v>
      </c>
    </row>
    <row r="658" spans="1:10" ht="15.6" x14ac:dyDescent="0.3">
      <c r="A658" s="17" t="s">
        <v>5488</v>
      </c>
      <c r="B658" s="20" t="s">
        <v>996</v>
      </c>
      <c r="C658" s="20" t="s">
        <v>7005</v>
      </c>
      <c r="D658" s="2" t="s">
        <v>25</v>
      </c>
      <c r="E658" s="6" t="str">
        <f>LOOKUP(2,1/(MCQ!C:C=B658),MCQ!H:H)</f>
        <v>23.00</v>
      </c>
      <c r="F658" s="6" t="str">
        <f>LOOKUP(2,1/(Debugging!C:C=B658),Debugging!H:H)</f>
        <v>48.00</v>
      </c>
      <c r="G658" s="6" t="str">
        <f>LOOKUP(2,1/(Coding!C:C=B658),Coding!H:H)</f>
        <v>19.00</v>
      </c>
      <c r="H658" s="8">
        <f>E658+F658+G658</f>
        <v>90</v>
      </c>
      <c r="I658" s="4" t="str">
        <f>IF(J658&lt;&gt;"Complete","Not Active",IF(H658&gt;=75,"Good",IF(H658&gt;=50,"Satisfactory",IF(H658&gt;=25,"Need Attention","Intervention"))))</f>
        <v>Good</v>
      </c>
      <c r="J658" s="4" t="str">
        <f>IF(COUNTIF(E658:G658,"#N/A")=3,"Not Attempted",IF(OR(ISNA(E658),ISNA(F658),ISNA(G658)),"NotCompleted","Complete"))</f>
        <v>Complete</v>
      </c>
    </row>
    <row r="659" spans="1:10" ht="15.6" x14ac:dyDescent="0.3">
      <c r="A659" s="17" t="s">
        <v>5488</v>
      </c>
      <c r="B659" s="20" t="s">
        <v>998</v>
      </c>
      <c r="C659" s="20" t="s">
        <v>7006</v>
      </c>
      <c r="D659" s="2" t="s">
        <v>11</v>
      </c>
      <c r="E659" s="6" t="str">
        <f>LOOKUP(2,1/(MCQ!C:C=B659),MCQ!H:H)</f>
        <v>25.00</v>
      </c>
      <c r="F659" s="6" t="str">
        <f>LOOKUP(2,1/(Debugging!C:C=B659),Debugging!H:H)</f>
        <v>45.00</v>
      </c>
      <c r="G659" s="6" t="str">
        <f>LOOKUP(2,1/(Coding!C:C=B659),Coding!H:H)</f>
        <v>25.00</v>
      </c>
      <c r="H659" s="8">
        <f>E659+F659+G659</f>
        <v>95</v>
      </c>
      <c r="I659" s="4" t="str">
        <f>IF(J659&lt;&gt;"Complete","Not Active",IF(H659&gt;=75,"Good",IF(H659&gt;=50,"Satisfactory",IF(H659&gt;=25,"Need Attention","Intervention"))))</f>
        <v>Good</v>
      </c>
      <c r="J659" s="4" t="str">
        <f>IF(COUNTIF(E659:G659,"#N/A")=3,"Not Attempted",IF(OR(ISNA(E659),ISNA(F659),ISNA(G659)),"NotCompleted","Complete"))</f>
        <v>Complete</v>
      </c>
    </row>
    <row r="660" spans="1:10" ht="15.6" x14ac:dyDescent="0.3">
      <c r="A660" s="17" t="s">
        <v>5488</v>
      </c>
      <c r="B660" s="20" t="s">
        <v>1000</v>
      </c>
      <c r="C660" s="20" t="s">
        <v>7007</v>
      </c>
      <c r="D660" s="2" t="s">
        <v>31</v>
      </c>
      <c r="E660" s="6" t="str">
        <f>LOOKUP(2,1/(MCQ!C:C=B660),MCQ!H:H)</f>
        <v>24.00</v>
      </c>
      <c r="F660" s="6" t="e">
        <f>LOOKUP(2,1/(Debugging!C:C=B660),Debugging!H:H)</f>
        <v>#N/A</v>
      </c>
      <c r="G660" s="6" t="str">
        <f>LOOKUP(2,1/(Coding!C:C=B660),Coding!H:H)</f>
        <v>23.50</v>
      </c>
      <c r="H660" s="8" t="e">
        <f>E660+F660+G660</f>
        <v>#N/A</v>
      </c>
      <c r="I660" s="4" t="str">
        <f>IF(J660&lt;&gt;"Complete","Not Active",IF(H660&gt;=75,"Good",IF(H660&gt;=50,"Satisfactory",IF(H660&gt;=25,"Need Attention","Intervention"))))</f>
        <v>Not Active</v>
      </c>
      <c r="J660" s="4" t="str">
        <f>IF(COUNTIF(E660:G660,"#N/A")=3,"Not Attempted",IF(OR(ISNA(E660),ISNA(F660),ISNA(G660)),"NotCompleted","Complete"))</f>
        <v>NotCompleted</v>
      </c>
    </row>
    <row r="661" spans="1:10" ht="15.6" x14ac:dyDescent="0.3">
      <c r="A661" s="17" t="s">
        <v>5488</v>
      </c>
      <c r="B661" s="20" t="s">
        <v>1002</v>
      </c>
      <c r="C661" s="20" t="s">
        <v>7008</v>
      </c>
      <c r="D661" s="2" t="s">
        <v>42</v>
      </c>
      <c r="E661" s="6" t="str">
        <f>LOOKUP(2,1/(MCQ!C:C=B661),MCQ!H:H)</f>
        <v>25.00</v>
      </c>
      <c r="F661" s="6" t="e">
        <f>LOOKUP(2,1/(Debugging!C:C=B661),Debugging!H:H)</f>
        <v>#N/A</v>
      </c>
      <c r="G661" s="6" t="str">
        <f>LOOKUP(2,1/(Coding!C:C=B661),Coding!H:H)</f>
        <v>25.00</v>
      </c>
      <c r="H661" s="8" t="e">
        <f>E661+F661+G661</f>
        <v>#N/A</v>
      </c>
      <c r="I661" s="4" t="str">
        <f>IF(J661&lt;&gt;"Complete","Not Active",IF(H661&gt;=75,"Good",IF(H661&gt;=50,"Satisfactory",IF(H661&gt;=25,"Need Attention","Intervention"))))</f>
        <v>Not Active</v>
      </c>
      <c r="J661" s="4" t="str">
        <f>IF(COUNTIF(E661:G661,"#N/A")=3,"Not Attempted",IF(OR(ISNA(E661),ISNA(F661),ISNA(G661)),"NotCompleted","Complete"))</f>
        <v>NotCompleted</v>
      </c>
    </row>
    <row r="662" spans="1:10" ht="15.6" x14ac:dyDescent="0.3">
      <c r="A662" s="17" t="s">
        <v>5488</v>
      </c>
      <c r="B662" s="20" t="s">
        <v>1004</v>
      </c>
      <c r="C662" s="20" t="s">
        <v>7009</v>
      </c>
      <c r="D662" s="2" t="s">
        <v>22</v>
      </c>
      <c r="E662" s="6" t="str">
        <f>LOOKUP(2,1/(MCQ!C:C=B662),MCQ!H:H)</f>
        <v>17.00</v>
      </c>
      <c r="F662" s="6" t="e">
        <v>#N/A</v>
      </c>
      <c r="G662" s="6" t="str">
        <f>LOOKUP(2,1/(Coding!C:C=B662),Coding!H:H)</f>
        <v>25.00</v>
      </c>
      <c r="H662" s="8" t="e">
        <f>E662+F662+G662</f>
        <v>#N/A</v>
      </c>
      <c r="I662" s="4" t="str">
        <f>IF(J662&lt;&gt;"Complete","Not Active",IF(H662&gt;=75,"Good",IF(H662&gt;=50,"Satisfactory",IF(H662&gt;=25,"Need Attention","Intervention"))))</f>
        <v>Not Active</v>
      </c>
      <c r="J662" s="4" t="str">
        <f>IF(COUNTIF(E662:G662,"#N/A")=3,"Not Attempted",IF(OR(ISNA(E662),ISNA(F662),ISNA(G662)),"NotCompleted","Complete"))</f>
        <v>NotCompleted</v>
      </c>
    </row>
    <row r="663" spans="1:10" ht="15.6" x14ac:dyDescent="0.3">
      <c r="A663" s="17" t="s">
        <v>5488</v>
      </c>
      <c r="B663" s="20" t="s">
        <v>1006</v>
      </c>
      <c r="C663" s="20" t="s">
        <v>7010</v>
      </c>
      <c r="D663" s="2" t="s">
        <v>28</v>
      </c>
      <c r="E663" s="6" t="str">
        <f>LOOKUP(2,1/(MCQ!C:C=B663),MCQ!H:H)</f>
        <v>22.00</v>
      </c>
      <c r="F663" s="6" t="str">
        <f>LOOKUP(2,1/(Debugging!C:C=B663),Debugging!H:H)</f>
        <v>47.00</v>
      </c>
      <c r="G663" s="6" t="str">
        <f>LOOKUP(2,1/(Coding!C:C=B663),Coding!H:H)</f>
        <v>25.00</v>
      </c>
      <c r="H663" s="8">
        <f>E663+F663+G663</f>
        <v>94</v>
      </c>
      <c r="I663" s="4" t="str">
        <f>IF(J663&lt;&gt;"Complete","Not Active",IF(H663&gt;=75,"Good",IF(H663&gt;=50,"Satisfactory",IF(H663&gt;=25,"Need Attention","Intervention"))))</f>
        <v>Good</v>
      </c>
      <c r="J663" s="4" t="str">
        <f>IF(COUNTIF(E663:G663,"#N/A")=3,"Not Attempted",IF(OR(ISNA(E663),ISNA(F663),ISNA(G663)),"NotCompleted","Complete"))</f>
        <v>Complete</v>
      </c>
    </row>
    <row r="664" spans="1:10" ht="15.6" x14ac:dyDescent="0.3">
      <c r="A664" s="17" t="s">
        <v>5488</v>
      </c>
      <c r="B664" s="20" t="s">
        <v>1008</v>
      </c>
      <c r="C664" s="20" t="s">
        <v>7011</v>
      </c>
      <c r="D664" s="2" t="s">
        <v>31</v>
      </c>
      <c r="E664" s="6" t="str">
        <f>LOOKUP(2,1/(MCQ!C:C=B664),MCQ!H:H)</f>
        <v>24.00</v>
      </c>
      <c r="F664" s="6" t="str">
        <f>LOOKUP(2,1/(Debugging!C:C=B664),Debugging!H:H)</f>
        <v>40.00</v>
      </c>
      <c r="G664" s="6" t="str">
        <f>LOOKUP(2,1/(Coding!C:C=B664),Coding!H:H)</f>
        <v>25.00</v>
      </c>
      <c r="H664" s="8">
        <f>E664+F664+G664</f>
        <v>89</v>
      </c>
      <c r="I664" s="4" t="str">
        <f>IF(J664&lt;&gt;"Complete","Not Active",IF(H664&gt;=75,"Good",IF(H664&gt;=50,"Satisfactory",IF(H664&gt;=25,"Need Attention","Intervention"))))</f>
        <v>Good</v>
      </c>
      <c r="J664" s="4" t="str">
        <f>IF(COUNTIF(E664:G664,"#N/A")=3,"Not Attempted",IF(OR(ISNA(E664),ISNA(F664),ISNA(G664)),"NotCompleted","Complete"))</f>
        <v>Complete</v>
      </c>
    </row>
    <row r="665" spans="1:10" ht="15.6" x14ac:dyDescent="0.3">
      <c r="A665" s="17" t="s">
        <v>5488</v>
      </c>
      <c r="B665" s="20" t="s">
        <v>1010</v>
      </c>
      <c r="C665" s="20" t="s">
        <v>7012</v>
      </c>
      <c r="D665" s="2" t="s">
        <v>31</v>
      </c>
      <c r="E665" s="6" t="str">
        <f>LOOKUP(2,1/(MCQ!C:C=B665),MCQ!H:H)</f>
        <v>24.00</v>
      </c>
      <c r="F665" s="6" t="str">
        <f>LOOKUP(2,1/(Debugging!C:C=B665),Debugging!H:H)</f>
        <v>46.00</v>
      </c>
      <c r="G665" s="6" t="str">
        <f>LOOKUP(2,1/(Coding!C:C=B665),Coding!H:H)</f>
        <v>25.00</v>
      </c>
      <c r="H665" s="8">
        <f>E665+F665+G665</f>
        <v>95</v>
      </c>
      <c r="I665" s="4" t="str">
        <f>IF(J665&lt;&gt;"Complete","Not Active",IF(H665&gt;=75,"Good",IF(H665&gt;=50,"Satisfactory",IF(H665&gt;=25,"Need Attention","Intervention"))))</f>
        <v>Good</v>
      </c>
      <c r="J665" s="4" t="str">
        <f>IF(COUNTIF(E665:G665,"#N/A")=3,"Not Attempted",IF(OR(ISNA(E665),ISNA(F665),ISNA(G665)),"NotCompleted","Complete"))</f>
        <v>Complete</v>
      </c>
    </row>
    <row r="666" spans="1:10" ht="15.6" x14ac:dyDescent="0.3">
      <c r="A666" s="17" t="s">
        <v>5488</v>
      </c>
      <c r="B666" s="20" t="s">
        <v>1012</v>
      </c>
      <c r="C666" s="20" t="s">
        <v>7013</v>
      </c>
      <c r="D666" s="2" t="s">
        <v>8</v>
      </c>
      <c r="E666" s="6" t="str">
        <f>LOOKUP(2,1/(MCQ!C:C=B666),MCQ!H:H)</f>
        <v>25.00</v>
      </c>
      <c r="F666" s="6" t="str">
        <f>LOOKUP(2,1/(Debugging!C:C=B666),Debugging!H:H)</f>
        <v>20.00</v>
      </c>
      <c r="G666" s="6" t="str">
        <f>LOOKUP(2,1/(Coding!C:C=B666),Coding!H:H)</f>
        <v>25.00</v>
      </c>
      <c r="H666" s="8">
        <f>E666+F666+G666</f>
        <v>70</v>
      </c>
      <c r="I666" s="4" t="str">
        <f>IF(J666&lt;&gt;"Complete","Not Active",IF(H666&gt;=75,"Good",IF(H666&gt;=50,"Satisfactory",IF(H666&gt;=25,"Need Attention","Intervention"))))</f>
        <v>Satisfactory</v>
      </c>
      <c r="J666" s="4" t="str">
        <f>IF(COUNTIF(E666:G666,"#N/A")=3,"Not Attempted",IF(OR(ISNA(E666),ISNA(F666),ISNA(G666)),"NotCompleted","Complete"))</f>
        <v>Complete</v>
      </c>
    </row>
    <row r="667" spans="1:10" ht="15.6" x14ac:dyDescent="0.3">
      <c r="A667" s="17" t="s">
        <v>5488</v>
      </c>
      <c r="B667" s="20" t="s">
        <v>1014</v>
      </c>
      <c r="C667" s="20" t="s">
        <v>7014</v>
      </c>
      <c r="D667" s="2" t="s">
        <v>8</v>
      </c>
      <c r="E667" s="6" t="str">
        <f>LOOKUP(2,1/(MCQ!C:C=B667),MCQ!H:H)</f>
        <v>22.00</v>
      </c>
      <c r="F667" s="6" t="str">
        <f>LOOKUP(2,1/(Debugging!C:C=B667),Debugging!H:H)</f>
        <v>43.00</v>
      </c>
      <c r="G667" s="6" t="str">
        <f>LOOKUP(2,1/(Coding!C:C=B667),Coding!H:H)</f>
        <v>25.00</v>
      </c>
      <c r="H667" s="8">
        <f>E667+F667+G667</f>
        <v>90</v>
      </c>
      <c r="I667" s="4" t="str">
        <f>IF(J667&lt;&gt;"Complete","Not Active",IF(H667&gt;=75,"Good",IF(H667&gt;=50,"Satisfactory",IF(H667&gt;=25,"Need Attention","Intervention"))))</f>
        <v>Good</v>
      </c>
      <c r="J667" s="4" t="str">
        <f>IF(COUNTIF(E667:G667,"#N/A")=3,"Not Attempted",IF(OR(ISNA(E667),ISNA(F667),ISNA(G667)),"NotCompleted","Complete"))</f>
        <v>Complete</v>
      </c>
    </row>
    <row r="668" spans="1:10" ht="15.6" x14ac:dyDescent="0.3">
      <c r="A668" s="17" t="s">
        <v>5488</v>
      </c>
      <c r="B668" s="20" t="s">
        <v>1016</v>
      </c>
      <c r="C668" s="20" t="s">
        <v>7536</v>
      </c>
      <c r="D668" s="23"/>
      <c r="E668" s="6" t="str">
        <f>LOOKUP(2,1/(MCQ!C:C=B668),MCQ!H:H)</f>
        <v>23.00</v>
      </c>
      <c r="F668" s="6" t="str">
        <f>LOOKUP(2,1/(Debugging!C:C=B668),Debugging!H:H)</f>
        <v>42.00</v>
      </c>
      <c r="G668" s="6" t="str">
        <f>LOOKUP(2,1/(Coding!C:C=B668),Coding!H:H)</f>
        <v>17.00</v>
      </c>
      <c r="H668" s="8">
        <f>E668+F668+G668</f>
        <v>82</v>
      </c>
      <c r="I668" s="4" t="str">
        <f>IF(J668&lt;&gt;"Complete","Not Active",IF(H668&gt;=75,"Good",IF(H668&gt;=50,"Satisfactory",IF(H668&gt;=25,"Need Attention","Intervention"))))</f>
        <v>Good</v>
      </c>
      <c r="J668" s="4" t="str">
        <f>IF(COUNTIF(E668:G668,"#N/A")=3,"Not Attempted",IF(OR(ISNA(E668),ISNA(F668),ISNA(G668)),"NotCompleted","Complete"))</f>
        <v>Complete</v>
      </c>
    </row>
    <row r="669" spans="1:10" ht="15.6" x14ac:dyDescent="0.3">
      <c r="A669" s="17" t="s">
        <v>5488</v>
      </c>
      <c r="B669" s="20" t="s">
        <v>1018</v>
      </c>
      <c r="C669" s="20" t="s">
        <v>7537</v>
      </c>
      <c r="D669" s="23"/>
      <c r="E669" s="6" t="str">
        <f>LOOKUP(2,1/(MCQ!C:C=B669),MCQ!H:H)</f>
        <v>25.00</v>
      </c>
      <c r="F669" s="6" t="str">
        <f>LOOKUP(2,1/(Debugging!C:C=B669),Debugging!H:H)</f>
        <v>50.00</v>
      </c>
      <c r="G669" s="6" t="str">
        <f>LOOKUP(2,1/(Coding!C:C=B669),Coding!H:H)</f>
        <v>25.00</v>
      </c>
      <c r="H669" s="8">
        <f>E669+F669+G669</f>
        <v>100</v>
      </c>
      <c r="I669" s="4" t="str">
        <f>IF(J669&lt;&gt;"Complete","Not Active",IF(H669&gt;=75,"Good",IF(H669&gt;=50,"Satisfactory",IF(H669&gt;=25,"Need Attention","Intervention"))))</f>
        <v>Good</v>
      </c>
      <c r="J669" s="4" t="str">
        <f>IF(COUNTIF(E669:G669,"#N/A")=3,"Not Attempted",IF(OR(ISNA(E669),ISNA(F669),ISNA(G669)),"NotCompleted","Complete"))</f>
        <v>Complete</v>
      </c>
    </row>
    <row r="670" spans="1:10" ht="15.6" x14ac:dyDescent="0.3">
      <c r="A670" s="17" t="s">
        <v>5488</v>
      </c>
      <c r="B670" s="20" t="s">
        <v>1021</v>
      </c>
      <c r="C670" s="20" t="s">
        <v>7538</v>
      </c>
      <c r="D670" s="23"/>
      <c r="E670" s="6" t="str">
        <f>LOOKUP(2,1/(MCQ!C:C=B670),MCQ!H:H)</f>
        <v>25.00</v>
      </c>
      <c r="F670" s="6" t="str">
        <f>LOOKUP(2,1/(Debugging!C:C=B670),Debugging!H:H)</f>
        <v>40.00</v>
      </c>
      <c r="G670" s="6" t="str">
        <f>LOOKUP(2,1/(Coding!C:C=B670),Coding!H:H)</f>
        <v>22.50</v>
      </c>
      <c r="H670" s="8">
        <f>E670+F670+G670</f>
        <v>87.5</v>
      </c>
      <c r="I670" s="4" t="str">
        <f>IF(J670&lt;&gt;"Complete","Not Active",IF(H670&gt;=75,"Good",IF(H670&gt;=50,"Satisfactory",IF(H670&gt;=25,"Need Attention","Intervention"))))</f>
        <v>Good</v>
      </c>
      <c r="J670" s="4" t="str">
        <f>IF(COUNTIF(E670:G670,"#N/A")=3,"Not Attempted",IF(OR(ISNA(E670),ISNA(F670),ISNA(G670)),"NotCompleted","Complete"))</f>
        <v>Complete</v>
      </c>
    </row>
    <row r="671" spans="1:10" ht="15.6" x14ac:dyDescent="0.3">
      <c r="A671" s="17" t="s">
        <v>5488</v>
      </c>
      <c r="B671" s="20" t="s">
        <v>1023</v>
      </c>
      <c r="C671" s="20" t="s">
        <v>7539</v>
      </c>
      <c r="D671" s="23"/>
      <c r="E671" s="6" t="str">
        <f>LOOKUP(2,1/(MCQ!C:C=B671),MCQ!H:H)</f>
        <v>25.00</v>
      </c>
      <c r="F671" s="6" t="str">
        <f>LOOKUP(2,1/(Debugging!C:C=B671),Debugging!H:H)</f>
        <v>35.00</v>
      </c>
      <c r="G671" s="6" t="e">
        <f>LOOKUP(2,1/(Coding!C:C=B671),Coding!H:H)</f>
        <v>#N/A</v>
      </c>
      <c r="H671" s="8" t="e">
        <f>E671+F671+G671</f>
        <v>#N/A</v>
      </c>
      <c r="I671" s="4" t="str">
        <f>IF(J671&lt;&gt;"Complete","Not Active",IF(H671&gt;=75,"Good",IF(H671&gt;=50,"Satisfactory",IF(H671&gt;=25,"Need Attention","Intervention"))))</f>
        <v>Not Active</v>
      </c>
      <c r="J671" s="4" t="str">
        <f>IF(COUNTIF(E671:G671,"#N/A")=3,"Not Attempted",IF(OR(ISNA(E671),ISNA(F671),ISNA(G671)),"NotCompleted","Complete"))</f>
        <v>NotCompleted</v>
      </c>
    </row>
    <row r="672" spans="1:10" ht="15.6" x14ac:dyDescent="0.3">
      <c r="A672" s="17" t="s">
        <v>5488</v>
      </c>
      <c r="B672" s="20" t="s">
        <v>1025</v>
      </c>
      <c r="C672" s="20" t="s">
        <v>7275</v>
      </c>
      <c r="D672" s="23"/>
      <c r="E672" s="6" t="str">
        <f>LOOKUP(2,1/(MCQ!C:C=B672),MCQ!H:H)</f>
        <v>19.00</v>
      </c>
      <c r="F672" s="6" t="str">
        <f>LOOKUP(2,1/(Debugging!C:C=B672),Debugging!H:H)</f>
        <v>40.00</v>
      </c>
      <c r="G672" s="6" t="str">
        <f>LOOKUP(2,1/(Coding!C:C=B672),Coding!H:H)</f>
        <v>10.00</v>
      </c>
      <c r="H672" s="8">
        <f>E672+F672+G672</f>
        <v>69</v>
      </c>
      <c r="I672" s="4" t="str">
        <f>IF(J672&lt;&gt;"Complete","Not Active",IF(H672&gt;=75,"Good",IF(H672&gt;=50,"Satisfactory",IF(H672&gt;=25,"Need Attention","Intervention"))))</f>
        <v>Satisfactory</v>
      </c>
      <c r="J672" s="4" t="str">
        <f>IF(COUNTIF(E672:G672,"#N/A")=3,"Not Attempted",IF(OR(ISNA(E672),ISNA(F672),ISNA(G672)),"NotCompleted","Complete"))</f>
        <v>Complete</v>
      </c>
    </row>
    <row r="673" spans="1:10" ht="15.6" x14ac:dyDescent="0.3">
      <c r="A673" s="17" t="s">
        <v>5488</v>
      </c>
      <c r="B673" s="20" t="s">
        <v>1026</v>
      </c>
      <c r="C673" s="20" t="s">
        <v>7540</v>
      </c>
      <c r="D673" s="23"/>
      <c r="E673" s="6" t="str">
        <f>LOOKUP(2,1/(MCQ!C:C=B673),MCQ!H:H)</f>
        <v>21.00</v>
      </c>
      <c r="F673" s="6" t="str">
        <f>LOOKUP(2,1/(Debugging!C:C=B673),Debugging!H:H)</f>
        <v>0.00</v>
      </c>
      <c r="G673" s="6" t="str">
        <f>LOOKUP(2,1/(Coding!C:C=B673),Coding!H:H)</f>
        <v>25.00</v>
      </c>
      <c r="H673" s="8">
        <f>E673+F673+G673</f>
        <v>46</v>
      </c>
      <c r="I673" s="4" t="str">
        <f>IF(J673&lt;&gt;"Complete","Not Active",IF(H673&gt;=75,"Good",IF(H673&gt;=50,"Satisfactory",IF(H673&gt;=25,"Need Attention","Intervention"))))</f>
        <v>Need Attention</v>
      </c>
      <c r="J673" s="4" t="str">
        <f>IF(COUNTIF(E673:G673,"#N/A")=3,"Not Attempted",IF(OR(ISNA(E673),ISNA(F673),ISNA(G673)),"NotCompleted","Complete"))</f>
        <v>Complete</v>
      </c>
    </row>
    <row r="674" spans="1:10" ht="15.6" x14ac:dyDescent="0.3">
      <c r="A674" s="17" t="s">
        <v>5488</v>
      </c>
      <c r="B674" s="20" t="s">
        <v>1028</v>
      </c>
      <c r="C674" s="20" t="s">
        <v>7541</v>
      </c>
      <c r="D674" s="23"/>
      <c r="E674" s="6" t="str">
        <f>LOOKUP(2,1/(MCQ!C:C=B674),MCQ!H:H)</f>
        <v>22.00</v>
      </c>
      <c r="F674" s="6" t="str">
        <f>LOOKUP(2,1/(Debugging!C:C=B674),Debugging!H:H)</f>
        <v>47.00</v>
      </c>
      <c r="G674" s="6" t="str">
        <f>LOOKUP(2,1/(Coding!C:C=B674),Coding!H:H)</f>
        <v>23.50</v>
      </c>
      <c r="H674" s="8">
        <f>E674+F674+G674</f>
        <v>92.5</v>
      </c>
      <c r="I674" s="4" t="str">
        <f>IF(J674&lt;&gt;"Complete","Not Active",IF(H674&gt;=75,"Good",IF(H674&gt;=50,"Satisfactory",IF(H674&gt;=25,"Need Attention","Intervention"))))</f>
        <v>Good</v>
      </c>
      <c r="J674" s="4" t="str">
        <f>IF(COUNTIF(E674:G674,"#N/A")=3,"Not Attempted",IF(OR(ISNA(E674),ISNA(F674),ISNA(G674)),"NotCompleted","Complete"))</f>
        <v>Complete</v>
      </c>
    </row>
    <row r="675" spans="1:10" ht="15.6" x14ac:dyDescent="0.3">
      <c r="A675" s="17" t="s">
        <v>5488</v>
      </c>
      <c r="B675" s="20" t="s">
        <v>1030</v>
      </c>
      <c r="C675" s="20" t="s">
        <v>7542</v>
      </c>
      <c r="D675" s="23"/>
      <c r="E675" s="6" t="str">
        <f>LOOKUP(2,1/(MCQ!C:C=B675),MCQ!H:H)</f>
        <v>24.00</v>
      </c>
      <c r="F675" s="6" t="str">
        <f>LOOKUP(2,1/(Debugging!C:C=B675),Debugging!H:H)</f>
        <v>50.00</v>
      </c>
      <c r="G675" s="6" t="str">
        <f>LOOKUP(2,1/(Coding!C:C=B675),Coding!H:H)</f>
        <v>24.00</v>
      </c>
      <c r="H675" s="8">
        <f>E675+F675+G675</f>
        <v>98</v>
      </c>
      <c r="I675" s="4" t="str">
        <f>IF(J675&lt;&gt;"Complete","Not Active",IF(H675&gt;=75,"Good",IF(H675&gt;=50,"Satisfactory",IF(H675&gt;=25,"Need Attention","Intervention"))))</f>
        <v>Good</v>
      </c>
      <c r="J675" s="4" t="str">
        <f>IF(COUNTIF(E675:G675,"#N/A")=3,"Not Attempted",IF(OR(ISNA(E675),ISNA(F675),ISNA(G675)),"NotCompleted","Complete"))</f>
        <v>Complete</v>
      </c>
    </row>
    <row r="676" spans="1:10" ht="15.6" x14ac:dyDescent="0.3">
      <c r="A676" s="17" t="s">
        <v>5488</v>
      </c>
      <c r="B676" s="20" t="s">
        <v>1032</v>
      </c>
      <c r="C676" s="20" t="s">
        <v>7543</v>
      </c>
      <c r="D676" s="23"/>
      <c r="E676" s="6" t="str">
        <f>LOOKUP(2,1/(MCQ!C:C=B676),MCQ!H:H)</f>
        <v>25.00</v>
      </c>
      <c r="F676" s="6" t="str">
        <f>LOOKUP(2,1/(Debugging!C:C=B676),Debugging!H:H)</f>
        <v>49.00</v>
      </c>
      <c r="G676" s="6" t="str">
        <f>LOOKUP(2,1/(Coding!C:C=B676),Coding!H:H)</f>
        <v>25.00</v>
      </c>
      <c r="H676" s="8">
        <f>E676+F676+G676</f>
        <v>99</v>
      </c>
      <c r="I676" s="4" t="str">
        <f>IF(J676&lt;&gt;"Complete","Not Active",IF(H676&gt;=75,"Good",IF(H676&gt;=50,"Satisfactory",IF(H676&gt;=25,"Need Attention","Intervention"))))</f>
        <v>Good</v>
      </c>
      <c r="J676" s="4" t="str">
        <f>IF(COUNTIF(E676:G676,"#N/A")=3,"Not Attempted",IF(OR(ISNA(E676),ISNA(F676),ISNA(G676)),"NotCompleted","Complete"))</f>
        <v>Complete</v>
      </c>
    </row>
    <row r="677" spans="1:10" ht="15.6" x14ac:dyDescent="0.3">
      <c r="A677" s="17" t="s">
        <v>5488</v>
      </c>
      <c r="B677" s="20" t="s">
        <v>1034</v>
      </c>
      <c r="C677" s="20" t="s">
        <v>7544</v>
      </c>
      <c r="D677" s="23"/>
      <c r="E677" s="6" t="str">
        <f>LOOKUP(2,1/(MCQ!C:C=B677),MCQ!H:H)</f>
        <v>25.00</v>
      </c>
      <c r="F677" s="6" t="str">
        <f>LOOKUP(2,1/(Debugging!C:C=B677),Debugging!H:H)</f>
        <v>49.00</v>
      </c>
      <c r="G677" s="6" t="str">
        <f>LOOKUP(2,1/(Coding!C:C=B677),Coding!H:H)</f>
        <v>25.00</v>
      </c>
      <c r="H677" s="8">
        <f>E677+F677+G677</f>
        <v>99</v>
      </c>
      <c r="I677" s="4" t="str">
        <f>IF(J677&lt;&gt;"Complete","Not Active",IF(H677&gt;=75,"Good",IF(H677&gt;=50,"Satisfactory",IF(H677&gt;=25,"Need Attention","Intervention"))))</f>
        <v>Good</v>
      </c>
      <c r="J677" s="4" t="str">
        <f>IF(COUNTIF(E677:G677,"#N/A")=3,"Not Attempted",IF(OR(ISNA(E677),ISNA(F677),ISNA(G677)),"NotCompleted","Complete"))</f>
        <v>Complete</v>
      </c>
    </row>
    <row r="678" spans="1:10" ht="15.6" x14ac:dyDescent="0.3">
      <c r="A678" s="17" t="s">
        <v>5488</v>
      </c>
      <c r="B678" s="20" t="s">
        <v>6023</v>
      </c>
      <c r="C678" s="20" t="s">
        <v>7545</v>
      </c>
      <c r="D678" s="23"/>
      <c r="E678" s="6" t="str">
        <f>LOOKUP(2,1/(MCQ!C:C=B678),MCQ!H:H)</f>
        <v>25.00</v>
      </c>
      <c r="F678" s="6" t="e">
        <v>#N/A</v>
      </c>
      <c r="G678" s="6" t="e">
        <f>LOOKUP(2,1/(Coding!C:C=B678),Coding!H:H)</f>
        <v>#N/A</v>
      </c>
      <c r="H678" s="8" t="e">
        <f>E678+F678+G678</f>
        <v>#N/A</v>
      </c>
      <c r="I678" s="4" t="str">
        <f>IF(J678&lt;&gt;"Complete","Not Active",IF(H678&gt;=75,"Good",IF(H678&gt;=50,"Satisfactory",IF(H678&gt;=25,"Need Attention","Intervention"))))</f>
        <v>Not Active</v>
      </c>
      <c r="J678" s="4" t="str">
        <f>IF(COUNTIF(E678:G678,"#N/A")=3,"Not Attempted",IF(OR(ISNA(E678),ISNA(F678),ISNA(G678)),"NotCompleted","Complete"))</f>
        <v>NotCompleted</v>
      </c>
    </row>
    <row r="679" spans="1:10" ht="15.6" x14ac:dyDescent="0.3">
      <c r="A679" s="17" t="s">
        <v>5488</v>
      </c>
      <c r="B679" s="20" t="s">
        <v>1036</v>
      </c>
      <c r="C679" s="20" t="s">
        <v>7546</v>
      </c>
      <c r="D679" s="23"/>
      <c r="E679" s="6" t="str">
        <f>LOOKUP(2,1/(MCQ!C:C=B679),MCQ!H:H)</f>
        <v>23.00</v>
      </c>
      <c r="F679" s="6" t="e">
        <f>LOOKUP(2,1/(Debugging!C:C=B679),Debugging!H:H)</f>
        <v>#N/A</v>
      </c>
      <c r="G679" s="6" t="str">
        <f>LOOKUP(2,1/(Coding!C:C=B679),Coding!H:H)</f>
        <v>25.00</v>
      </c>
      <c r="H679" s="8" t="e">
        <f>E679+F679+G679</f>
        <v>#N/A</v>
      </c>
      <c r="I679" s="4" t="str">
        <f>IF(J679&lt;&gt;"Complete","Not Active",IF(H679&gt;=75,"Good",IF(H679&gt;=50,"Satisfactory",IF(H679&gt;=25,"Need Attention","Intervention"))))</f>
        <v>Not Active</v>
      </c>
      <c r="J679" s="4" t="str">
        <f>IF(COUNTIF(E679:G679,"#N/A")=3,"Not Attempted",IF(OR(ISNA(E679),ISNA(F679),ISNA(G679)),"NotCompleted","Complete"))</f>
        <v>NotCompleted</v>
      </c>
    </row>
    <row r="680" spans="1:10" ht="15.6" x14ac:dyDescent="0.3">
      <c r="A680" s="17" t="s">
        <v>5488</v>
      </c>
      <c r="B680" s="20" t="s">
        <v>6040</v>
      </c>
      <c r="C680" s="20" t="s">
        <v>7547</v>
      </c>
      <c r="D680" s="23"/>
      <c r="E680" s="6" t="str">
        <f>LOOKUP(2,1/(MCQ!C:C=B680),MCQ!H:H)</f>
        <v>23.00</v>
      </c>
      <c r="F680" s="6" t="e">
        <f>LOOKUP(2,1/(Debugging!C:C=B680),Debugging!H:H)</f>
        <v>#N/A</v>
      </c>
      <c r="G680" s="6" t="e">
        <f>LOOKUP(2,1/(Coding!C:C=B680),Coding!H:H)</f>
        <v>#N/A</v>
      </c>
      <c r="H680" s="8" t="e">
        <f>E680+F680+G680</f>
        <v>#N/A</v>
      </c>
      <c r="I680" s="4" t="str">
        <f>IF(J680&lt;&gt;"Complete","Not Active",IF(H680&gt;=75,"Good",IF(H680&gt;=50,"Satisfactory",IF(H680&gt;=25,"Need Attention","Intervention"))))</f>
        <v>Not Active</v>
      </c>
      <c r="J680" s="4" t="str">
        <f>IF(COUNTIF(E680:G680,"#N/A")=3,"Not Attempted",IF(OR(ISNA(E680),ISNA(F680),ISNA(G680)),"NotCompleted","Complete"))</f>
        <v>NotCompleted</v>
      </c>
    </row>
    <row r="681" spans="1:10" ht="15.6" x14ac:dyDescent="0.3">
      <c r="A681" s="18" t="s">
        <v>5488</v>
      </c>
      <c r="B681" s="20" t="s">
        <v>6584</v>
      </c>
      <c r="C681" s="21" t="s">
        <v>7548</v>
      </c>
      <c r="D681" s="23"/>
      <c r="E681" s="6" t="e">
        <f>LOOKUP(2,1/(MCQ!C:C=B681),MCQ!H:H)</f>
        <v>#N/A</v>
      </c>
      <c r="F681" s="6" t="e">
        <f>LOOKUP(2,1/(Debugging!C:C=B681),Debugging!H:H)</f>
        <v>#N/A</v>
      </c>
      <c r="G681" s="6" t="e">
        <f>LOOKUP(2,1/(Coding!C:C=B681),Coding!H:H)</f>
        <v>#N/A</v>
      </c>
      <c r="H681" s="8" t="e">
        <f>E681+F681+G681</f>
        <v>#N/A</v>
      </c>
      <c r="I681" s="4" t="str">
        <f>IF(J681&lt;&gt;"Complete","Not Active",IF(H681&gt;=75,"Good",IF(H681&gt;=50,"Satisfactory",IF(H681&gt;=25,"Need Attention","Intervention"))))</f>
        <v>Not Active</v>
      </c>
      <c r="J681" s="4" t="str">
        <f>IF(COUNTIF(E681:G681,"#N/A")=3,"Not Attempted",IF(OR(ISNA(E681),ISNA(F681),ISNA(G681)),"NotCompleted","Complete"))</f>
        <v>Not Attempted</v>
      </c>
    </row>
    <row r="682" spans="1:10" ht="15.6" x14ac:dyDescent="0.3">
      <c r="A682" s="18" t="s">
        <v>5488</v>
      </c>
      <c r="B682" s="20" t="s">
        <v>6585</v>
      </c>
      <c r="C682" s="21" t="s">
        <v>7549</v>
      </c>
      <c r="D682" s="23"/>
      <c r="E682" s="6" t="e">
        <f>LOOKUP(2,1/(MCQ!C:C=B682),MCQ!H:H)</f>
        <v>#N/A</v>
      </c>
      <c r="F682" s="6" t="e">
        <f>LOOKUP(2,1/(Debugging!C:C=B682),Debugging!H:H)</f>
        <v>#N/A</v>
      </c>
      <c r="G682" s="6" t="e">
        <f>LOOKUP(2,1/(Coding!C:C=B682),Coding!H:H)</f>
        <v>#N/A</v>
      </c>
      <c r="H682" s="8" t="e">
        <f>E682+F682+G682</f>
        <v>#N/A</v>
      </c>
      <c r="I682" s="4" t="str">
        <f>IF(J682&lt;&gt;"Complete","Not Active",IF(H682&gt;=75,"Good",IF(H682&gt;=50,"Satisfactory",IF(H682&gt;=25,"Need Attention","Intervention"))))</f>
        <v>Not Active</v>
      </c>
      <c r="J682" s="4" t="str">
        <f>IF(COUNTIF(E682:G682,"#N/A")=3,"Not Attempted",IF(OR(ISNA(E682),ISNA(F682),ISNA(G682)),"NotCompleted","Complete"))</f>
        <v>Not Attempted</v>
      </c>
    </row>
    <row r="683" spans="1:10" ht="15.6" x14ac:dyDescent="0.3">
      <c r="A683" s="18" t="s">
        <v>5488</v>
      </c>
      <c r="B683" s="20" t="s">
        <v>1060</v>
      </c>
      <c r="C683" s="21" t="s">
        <v>7550</v>
      </c>
      <c r="D683" s="23"/>
      <c r="E683" s="6" t="str">
        <f>LOOKUP(2,1/(MCQ!C:C=B683),MCQ!H:H)</f>
        <v>25.00</v>
      </c>
      <c r="F683" s="6" t="e">
        <f>LOOKUP(2,1/(Debugging!C:C=B683),Debugging!H:H)</f>
        <v>#N/A</v>
      </c>
      <c r="G683" s="6" t="e">
        <f>LOOKUP(2,1/(Coding!C:C=B683),Coding!H:H)</f>
        <v>#N/A</v>
      </c>
      <c r="H683" s="8" t="e">
        <f>E683+F683+G683</f>
        <v>#N/A</v>
      </c>
      <c r="I683" s="4" t="str">
        <f>IF(J683&lt;&gt;"Complete","Not Active",IF(H683&gt;=75,"Good",IF(H683&gt;=50,"Satisfactory",IF(H683&gt;=25,"Need Attention","Intervention"))))</f>
        <v>Not Active</v>
      </c>
      <c r="J683" s="4" t="str">
        <f>IF(COUNTIF(E683:G683,"#N/A")=3,"Not Attempted",IF(OR(ISNA(E683),ISNA(F683),ISNA(G683)),"NotCompleted","Complete"))</f>
        <v>NotCompleted</v>
      </c>
    </row>
    <row r="684" spans="1:10" ht="15" customHeight="1" x14ac:dyDescent="0.3">
      <c r="A684" s="18" t="s">
        <v>5488</v>
      </c>
      <c r="B684" s="20" t="s">
        <v>6586</v>
      </c>
      <c r="C684" s="21" t="s">
        <v>7551</v>
      </c>
      <c r="D684" s="23"/>
      <c r="E684" s="6" t="e">
        <f>LOOKUP(2,1/(MCQ!C:C=B684),MCQ!H:H)</f>
        <v>#N/A</v>
      </c>
      <c r="F684" s="6" t="e">
        <f>LOOKUP(2,1/(Debugging!C:C=B684),Debugging!H:H)</f>
        <v>#N/A</v>
      </c>
      <c r="G684" s="6" t="e">
        <f>LOOKUP(2,1/(Coding!C:C=B684),Coding!H:H)</f>
        <v>#N/A</v>
      </c>
      <c r="H684" s="8" t="e">
        <f>E684+F684+G684</f>
        <v>#N/A</v>
      </c>
      <c r="I684" s="4" t="str">
        <f>IF(J684&lt;&gt;"Complete","Not Active",IF(H684&gt;=75,"Good",IF(H684&gt;=50,"Satisfactory",IF(H684&gt;=25,"Need Attention","Intervention"))))</f>
        <v>Not Active</v>
      </c>
      <c r="J684" s="4" t="str">
        <f>IF(COUNTIF(E684:G684,"#N/A")=3,"Not Attempted",IF(OR(ISNA(E684),ISNA(F684),ISNA(G684)),"NotCompleted","Complete"))</f>
        <v>Not Attempted</v>
      </c>
    </row>
    <row r="685" spans="1:10" ht="15" customHeight="1" x14ac:dyDescent="0.3">
      <c r="A685" s="18" t="s">
        <v>5488</v>
      </c>
      <c r="B685" s="20" t="s">
        <v>1062</v>
      </c>
      <c r="C685" s="21" t="s">
        <v>7552</v>
      </c>
      <c r="D685" s="23"/>
      <c r="E685" s="6" t="str">
        <f>LOOKUP(2,1/(MCQ!C:C=B685),MCQ!H:H)</f>
        <v>22.00</v>
      </c>
      <c r="F685" s="6" t="str">
        <f>LOOKUP(2,1/(Debugging!C:C=B685),Debugging!H:H)</f>
        <v>42.00</v>
      </c>
      <c r="G685" s="6" t="str">
        <f>LOOKUP(2,1/(Coding!C:C=B685),Coding!H:H)</f>
        <v>25.00</v>
      </c>
      <c r="H685" s="8">
        <f>E685+F685+G685</f>
        <v>89</v>
      </c>
      <c r="I685" s="4" t="str">
        <f>IF(J685&lt;&gt;"Complete","Not Active",IF(H685&gt;=75,"Good",IF(H685&gt;=50,"Satisfactory",IF(H685&gt;=25,"Need Attention","Intervention"))))</f>
        <v>Good</v>
      </c>
      <c r="J685" s="4" t="str">
        <f>IF(COUNTIF(E685:G685,"#N/A")=3,"Not Attempted",IF(OR(ISNA(E685),ISNA(F685),ISNA(G685)),"NotCompleted","Complete"))</f>
        <v>Complete</v>
      </c>
    </row>
    <row r="686" spans="1:10" ht="15" customHeight="1" x14ac:dyDescent="0.3">
      <c r="A686" s="18" t="s">
        <v>5488</v>
      </c>
      <c r="B686" s="20" t="s">
        <v>1064</v>
      </c>
      <c r="C686" s="21" t="s">
        <v>7553</v>
      </c>
      <c r="D686" s="23"/>
      <c r="E686" s="6" t="str">
        <f>LOOKUP(2,1/(MCQ!C:C=B686),MCQ!H:H)</f>
        <v>4.00</v>
      </c>
      <c r="F686" s="6" t="e">
        <v>#N/A</v>
      </c>
      <c r="G686" s="6" t="str">
        <f>LOOKUP(2,1/(Coding!C:C=B686),Coding!H:H)</f>
        <v>25.00</v>
      </c>
      <c r="H686" s="8" t="e">
        <f>E686+F686+G686</f>
        <v>#N/A</v>
      </c>
      <c r="I686" s="4" t="str">
        <f>IF(J686&lt;&gt;"Complete","Not Active",IF(H686&gt;=75,"Good",IF(H686&gt;=50,"Satisfactory",IF(H686&gt;=25,"Need Attention","Intervention"))))</f>
        <v>Not Active</v>
      </c>
      <c r="J686" s="4" t="str">
        <f>IF(COUNTIF(E686:G686,"#N/A")=3,"Not Attempted",IF(OR(ISNA(E686),ISNA(F686),ISNA(G686)),"NotCompleted","Complete"))</f>
        <v>NotCompleted</v>
      </c>
    </row>
    <row r="687" spans="1:10" ht="15" customHeight="1" x14ac:dyDescent="0.3">
      <c r="A687" s="16" t="s">
        <v>5489</v>
      </c>
      <c r="B687" s="20" t="s">
        <v>6474</v>
      </c>
      <c r="C687" s="20" t="s">
        <v>7188</v>
      </c>
      <c r="D687" s="2" t="s">
        <v>42</v>
      </c>
      <c r="E687" s="6" t="e">
        <f>LOOKUP(2,1/(MCQ!C:C=B687),MCQ!H:H)</f>
        <v>#N/A</v>
      </c>
      <c r="F687" s="6" t="e">
        <f>LOOKUP(2,1/(Debugging!C:C=B687),Debugging!H:H)</f>
        <v>#N/A</v>
      </c>
      <c r="G687" s="6" t="e">
        <f>LOOKUP(2,1/(Coding!C:C=B687),Coding!H:H)</f>
        <v>#N/A</v>
      </c>
      <c r="H687" s="8" t="e">
        <f>E687+F687+G687</f>
        <v>#N/A</v>
      </c>
      <c r="I687" s="4" t="str">
        <f>IF(J687&lt;&gt;"Complete","Not Active",IF(H687&gt;=75,"Good",IF(H687&gt;=50,"Satisfactory",IF(H687&gt;=25,"Need Attention","Intervention"))))</f>
        <v>Not Active</v>
      </c>
      <c r="J687" s="4" t="str">
        <f>IF(COUNTIF(E687:G687,"#N/A")=3,"Not Attempted",IF(OR(ISNA(E687),ISNA(F687),ISNA(G687)),"NotCompleted","Complete"))</f>
        <v>Not Attempted</v>
      </c>
    </row>
    <row r="688" spans="1:10" ht="15" customHeight="1" x14ac:dyDescent="0.3">
      <c r="A688" s="16" t="s">
        <v>5489</v>
      </c>
      <c r="B688" s="20" t="s">
        <v>1066</v>
      </c>
      <c r="C688" s="20" t="s">
        <v>7189</v>
      </c>
      <c r="D688" s="2" t="s">
        <v>28</v>
      </c>
      <c r="E688" s="6" t="str">
        <f>LOOKUP(2,1/(MCQ!C:C=B688),MCQ!H:H)</f>
        <v>24.00</v>
      </c>
      <c r="F688" s="6" t="e">
        <f>LOOKUP(2,1/(Debugging!C:C=B688),Debugging!H:H)</f>
        <v>#N/A</v>
      </c>
      <c r="G688" s="6" t="str">
        <f>LOOKUP(2,1/(Coding!C:C=B688),Coding!H:H)</f>
        <v>23.50</v>
      </c>
      <c r="H688" s="8" t="e">
        <f>E688+F688+G688</f>
        <v>#N/A</v>
      </c>
      <c r="I688" s="4" t="str">
        <f>IF(J688&lt;&gt;"Complete","Not Active",IF(H688&gt;=75,"Good",IF(H688&gt;=50,"Satisfactory",IF(H688&gt;=25,"Need Attention","Intervention"))))</f>
        <v>Not Active</v>
      </c>
      <c r="J688" s="4" t="str">
        <f>IF(COUNTIF(E688:G688,"#N/A")=3,"Not Attempted",IF(OR(ISNA(E688),ISNA(F688),ISNA(G688)),"NotCompleted","Complete"))</f>
        <v>NotCompleted</v>
      </c>
    </row>
    <row r="689" spans="1:10" ht="15" customHeight="1" x14ac:dyDescent="0.3">
      <c r="A689" s="16" t="s">
        <v>5489</v>
      </c>
      <c r="B689" s="20" t="s">
        <v>6475</v>
      </c>
      <c r="C689" s="20" t="s">
        <v>7190</v>
      </c>
      <c r="D689" s="2" t="s">
        <v>66</v>
      </c>
      <c r="E689" s="6" t="e">
        <f>LOOKUP(2,1/(MCQ!C:C=B689),MCQ!H:H)</f>
        <v>#N/A</v>
      </c>
      <c r="F689" s="6" t="e">
        <f>LOOKUP(2,1/(Debugging!C:C=B689),Debugging!H:H)</f>
        <v>#N/A</v>
      </c>
      <c r="G689" s="6" t="e">
        <f>LOOKUP(2,1/(Coding!C:C=B689),Coding!H:H)</f>
        <v>#N/A</v>
      </c>
      <c r="H689" s="8" t="e">
        <f>E689+F689+G689</f>
        <v>#N/A</v>
      </c>
      <c r="I689" s="4" t="str">
        <f>IF(J689&lt;&gt;"Complete","Not Active",IF(H689&gt;=75,"Good",IF(H689&gt;=50,"Satisfactory",IF(H689&gt;=25,"Need Attention","Intervention"))))</f>
        <v>Not Active</v>
      </c>
      <c r="J689" s="4" t="str">
        <f>IF(COUNTIF(E689:G689,"#N/A")=3,"Not Attempted",IF(OR(ISNA(E689),ISNA(F689),ISNA(G689)),"NotCompleted","Complete"))</f>
        <v>Not Attempted</v>
      </c>
    </row>
    <row r="690" spans="1:10" ht="15" customHeight="1" x14ac:dyDescent="0.3">
      <c r="A690" s="16" t="s">
        <v>5489</v>
      </c>
      <c r="B690" s="20" t="s">
        <v>1068</v>
      </c>
      <c r="C690" s="20" t="s">
        <v>7191</v>
      </c>
      <c r="D690" s="2" t="s">
        <v>42</v>
      </c>
      <c r="E690" s="6" t="str">
        <f>LOOKUP(2,1/(MCQ!C:C=B690),MCQ!H:H)</f>
        <v>25.00</v>
      </c>
      <c r="F690" s="6" t="str">
        <f>LOOKUP(2,1/(Debugging!C:C=B690),Debugging!H:H)</f>
        <v>45.00</v>
      </c>
      <c r="G690" s="6" t="str">
        <f>LOOKUP(2,1/(Coding!C:C=B690),Coding!H:H)</f>
        <v>23.50</v>
      </c>
      <c r="H690" s="8">
        <f>E690+F690+G690</f>
        <v>93.5</v>
      </c>
      <c r="I690" s="4" t="str">
        <f>IF(J690&lt;&gt;"Complete","Not Active",IF(H690&gt;=75,"Good",IF(H690&gt;=50,"Satisfactory",IF(H690&gt;=25,"Need Attention","Intervention"))))</f>
        <v>Good</v>
      </c>
      <c r="J690" s="4" t="str">
        <f>IF(COUNTIF(E690:G690,"#N/A")=3,"Not Attempted",IF(OR(ISNA(E690),ISNA(F690),ISNA(G690)),"NotCompleted","Complete"))</f>
        <v>Complete</v>
      </c>
    </row>
    <row r="691" spans="1:10" ht="15" customHeight="1" x14ac:dyDescent="0.3">
      <c r="A691" s="16" t="s">
        <v>5489</v>
      </c>
      <c r="B691" s="20" t="s">
        <v>1071</v>
      </c>
      <c r="C691" s="20" t="s">
        <v>7192</v>
      </c>
      <c r="D691" s="2" t="s">
        <v>31</v>
      </c>
      <c r="E691" s="6" t="str">
        <f>LOOKUP(2,1/(MCQ!C:C=B691),MCQ!H:H)</f>
        <v>23.00</v>
      </c>
      <c r="F691" s="6" t="str">
        <f>LOOKUP(2,1/(Debugging!C:C=B691),Debugging!H:H)</f>
        <v>43.00</v>
      </c>
      <c r="G691" s="6" t="e">
        <f>LOOKUP(2,1/(Coding!C:C=B691),Coding!H:H)</f>
        <v>#N/A</v>
      </c>
      <c r="H691" s="8" t="e">
        <f>E691+F691+G691</f>
        <v>#N/A</v>
      </c>
      <c r="I691" s="4" t="str">
        <f>IF(J691&lt;&gt;"Complete","Not Active",IF(H691&gt;=75,"Good",IF(H691&gt;=50,"Satisfactory",IF(H691&gt;=25,"Need Attention","Intervention"))))</f>
        <v>Not Active</v>
      </c>
      <c r="J691" s="4" t="str">
        <f>IF(COUNTIF(E691:G691,"#N/A")=3,"Not Attempted",IF(OR(ISNA(E691),ISNA(F691),ISNA(G691)),"NotCompleted","Complete"))</f>
        <v>NotCompleted</v>
      </c>
    </row>
    <row r="692" spans="1:10" ht="15" customHeight="1" x14ac:dyDescent="0.3">
      <c r="A692" s="16" t="s">
        <v>5489</v>
      </c>
      <c r="B692" s="20" t="s">
        <v>6476</v>
      </c>
      <c r="C692" s="20" t="s">
        <v>7193</v>
      </c>
      <c r="D692" s="2" t="s">
        <v>8</v>
      </c>
      <c r="E692" s="6" t="e">
        <f>LOOKUP(2,1/(MCQ!C:C=B692),MCQ!H:H)</f>
        <v>#N/A</v>
      </c>
      <c r="F692" s="6" t="e">
        <f>LOOKUP(2,1/(Debugging!C:C=B692),Debugging!H:H)</f>
        <v>#N/A</v>
      </c>
      <c r="G692" s="6" t="e">
        <f>LOOKUP(2,1/(Coding!C:C=B692),Coding!H:H)</f>
        <v>#N/A</v>
      </c>
      <c r="H692" s="8" t="e">
        <f>E692+F692+G692</f>
        <v>#N/A</v>
      </c>
      <c r="I692" s="4" t="str">
        <f>IF(J692&lt;&gt;"Complete","Not Active",IF(H692&gt;=75,"Good",IF(H692&gt;=50,"Satisfactory",IF(H692&gt;=25,"Need Attention","Intervention"))))</f>
        <v>Not Active</v>
      </c>
      <c r="J692" s="4" t="str">
        <f>IF(COUNTIF(E692:G692,"#N/A")=3,"Not Attempted",IF(OR(ISNA(E692),ISNA(F692),ISNA(G692)),"NotCompleted","Complete"))</f>
        <v>Not Attempted</v>
      </c>
    </row>
    <row r="693" spans="1:10" ht="15" customHeight="1" x14ac:dyDescent="0.3">
      <c r="A693" s="16" t="s">
        <v>5489</v>
      </c>
      <c r="B693" s="20" t="s">
        <v>1073</v>
      </c>
      <c r="C693" s="20" t="s">
        <v>7194</v>
      </c>
      <c r="D693" s="2" t="s">
        <v>31</v>
      </c>
      <c r="E693" s="6" t="str">
        <f>LOOKUP(2,1/(MCQ!C:C=B693),MCQ!H:H)</f>
        <v>21.00</v>
      </c>
      <c r="F693" s="6" t="str">
        <f>LOOKUP(2,1/(Debugging!C:C=B693),Debugging!H:H)</f>
        <v>45.00</v>
      </c>
      <c r="G693" s="6" t="str">
        <f>LOOKUP(2,1/(Coding!C:C=B693),Coding!H:H)</f>
        <v>19.50</v>
      </c>
      <c r="H693" s="8">
        <f>E693+F693+G693</f>
        <v>85.5</v>
      </c>
      <c r="I693" s="4" t="str">
        <f>IF(J693&lt;&gt;"Complete","Not Active",IF(H693&gt;=75,"Good",IF(H693&gt;=50,"Satisfactory",IF(H693&gt;=25,"Need Attention","Intervention"))))</f>
        <v>Good</v>
      </c>
      <c r="J693" s="4" t="str">
        <f>IF(COUNTIF(E693:G693,"#N/A")=3,"Not Attempted",IF(OR(ISNA(E693),ISNA(F693),ISNA(G693)),"NotCompleted","Complete"))</f>
        <v>Complete</v>
      </c>
    </row>
    <row r="694" spans="1:10" ht="15" customHeight="1" x14ac:dyDescent="0.3">
      <c r="A694" s="16" t="s">
        <v>5489</v>
      </c>
      <c r="B694" s="20" t="s">
        <v>1075</v>
      </c>
      <c r="C694" s="20" t="s">
        <v>7195</v>
      </c>
      <c r="D694" s="2" t="s">
        <v>31</v>
      </c>
      <c r="E694" s="6" t="str">
        <f>LOOKUP(2,1/(MCQ!C:C=B694),MCQ!H:H)</f>
        <v>15.00</v>
      </c>
      <c r="F694" s="6" t="str">
        <f>LOOKUP(2,1/(Debugging!C:C=B694),Debugging!H:H)</f>
        <v>49.00</v>
      </c>
      <c r="G694" s="6" t="e">
        <f>LOOKUP(2,1/(Coding!C:C=B694),Coding!H:H)</f>
        <v>#N/A</v>
      </c>
      <c r="H694" s="8" t="e">
        <f>E694+F694+G694</f>
        <v>#N/A</v>
      </c>
      <c r="I694" s="4" t="str">
        <f>IF(J694&lt;&gt;"Complete","Not Active",IF(H694&gt;=75,"Good",IF(H694&gt;=50,"Satisfactory",IF(H694&gt;=25,"Need Attention","Intervention"))))</f>
        <v>Not Active</v>
      </c>
      <c r="J694" s="4" t="str">
        <f>IF(COUNTIF(E694:G694,"#N/A")=3,"Not Attempted",IF(OR(ISNA(E694),ISNA(F694),ISNA(G694)),"NotCompleted","Complete"))</f>
        <v>NotCompleted</v>
      </c>
    </row>
    <row r="695" spans="1:10" ht="15" customHeight="1" x14ac:dyDescent="0.3">
      <c r="A695" s="16" t="s">
        <v>5489</v>
      </c>
      <c r="B695" s="20" t="s">
        <v>5538</v>
      </c>
      <c r="C695" s="20" t="s">
        <v>7196</v>
      </c>
      <c r="D695" s="2" t="s">
        <v>31</v>
      </c>
      <c r="E695" s="6" t="str">
        <f>LOOKUP(2,1/(MCQ!C:C=B695),MCQ!H:H)</f>
        <v>21.00</v>
      </c>
      <c r="F695" s="6" t="e">
        <f>LOOKUP(2,1/(Debugging!C:C=B695),Debugging!H:H)</f>
        <v>#N/A</v>
      </c>
      <c r="G695" s="6" t="e">
        <f>LOOKUP(2,1/(Coding!C:C=B695),Coding!H:H)</f>
        <v>#N/A</v>
      </c>
      <c r="H695" s="8" t="e">
        <f>E695+F695+G695</f>
        <v>#N/A</v>
      </c>
      <c r="I695" s="4" t="str">
        <f>IF(J695&lt;&gt;"Complete","Not Active",IF(H695&gt;=75,"Good",IF(H695&gt;=50,"Satisfactory",IF(H695&gt;=25,"Need Attention","Intervention"))))</f>
        <v>Not Active</v>
      </c>
      <c r="J695" s="4" t="str">
        <f>IF(COUNTIF(E695:G695,"#N/A")=3,"Not Attempted",IF(OR(ISNA(E695),ISNA(F695),ISNA(G695)),"NotCompleted","Complete"))</f>
        <v>NotCompleted</v>
      </c>
    </row>
    <row r="696" spans="1:10" ht="15" customHeight="1" x14ac:dyDescent="0.3">
      <c r="A696" s="16" t="s">
        <v>5489</v>
      </c>
      <c r="B696" s="20" t="s">
        <v>1078</v>
      </c>
      <c r="C696" s="20" t="s">
        <v>7197</v>
      </c>
      <c r="D696" s="2" t="s">
        <v>8</v>
      </c>
      <c r="E696" s="6" t="str">
        <f>LOOKUP(2,1/(MCQ!C:C=B696),MCQ!H:H)</f>
        <v>25.00</v>
      </c>
      <c r="F696" s="6" t="e">
        <f>LOOKUP(2,1/(Debugging!C:C=B696),Debugging!H:H)</f>
        <v>#N/A</v>
      </c>
      <c r="G696" s="6" t="e">
        <f>LOOKUP(2,1/(Coding!C:C=B696),Coding!H:H)</f>
        <v>#N/A</v>
      </c>
      <c r="H696" s="8" t="e">
        <f>E696+F696+G696</f>
        <v>#N/A</v>
      </c>
      <c r="I696" s="4" t="str">
        <f>IF(J696&lt;&gt;"Complete","Not Active",IF(H696&gt;=75,"Good",IF(H696&gt;=50,"Satisfactory",IF(H696&gt;=25,"Need Attention","Intervention"))))</f>
        <v>Not Active</v>
      </c>
      <c r="J696" s="4" t="str">
        <f>IF(COUNTIF(E696:G696,"#N/A")=3,"Not Attempted",IF(OR(ISNA(E696),ISNA(F696),ISNA(G696)),"NotCompleted","Complete"))</f>
        <v>NotCompleted</v>
      </c>
    </row>
    <row r="697" spans="1:10" ht="15" customHeight="1" x14ac:dyDescent="0.3">
      <c r="A697" s="16" t="s">
        <v>5489</v>
      </c>
      <c r="B697" s="20" t="s">
        <v>1080</v>
      </c>
      <c r="C697" s="20" t="s">
        <v>7198</v>
      </c>
      <c r="D697" s="2" t="s">
        <v>71</v>
      </c>
      <c r="E697" s="6" t="str">
        <f>LOOKUP(2,1/(MCQ!C:C=B697),MCQ!H:H)</f>
        <v>23.00</v>
      </c>
      <c r="F697" s="6" t="e">
        <f>LOOKUP(2,1/(Debugging!C:C=B697),Debugging!H:H)</f>
        <v>#N/A</v>
      </c>
      <c r="G697" s="6" t="str">
        <f>LOOKUP(2,1/(Coding!C:C=B697),Coding!H:H)</f>
        <v>25.00</v>
      </c>
      <c r="H697" s="8" t="e">
        <f>E697+F697+G697</f>
        <v>#N/A</v>
      </c>
      <c r="I697" s="4" t="str">
        <f>IF(J697&lt;&gt;"Complete","Not Active",IF(H697&gt;=75,"Good",IF(H697&gt;=50,"Satisfactory",IF(H697&gt;=25,"Need Attention","Intervention"))))</f>
        <v>Not Active</v>
      </c>
      <c r="J697" s="4" t="str">
        <f>IF(COUNTIF(E697:G697,"#N/A")=3,"Not Attempted",IF(OR(ISNA(E697),ISNA(F697),ISNA(G697)),"NotCompleted","Complete"))</f>
        <v>NotCompleted</v>
      </c>
    </row>
    <row r="698" spans="1:10" ht="15" customHeight="1" x14ac:dyDescent="0.3">
      <c r="A698" s="16" t="s">
        <v>5489</v>
      </c>
      <c r="B698" s="20" t="s">
        <v>1082</v>
      </c>
      <c r="C698" s="20" t="s">
        <v>7199</v>
      </c>
      <c r="D698" s="2" t="s">
        <v>42</v>
      </c>
      <c r="E698" s="6" t="str">
        <f>LOOKUP(2,1/(MCQ!C:C=B698),MCQ!H:H)</f>
        <v>20.00</v>
      </c>
      <c r="F698" s="6" t="str">
        <f>LOOKUP(2,1/(Debugging!C:C=B698),Debugging!H:H)</f>
        <v>15.00</v>
      </c>
      <c r="G698" s="6" t="e">
        <f>LOOKUP(2,1/(Coding!C:C=B698),Coding!H:H)</f>
        <v>#N/A</v>
      </c>
      <c r="H698" s="8" t="e">
        <f>E698+F698+G698</f>
        <v>#N/A</v>
      </c>
      <c r="I698" s="4" t="str">
        <f>IF(J698&lt;&gt;"Complete","Not Active",IF(H698&gt;=75,"Good",IF(H698&gt;=50,"Satisfactory",IF(H698&gt;=25,"Need Attention","Intervention"))))</f>
        <v>Not Active</v>
      </c>
      <c r="J698" s="4" t="str">
        <f>IF(COUNTIF(E698:G698,"#N/A")=3,"Not Attempted",IF(OR(ISNA(E698),ISNA(F698),ISNA(G698)),"NotCompleted","Complete"))</f>
        <v>NotCompleted</v>
      </c>
    </row>
    <row r="699" spans="1:10" ht="15" customHeight="1" x14ac:dyDescent="0.3">
      <c r="A699" s="16" t="s">
        <v>5489</v>
      </c>
      <c r="B699" s="20" t="s">
        <v>6477</v>
      </c>
      <c r="C699" s="20" t="s">
        <v>7200</v>
      </c>
      <c r="D699" s="2" t="s">
        <v>42</v>
      </c>
      <c r="E699" s="6" t="e">
        <f>LOOKUP(2,1/(MCQ!C:C=B699),MCQ!H:H)</f>
        <v>#N/A</v>
      </c>
      <c r="F699" s="6" t="e">
        <f>LOOKUP(2,1/(Debugging!C:C=B699),Debugging!H:H)</f>
        <v>#N/A</v>
      </c>
      <c r="G699" s="6" t="e">
        <f>LOOKUP(2,1/(Coding!C:C=B699),Coding!H:H)</f>
        <v>#N/A</v>
      </c>
      <c r="H699" s="8" t="e">
        <f>E699+F699+G699</f>
        <v>#N/A</v>
      </c>
      <c r="I699" s="4" t="str">
        <f>IF(J699&lt;&gt;"Complete","Not Active",IF(H699&gt;=75,"Good",IF(H699&gt;=50,"Satisfactory",IF(H699&gt;=25,"Need Attention","Intervention"))))</f>
        <v>Not Active</v>
      </c>
      <c r="J699" s="4" t="str">
        <f>IF(COUNTIF(E699:G699,"#N/A")=3,"Not Attempted",IF(OR(ISNA(E699),ISNA(F699),ISNA(G699)),"NotCompleted","Complete"))</f>
        <v>Not Attempted</v>
      </c>
    </row>
    <row r="700" spans="1:10" ht="15" customHeight="1" x14ac:dyDescent="0.3">
      <c r="A700" s="16" t="s">
        <v>5489</v>
      </c>
      <c r="B700" s="20" t="s">
        <v>1083</v>
      </c>
      <c r="C700" s="20" t="s">
        <v>7201</v>
      </c>
      <c r="D700" s="2" t="s">
        <v>8</v>
      </c>
      <c r="E700" s="6" t="str">
        <f>LOOKUP(2,1/(MCQ!C:C=B700),MCQ!H:H)</f>
        <v>21.00</v>
      </c>
      <c r="F700" s="6" t="str">
        <f>LOOKUP(2,1/(Debugging!C:C=B700),Debugging!H:H)</f>
        <v>13.00</v>
      </c>
      <c r="G700" s="6" t="str">
        <f>LOOKUP(2,1/(Coding!C:C=B700),Coding!H:H)</f>
        <v>7.00</v>
      </c>
      <c r="H700" s="8">
        <f>E700+F700+G700</f>
        <v>41</v>
      </c>
      <c r="I700" s="4" t="str">
        <f>IF(J700&lt;&gt;"Complete","Not Active",IF(H700&gt;=75,"Good",IF(H700&gt;=50,"Satisfactory",IF(H700&gt;=25,"Need Attention","Intervention"))))</f>
        <v>Need Attention</v>
      </c>
      <c r="J700" s="4" t="str">
        <f>IF(COUNTIF(E700:G700,"#N/A")=3,"Not Attempted",IF(OR(ISNA(E700),ISNA(F700),ISNA(G700)),"NotCompleted","Complete"))</f>
        <v>Complete</v>
      </c>
    </row>
    <row r="701" spans="1:10" ht="15" customHeight="1" x14ac:dyDescent="0.3">
      <c r="A701" s="16" t="s">
        <v>5489</v>
      </c>
      <c r="B701" s="20" t="s">
        <v>1086</v>
      </c>
      <c r="C701" s="20" t="s">
        <v>7202</v>
      </c>
      <c r="D701" s="2" t="s">
        <v>825</v>
      </c>
      <c r="E701" s="6" t="str">
        <f>LOOKUP(2,1/(MCQ!C:C=B701),MCQ!H:H)</f>
        <v>18.00</v>
      </c>
      <c r="F701" s="6" t="str">
        <f>LOOKUP(2,1/(Debugging!C:C=B701),Debugging!H:H)</f>
        <v>28.00</v>
      </c>
      <c r="G701" s="6" t="str">
        <f>LOOKUP(2,1/(Coding!C:C=B701),Coding!H:H)</f>
        <v>25.00</v>
      </c>
      <c r="H701" s="8">
        <f>E701+F701+G701</f>
        <v>71</v>
      </c>
      <c r="I701" s="4" t="str">
        <f>IF(J701&lt;&gt;"Complete","Not Active",IF(H701&gt;=75,"Good",IF(H701&gt;=50,"Satisfactory",IF(H701&gt;=25,"Need Attention","Intervention"))))</f>
        <v>Satisfactory</v>
      </c>
      <c r="J701" s="4" t="str">
        <f>IF(COUNTIF(E701:G701,"#N/A")=3,"Not Attempted",IF(OR(ISNA(E701),ISNA(F701),ISNA(G701)),"NotCompleted","Complete"))</f>
        <v>Complete</v>
      </c>
    </row>
    <row r="702" spans="1:10" ht="15" customHeight="1" x14ac:dyDescent="0.3">
      <c r="A702" s="16" t="s">
        <v>5489</v>
      </c>
      <c r="B702" s="20" t="s">
        <v>1087</v>
      </c>
      <c r="C702" s="20" t="s">
        <v>7203</v>
      </c>
      <c r="D702" s="2" t="s">
        <v>1245</v>
      </c>
      <c r="E702" s="6" t="str">
        <f>LOOKUP(2,1/(MCQ!C:C=B702),MCQ!H:H)</f>
        <v>23.00</v>
      </c>
      <c r="F702" s="6" t="str">
        <f>LOOKUP(2,1/(Debugging!C:C=B702),Debugging!H:H)</f>
        <v>24.00</v>
      </c>
      <c r="G702" s="6" t="str">
        <f>LOOKUP(2,1/(Coding!C:C=B702),Coding!H:H)</f>
        <v>25.00</v>
      </c>
      <c r="H702" s="8">
        <f>E702+F702+G702</f>
        <v>72</v>
      </c>
      <c r="I702" s="4" t="str">
        <f>IF(J702&lt;&gt;"Complete","Not Active",IF(H702&gt;=75,"Good",IF(H702&gt;=50,"Satisfactory",IF(H702&gt;=25,"Need Attention","Intervention"))))</f>
        <v>Satisfactory</v>
      </c>
      <c r="J702" s="4" t="str">
        <f>IF(COUNTIF(E702:G702,"#N/A")=3,"Not Attempted",IF(OR(ISNA(E702),ISNA(F702),ISNA(G702)),"NotCompleted","Complete"))</f>
        <v>Complete</v>
      </c>
    </row>
    <row r="703" spans="1:10" ht="15" customHeight="1" x14ac:dyDescent="0.3">
      <c r="A703" s="16" t="s">
        <v>5489</v>
      </c>
      <c r="B703" s="20" t="s">
        <v>1089</v>
      </c>
      <c r="C703" s="20" t="s">
        <v>7204</v>
      </c>
      <c r="D703" s="2" t="s">
        <v>528</v>
      </c>
      <c r="E703" s="6" t="str">
        <f>LOOKUP(2,1/(MCQ!C:C=B703),MCQ!H:H)</f>
        <v>22.00</v>
      </c>
      <c r="F703" s="6" t="e">
        <f>LOOKUP(2,1/(Debugging!C:C=B703),Debugging!H:H)</f>
        <v>#N/A</v>
      </c>
      <c r="G703" s="6" t="e">
        <f>LOOKUP(2,1/(Coding!C:C=B703),Coding!H:H)</f>
        <v>#N/A</v>
      </c>
      <c r="H703" s="8" t="e">
        <f>E703+F703+G703</f>
        <v>#N/A</v>
      </c>
      <c r="I703" s="4" t="str">
        <f>IF(J703&lt;&gt;"Complete","Not Active",IF(H703&gt;=75,"Good",IF(H703&gt;=50,"Satisfactory",IF(H703&gt;=25,"Need Attention","Intervention"))))</f>
        <v>Not Active</v>
      </c>
      <c r="J703" s="4" t="str">
        <f>IF(COUNTIF(E703:G703,"#N/A")=3,"Not Attempted",IF(OR(ISNA(E703),ISNA(F703),ISNA(G703)),"NotCompleted","Complete"))</f>
        <v>NotCompleted</v>
      </c>
    </row>
    <row r="704" spans="1:10" ht="15" customHeight="1" x14ac:dyDescent="0.3">
      <c r="A704" s="16" t="s">
        <v>5489</v>
      </c>
      <c r="B704" s="20" t="s">
        <v>1090</v>
      </c>
      <c r="C704" s="20" t="s">
        <v>7205</v>
      </c>
      <c r="D704" s="2" t="s">
        <v>31</v>
      </c>
      <c r="E704" s="6" t="str">
        <f>LOOKUP(2,1/(MCQ!C:C=B704),MCQ!H:H)</f>
        <v>25.00</v>
      </c>
      <c r="F704" s="6" t="e">
        <f>LOOKUP(2,1/(Debugging!C:C=B704),Debugging!H:H)</f>
        <v>#N/A</v>
      </c>
      <c r="G704" s="6" t="str">
        <f>LOOKUP(2,1/(Coding!C:C=B704),Coding!H:H)</f>
        <v>24.00</v>
      </c>
      <c r="H704" s="8" t="e">
        <f>E704+F704+G704</f>
        <v>#N/A</v>
      </c>
      <c r="I704" s="4" t="str">
        <f>IF(J704&lt;&gt;"Complete","Not Active",IF(H704&gt;=75,"Good",IF(H704&gt;=50,"Satisfactory",IF(H704&gt;=25,"Need Attention","Intervention"))))</f>
        <v>Not Active</v>
      </c>
      <c r="J704" s="4" t="str">
        <f>IF(COUNTIF(E704:G704,"#N/A")=3,"Not Attempted",IF(OR(ISNA(E704),ISNA(F704),ISNA(G704)),"NotCompleted","Complete"))</f>
        <v>NotCompleted</v>
      </c>
    </row>
    <row r="705" spans="1:10" ht="15" customHeight="1" x14ac:dyDescent="0.3">
      <c r="A705" s="16" t="s">
        <v>5489</v>
      </c>
      <c r="B705" s="20" t="s">
        <v>1091</v>
      </c>
      <c r="C705" s="20" t="s">
        <v>7206</v>
      </c>
      <c r="D705" s="2" t="s">
        <v>8</v>
      </c>
      <c r="E705" s="6" t="str">
        <f>LOOKUP(2,1/(MCQ!C:C=B705),MCQ!H:H)</f>
        <v>24.00</v>
      </c>
      <c r="F705" s="6" t="str">
        <f>LOOKUP(2,1/(Debugging!C:C=B705),Debugging!H:H)</f>
        <v>45.00</v>
      </c>
      <c r="G705" s="6" t="e">
        <f>LOOKUP(2,1/(Coding!C:C=B705),Coding!H:H)</f>
        <v>#N/A</v>
      </c>
      <c r="H705" s="8" t="e">
        <f>E705+F705+G705</f>
        <v>#N/A</v>
      </c>
      <c r="I705" s="4" t="str">
        <f>IF(J705&lt;&gt;"Complete","Not Active",IF(H705&gt;=75,"Good",IF(H705&gt;=50,"Satisfactory",IF(H705&gt;=25,"Need Attention","Intervention"))))</f>
        <v>Not Active</v>
      </c>
      <c r="J705" s="4" t="str">
        <f>IF(COUNTIF(E705:G705,"#N/A")=3,"Not Attempted",IF(OR(ISNA(E705),ISNA(F705),ISNA(G705)),"NotCompleted","Complete"))</f>
        <v>NotCompleted</v>
      </c>
    </row>
    <row r="706" spans="1:10" ht="15" customHeight="1" x14ac:dyDescent="0.3">
      <c r="A706" s="16" t="s">
        <v>5489</v>
      </c>
      <c r="B706" s="20" t="s">
        <v>1093</v>
      </c>
      <c r="C706" s="20" t="s">
        <v>7207</v>
      </c>
      <c r="D706" s="2" t="s">
        <v>133</v>
      </c>
      <c r="E706" s="6" t="str">
        <f>LOOKUP(2,1/(MCQ!C:C=B706),MCQ!H:H)</f>
        <v>23.00</v>
      </c>
      <c r="F706" s="6" t="e">
        <f>LOOKUP(2,1/(Debugging!C:C=B706),Debugging!H:H)</f>
        <v>#N/A</v>
      </c>
      <c r="G706" s="6" t="str">
        <f>LOOKUP(2,1/(Coding!C:C=B706),Coding!H:H)</f>
        <v>25.00</v>
      </c>
      <c r="H706" s="8" t="e">
        <f>E706+F706+G706</f>
        <v>#N/A</v>
      </c>
      <c r="I706" s="4" t="str">
        <f>IF(J706&lt;&gt;"Complete","Not Active",IF(H706&gt;=75,"Good",IF(H706&gt;=50,"Satisfactory",IF(H706&gt;=25,"Need Attention","Intervention"))))</f>
        <v>Not Active</v>
      </c>
      <c r="J706" s="4" t="str">
        <f>IF(COUNTIF(E706:G706,"#N/A")=3,"Not Attempted",IF(OR(ISNA(E706),ISNA(F706),ISNA(G706)),"NotCompleted","Complete"))</f>
        <v>NotCompleted</v>
      </c>
    </row>
    <row r="707" spans="1:10" ht="15" customHeight="1" x14ac:dyDescent="0.3">
      <c r="A707" s="16" t="s">
        <v>5489</v>
      </c>
      <c r="B707" s="20" t="s">
        <v>1096</v>
      </c>
      <c r="C707" s="20" t="s">
        <v>7208</v>
      </c>
      <c r="D707" s="2" t="s">
        <v>8</v>
      </c>
      <c r="E707" s="6" t="e">
        <f>LOOKUP(2,1/(MCQ!C:C=B707),MCQ!H:H)</f>
        <v>#N/A</v>
      </c>
      <c r="F707" s="6" t="e">
        <f>LOOKUP(2,1/(Debugging!C:C=B707),Debugging!H:H)</f>
        <v>#N/A</v>
      </c>
      <c r="G707" s="6" t="e">
        <v>#N/A</v>
      </c>
      <c r="H707" s="8" t="e">
        <f>E707+F707+G707</f>
        <v>#N/A</v>
      </c>
      <c r="I707" s="4" t="str">
        <f>IF(J707&lt;&gt;"Complete","Not Active",IF(H707&gt;=75,"Good",IF(H707&gt;=50,"Satisfactory",IF(H707&gt;=25,"Need Attention","Intervention"))))</f>
        <v>Not Active</v>
      </c>
      <c r="J707" s="4" t="str">
        <f>IF(COUNTIF(E707:G707,"#N/A")=3,"Not Attempted",IF(OR(ISNA(E707),ISNA(F707),ISNA(G707)),"NotCompleted","Complete"))</f>
        <v>Not Attempted</v>
      </c>
    </row>
    <row r="708" spans="1:10" ht="15" customHeight="1" x14ac:dyDescent="0.3">
      <c r="A708" s="16" t="s">
        <v>5489</v>
      </c>
      <c r="B708" s="20" t="s">
        <v>1098</v>
      </c>
      <c r="C708" s="20" t="s">
        <v>7209</v>
      </c>
      <c r="D708" s="2" t="s">
        <v>16</v>
      </c>
      <c r="E708" s="6" t="str">
        <f>LOOKUP(2,1/(MCQ!C:C=B708),MCQ!H:H)</f>
        <v>23.00</v>
      </c>
      <c r="F708" s="6" t="str">
        <f>LOOKUP(2,1/(Debugging!C:C=B708),Debugging!H:H)</f>
        <v>44.00</v>
      </c>
      <c r="G708" s="6" t="str">
        <f>LOOKUP(2,1/(Coding!C:C=B708),Coding!H:H)</f>
        <v>24.00</v>
      </c>
      <c r="H708" s="8">
        <f>E708+F708+G708</f>
        <v>91</v>
      </c>
      <c r="I708" s="4" t="str">
        <f>IF(J708&lt;&gt;"Complete","Not Active",IF(H708&gt;=75,"Good",IF(H708&gt;=50,"Satisfactory",IF(H708&gt;=25,"Need Attention","Intervention"))))</f>
        <v>Good</v>
      </c>
      <c r="J708" s="4" t="str">
        <f>IF(COUNTIF(E708:G708,"#N/A")=3,"Not Attempted",IF(OR(ISNA(E708),ISNA(F708),ISNA(G708)),"NotCompleted","Complete"))</f>
        <v>Complete</v>
      </c>
    </row>
    <row r="709" spans="1:10" ht="15" customHeight="1" x14ac:dyDescent="0.3">
      <c r="A709" s="16" t="s">
        <v>5489</v>
      </c>
      <c r="B709" s="20" t="s">
        <v>6478</v>
      </c>
      <c r="C709" s="20" t="s">
        <v>7210</v>
      </c>
      <c r="D709" s="2" t="s">
        <v>22</v>
      </c>
      <c r="E709" s="6" t="e">
        <f>LOOKUP(2,1/(MCQ!C:C=B709),MCQ!H:H)</f>
        <v>#N/A</v>
      </c>
      <c r="F709" s="6" t="e">
        <f>LOOKUP(2,1/(Debugging!C:C=B709),Debugging!H:H)</f>
        <v>#N/A</v>
      </c>
      <c r="G709" s="6" t="e">
        <f>LOOKUP(2,1/(Coding!C:C=B709),Coding!H:H)</f>
        <v>#N/A</v>
      </c>
      <c r="H709" s="8" t="e">
        <f>E709+F709+G709</f>
        <v>#N/A</v>
      </c>
      <c r="I709" s="4" t="str">
        <f>IF(J709&lt;&gt;"Complete","Not Active",IF(H709&gt;=75,"Good",IF(H709&gt;=50,"Satisfactory",IF(H709&gt;=25,"Need Attention","Intervention"))))</f>
        <v>Not Active</v>
      </c>
      <c r="J709" s="4" t="str">
        <f>IF(COUNTIF(E709:G709,"#N/A")=3,"Not Attempted",IF(OR(ISNA(E709),ISNA(F709),ISNA(G709)),"NotCompleted","Complete"))</f>
        <v>Not Attempted</v>
      </c>
    </row>
    <row r="710" spans="1:10" ht="15" customHeight="1" x14ac:dyDescent="0.3">
      <c r="A710" s="16" t="s">
        <v>5489</v>
      </c>
      <c r="B710" s="20" t="s">
        <v>1100</v>
      </c>
      <c r="C710" s="20" t="s">
        <v>7211</v>
      </c>
      <c r="D710" s="2" t="s">
        <v>8</v>
      </c>
      <c r="E710" s="6" t="str">
        <f>LOOKUP(2,1/(MCQ!C:C=B710),MCQ!H:H)</f>
        <v>19.00</v>
      </c>
      <c r="F710" s="6" t="e">
        <f>LOOKUP(2,1/(Debugging!C:C=B710),Debugging!H:H)</f>
        <v>#N/A</v>
      </c>
      <c r="G710" s="6" t="str">
        <f>LOOKUP(2,1/(Coding!C:C=B710),Coding!H:H)</f>
        <v>25.00</v>
      </c>
      <c r="H710" s="8" t="e">
        <f>E710+F710+G710</f>
        <v>#N/A</v>
      </c>
      <c r="I710" s="4" t="str">
        <f>IF(J710&lt;&gt;"Complete","Not Active",IF(H710&gt;=75,"Good",IF(H710&gt;=50,"Satisfactory",IF(H710&gt;=25,"Need Attention","Intervention"))))</f>
        <v>Not Active</v>
      </c>
      <c r="J710" s="4" t="str">
        <f>IF(COUNTIF(E710:G710,"#N/A")=3,"Not Attempted",IF(OR(ISNA(E710),ISNA(F710),ISNA(G710)),"NotCompleted","Complete"))</f>
        <v>NotCompleted</v>
      </c>
    </row>
    <row r="711" spans="1:10" ht="15" customHeight="1" x14ac:dyDescent="0.3">
      <c r="A711" s="16" t="s">
        <v>5489</v>
      </c>
      <c r="B711" s="20" t="s">
        <v>1102</v>
      </c>
      <c r="C711" s="20" t="s">
        <v>7212</v>
      </c>
      <c r="D711" s="2" t="s">
        <v>31</v>
      </c>
      <c r="E711" s="6" t="str">
        <f>LOOKUP(2,1/(MCQ!C:C=B711),MCQ!H:H)</f>
        <v>24.00</v>
      </c>
      <c r="F711" s="6" t="str">
        <f>LOOKUP(2,1/(Debugging!C:C=B711),Debugging!H:H)</f>
        <v>47.00</v>
      </c>
      <c r="G711" s="6" t="str">
        <f>LOOKUP(2,1/(Coding!C:C=B711),Coding!H:H)</f>
        <v>24.00</v>
      </c>
      <c r="H711" s="8">
        <f>E711+F711+G711</f>
        <v>95</v>
      </c>
      <c r="I711" s="4" t="str">
        <f>IF(J711&lt;&gt;"Complete","Not Active",IF(H711&gt;=75,"Good",IF(H711&gt;=50,"Satisfactory",IF(H711&gt;=25,"Need Attention","Intervention"))))</f>
        <v>Good</v>
      </c>
      <c r="J711" s="4" t="str">
        <f>IF(COUNTIF(E711:G711,"#N/A")=3,"Not Attempted",IF(OR(ISNA(E711),ISNA(F711),ISNA(G711)),"NotCompleted","Complete"))</f>
        <v>Complete</v>
      </c>
    </row>
    <row r="712" spans="1:10" ht="15" customHeight="1" x14ac:dyDescent="0.3">
      <c r="A712" s="16" t="s">
        <v>5489</v>
      </c>
      <c r="B712" s="20" t="s">
        <v>6479</v>
      </c>
      <c r="C712" s="20" t="s">
        <v>7213</v>
      </c>
      <c r="D712" s="2" t="s">
        <v>55</v>
      </c>
      <c r="E712" s="6" t="e">
        <f>LOOKUP(2,1/(MCQ!C:C=B712),MCQ!H:H)</f>
        <v>#N/A</v>
      </c>
      <c r="F712" s="6" t="e">
        <f>LOOKUP(2,1/(Debugging!C:C=B712),Debugging!H:H)</f>
        <v>#N/A</v>
      </c>
      <c r="G712" s="6" t="e">
        <f>LOOKUP(2,1/(Coding!C:C=B712),Coding!H:H)</f>
        <v>#N/A</v>
      </c>
      <c r="H712" s="8" t="e">
        <f>E712+F712+G712</f>
        <v>#N/A</v>
      </c>
      <c r="I712" s="4" t="str">
        <f>IF(J712&lt;&gt;"Complete","Not Active",IF(H712&gt;=75,"Good",IF(H712&gt;=50,"Satisfactory",IF(H712&gt;=25,"Need Attention","Intervention"))))</f>
        <v>Not Active</v>
      </c>
      <c r="J712" s="4" t="str">
        <f>IF(COUNTIF(E712:G712,"#N/A")=3,"Not Attempted",IF(OR(ISNA(E712),ISNA(F712),ISNA(G712)),"NotCompleted","Complete"))</f>
        <v>Not Attempted</v>
      </c>
    </row>
    <row r="713" spans="1:10" ht="15" customHeight="1" x14ac:dyDescent="0.3">
      <c r="A713" s="16" t="s">
        <v>5489</v>
      </c>
      <c r="B713" s="20" t="s">
        <v>6480</v>
      </c>
      <c r="C713" s="20" t="s">
        <v>7214</v>
      </c>
      <c r="D713" s="2" t="s">
        <v>42</v>
      </c>
      <c r="E713" s="6" t="e">
        <f>LOOKUP(2,1/(MCQ!C:C=B713),MCQ!H:H)</f>
        <v>#N/A</v>
      </c>
      <c r="F713" s="6" t="e">
        <f>LOOKUP(2,1/(Debugging!C:C=B713),Debugging!H:H)</f>
        <v>#N/A</v>
      </c>
      <c r="G713" s="6" t="e">
        <f>LOOKUP(2,1/(Coding!C:C=B713),Coding!H:H)</f>
        <v>#N/A</v>
      </c>
      <c r="H713" s="8" t="e">
        <f>E713+F713+G713</f>
        <v>#N/A</v>
      </c>
      <c r="I713" s="4" t="str">
        <f>IF(J713&lt;&gt;"Complete","Not Active",IF(H713&gt;=75,"Good",IF(H713&gt;=50,"Satisfactory",IF(H713&gt;=25,"Need Attention","Intervention"))))</f>
        <v>Not Active</v>
      </c>
      <c r="J713" s="4" t="str">
        <f>IF(COUNTIF(E713:G713,"#N/A")=3,"Not Attempted",IF(OR(ISNA(E713),ISNA(F713),ISNA(G713)),"NotCompleted","Complete"))</f>
        <v>Not Attempted</v>
      </c>
    </row>
    <row r="714" spans="1:10" ht="15" customHeight="1" x14ac:dyDescent="0.3">
      <c r="A714" s="16" t="s">
        <v>5489</v>
      </c>
      <c r="B714" s="20" t="s">
        <v>6481</v>
      </c>
      <c r="C714" s="20" t="s">
        <v>7215</v>
      </c>
      <c r="D714" s="2" t="s">
        <v>8</v>
      </c>
      <c r="E714" s="6" t="e">
        <f>LOOKUP(2,1/(MCQ!C:C=B714),MCQ!H:H)</f>
        <v>#N/A</v>
      </c>
      <c r="F714" s="6" t="e">
        <f>LOOKUP(2,1/(Debugging!C:C=B714),Debugging!H:H)</f>
        <v>#N/A</v>
      </c>
      <c r="G714" s="6" t="e">
        <f>LOOKUP(2,1/(Coding!C:C=B714),Coding!H:H)</f>
        <v>#N/A</v>
      </c>
      <c r="H714" s="8" t="e">
        <f>E714+F714+G714</f>
        <v>#N/A</v>
      </c>
      <c r="I714" s="4" t="str">
        <f>IF(J714&lt;&gt;"Complete","Not Active",IF(H714&gt;=75,"Good",IF(H714&gt;=50,"Satisfactory",IF(H714&gt;=25,"Need Attention","Intervention"))))</f>
        <v>Not Active</v>
      </c>
      <c r="J714" s="4" t="str">
        <f>IF(COUNTIF(E714:G714,"#N/A")=3,"Not Attempted",IF(OR(ISNA(E714),ISNA(F714),ISNA(G714)),"NotCompleted","Complete"))</f>
        <v>Not Attempted</v>
      </c>
    </row>
    <row r="715" spans="1:10" ht="15" customHeight="1" x14ac:dyDescent="0.3">
      <c r="A715" s="16" t="s">
        <v>5489</v>
      </c>
      <c r="B715" s="20" t="s">
        <v>1104</v>
      </c>
      <c r="C715" s="20" t="s">
        <v>7216</v>
      </c>
      <c r="D715" s="2" t="s">
        <v>49</v>
      </c>
      <c r="E715" s="6" t="str">
        <f>LOOKUP(2,1/(MCQ!C:C=B715),MCQ!H:H)</f>
        <v>23.00</v>
      </c>
      <c r="F715" s="6" t="e">
        <f>LOOKUP(2,1/(Debugging!C:C=B715),Debugging!H:H)</f>
        <v>#N/A</v>
      </c>
      <c r="G715" s="6" t="e">
        <f>LOOKUP(2,1/(Coding!C:C=B715),Coding!H:H)</f>
        <v>#N/A</v>
      </c>
      <c r="H715" s="8" t="e">
        <f>E715+F715+G715</f>
        <v>#N/A</v>
      </c>
      <c r="I715" s="4" t="str">
        <f>IF(J715&lt;&gt;"Complete","Not Active",IF(H715&gt;=75,"Good",IF(H715&gt;=50,"Satisfactory",IF(H715&gt;=25,"Need Attention","Intervention"))))</f>
        <v>Not Active</v>
      </c>
      <c r="J715" s="4" t="str">
        <f>IF(COUNTIF(E715:G715,"#N/A")=3,"Not Attempted",IF(OR(ISNA(E715),ISNA(F715),ISNA(G715)),"NotCompleted","Complete"))</f>
        <v>NotCompleted</v>
      </c>
    </row>
    <row r="716" spans="1:10" ht="15" customHeight="1" x14ac:dyDescent="0.3">
      <c r="A716" s="16" t="s">
        <v>5489</v>
      </c>
      <c r="B716" s="20" t="s">
        <v>6482</v>
      </c>
      <c r="C716" s="20" t="s">
        <v>7217</v>
      </c>
      <c r="D716" s="2" t="s">
        <v>8</v>
      </c>
      <c r="E716" s="6" t="e">
        <f>LOOKUP(2,1/(MCQ!C:C=B716),MCQ!H:H)</f>
        <v>#N/A</v>
      </c>
      <c r="F716" s="6" t="e">
        <f>LOOKUP(2,1/(Debugging!C:C=B716),Debugging!H:H)</f>
        <v>#N/A</v>
      </c>
      <c r="G716" s="6" t="e">
        <f>LOOKUP(2,1/(Coding!C:C=B716),Coding!H:H)</f>
        <v>#N/A</v>
      </c>
      <c r="H716" s="8" t="e">
        <f>E716+F716+G716</f>
        <v>#N/A</v>
      </c>
      <c r="I716" s="4" t="str">
        <f>IF(J716&lt;&gt;"Complete","Not Active",IF(H716&gt;=75,"Good",IF(H716&gt;=50,"Satisfactory",IF(H716&gt;=25,"Need Attention","Intervention"))))</f>
        <v>Not Active</v>
      </c>
      <c r="J716" s="4" t="str">
        <f>IF(COUNTIF(E716:G716,"#N/A")=3,"Not Attempted",IF(OR(ISNA(E716),ISNA(F716),ISNA(G716)),"NotCompleted","Complete"))</f>
        <v>Not Attempted</v>
      </c>
    </row>
    <row r="717" spans="1:10" ht="15" customHeight="1" x14ac:dyDescent="0.3">
      <c r="A717" s="16" t="s">
        <v>5489</v>
      </c>
      <c r="B717" s="20" t="s">
        <v>1107</v>
      </c>
      <c r="C717" s="20" t="s">
        <v>7218</v>
      </c>
      <c r="D717" s="2" t="s">
        <v>71</v>
      </c>
      <c r="E717" s="6" t="str">
        <f>LOOKUP(2,1/(MCQ!C:C=B717),MCQ!H:H)</f>
        <v>18.00</v>
      </c>
      <c r="F717" s="6" t="e">
        <f>LOOKUP(2,1/(Debugging!C:C=B717),Debugging!H:H)</f>
        <v>#N/A</v>
      </c>
      <c r="G717" s="6" t="e">
        <f>LOOKUP(2,1/(Coding!C:C=B717),Coding!H:H)</f>
        <v>#N/A</v>
      </c>
      <c r="H717" s="8" t="e">
        <f>E717+F717+G717</f>
        <v>#N/A</v>
      </c>
      <c r="I717" s="4" t="str">
        <f>IF(J717&lt;&gt;"Complete","Not Active",IF(H717&gt;=75,"Good",IF(H717&gt;=50,"Satisfactory",IF(H717&gt;=25,"Need Attention","Intervention"))))</f>
        <v>Not Active</v>
      </c>
      <c r="J717" s="4" t="str">
        <f>IF(COUNTIF(E717:G717,"#N/A")=3,"Not Attempted",IF(OR(ISNA(E717),ISNA(F717),ISNA(G717)),"NotCompleted","Complete"))</f>
        <v>NotCompleted</v>
      </c>
    </row>
    <row r="718" spans="1:10" ht="15" customHeight="1" x14ac:dyDescent="0.3">
      <c r="A718" s="16" t="s">
        <v>5489</v>
      </c>
      <c r="B718" s="20" t="s">
        <v>6483</v>
      </c>
      <c r="C718" s="20" t="s">
        <v>7219</v>
      </c>
      <c r="D718" s="2" t="s">
        <v>293</v>
      </c>
      <c r="E718" s="6" t="e">
        <f>LOOKUP(2,1/(MCQ!C:C=B718),MCQ!H:H)</f>
        <v>#N/A</v>
      </c>
      <c r="F718" s="6" t="e">
        <f>LOOKUP(2,1/(Debugging!C:C=B718),Debugging!H:H)</f>
        <v>#N/A</v>
      </c>
      <c r="G718" s="6" t="e">
        <f>LOOKUP(2,1/(Coding!C:C=B718),Coding!H:H)</f>
        <v>#N/A</v>
      </c>
      <c r="H718" s="8" t="e">
        <f>E718+F718+G718</f>
        <v>#N/A</v>
      </c>
      <c r="I718" s="4" t="str">
        <f>IF(J718&lt;&gt;"Complete","Not Active",IF(H718&gt;=75,"Good",IF(H718&gt;=50,"Satisfactory",IF(H718&gt;=25,"Need Attention","Intervention"))))</f>
        <v>Not Active</v>
      </c>
      <c r="J718" s="4" t="str">
        <f>IF(COUNTIF(E718:G718,"#N/A")=3,"Not Attempted",IF(OR(ISNA(E718),ISNA(F718),ISNA(G718)),"NotCompleted","Complete"))</f>
        <v>Not Attempted</v>
      </c>
    </row>
    <row r="719" spans="1:10" ht="15" customHeight="1" x14ac:dyDescent="0.3">
      <c r="A719" s="16" t="s">
        <v>5489</v>
      </c>
      <c r="B719" s="20" t="s">
        <v>1109</v>
      </c>
      <c r="C719" s="20" t="s">
        <v>7220</v>
      </c>
      <c r="D719" s="2" t="s">
        <v>133</v>
      </c>
      <c r="E719" s="6" t="str">
        <f>LOOKUP(2,1/(MCQ!C:C=B719),MCQ!H:H)</f>
        <v>23.00</v>
      </c>
      <c r="F719" s="6" t="str">
        <f>LOOKUP(2,1/(Debugging!C:C=B719),Debugging!H:H)</f>
        <v>46.00</v>
      </c>
      <c r="G719" s="6" t="str">
        <f>LOOKUP(2,1/(Coding!C:C=B719),Coding!H:H)</f>
        <v>25.00</v>
      </c>
      <c r="H719" s="8">
        <f>E719+F719+G719</f>
        <v>94</v>
      </c>
      <c r="I719" s="4" t="str">
        <f>IF(J719&lt;&gt;"Complete","Not Active",IF(H719&gt;=75,"Good",IF(H719&gt;=50,"Satisfactory",IF(H719&gt;=25,"Need Attention","Intervention"))))</f>
        <v>Good</v>
      </c>
      <c r="J719" s="4" t="str">
        <f>IF(COUNTIF(E719:G719,"#N/A")=3,"Not Attempted",IF(OR(ISNA(E719),ISNA(F719),ISNA(G719)),"NotCompleted","Complete"))</f>
        <v>Complete</v>
      </c>
    </row>
    <row r="720" spans="1:10" ht="15" customHeight="1" x14ac:dyDescent="0.3">
      <c r="A720" s="16" t="s">
        <v>5489</v>
      </c>
      <c r="B720" s="20" t="s">
        <v>6484</v>
      </c>
      <c r="C720" s="20" t="s">
        <v>7221</v>
      </c>
      <c r="D720" s="2" t="s">
        <v>123</v>
      </c>
      <c r="E720" s="6" t="e">
        <f>LOOKUP(2,1/(MCQ!C:C=B720),MCQ!H:H)</f>
        <v>#N/A</v>
      </c>
      <c r="F720" s="6" t="e">
        <f>LOOKUP(2,1/(Debugging!C:C=B720),Debugging!H:H)</f>
        <v>#N/A</v>
      </c>
      <c r="G720" s="6" t="e">
        <f>LOOKUP(2,1/(Coding!C:C=B720),Coding!H:H)</f>
        <v>#N/A</v>
      </c>
      <c r="H720" s="8" t="e">
        <f>E720+F720+G720</f>
        <v>#N/A</v>
      </c>
      <c r="I720" s="4" t="str">
        <f>IF(J720&lt;&gt;"Complete","Not Active",IF(H720&gt;=75,"Good",IF(H720&gt;=50,"Satisfactory",IF(H720&gt;=25,"Need Attention","Intervention"))))</f>
        <v>Not Active</v>
      </c>
      <c r="J720" s="4" t="str">
        <f>IF(COUNTIF(E720:G720,"#N/A")=3,"Not Attempted",IF(OR(ISNA(E720),ISNA(F720),ISNA(G720)),"NotCompleted","Complete"))</f>
        <v>Not Attempted</v>
      </c>
    </row>
    <row r="721" spans="1:10" ht="15" customHeight="1" x14ac:dyDescent="0.3">
      <c r="A721" s="16" t="s">
        <v>5489</v>
      </c>
      <c r="B721" s="20" t="s">
        <v>1111</v>
      </c>
      <c r="C721" s="20" t="s">
        <v>7222</v>
      </c>
      <c r="D721" s="2" t="s">
        <v>123</v>
      </c>
      <c r="E721" s="6" t="str">
        <f>LOOKUP(2,1/(MCQ!C:C=B721),MCQ!H:H)</f>
        <v>25.00</v>
      </c>
      <c r="F721" s="6" t="e">
        <f>LOOKUP(2,1/(Debugging!C:C=B721),Debugging!H:H)</f>
        <v>#N/A</v>
      </c>
      <c r="G721" s="6" t="str">
        <f>LOOKUP(2,1/(Coding!C:C=B721),Coding!H:H)</f>
        <v>25.00</v>
      </c>
      <c r="H721" s="8" t="e">
        <f>E721+F721+G721</f>
        <v>#N/A</v>
      </c>
      <c r="I721" s="4" t="str">
        <f>IF(J721&lt;&gt;"Complete","Not Active",IF(H721&gt;=75,"Good",IF(H721&gt;=50,"Satisfactory",IF(H721&gt;=25,"Need Attention","Intervention"))))</f>
        <v>Not Active</v>
      </c>
      <c r="J721" s="4" t="str">
        <f>IF(COUNTIF(E721:G721,"#N/A")=3,"Not Attempted",IF(OR(ISNA(E721),ISNA(F721),ISNA(G721)),"NotCompleted","Complete"))</f>
        <v>NotCompleted</v>
      </c>
    </row>
    <row r="722" spans="1:10" ht="15" customHeight="1" x14ac:dyDescent="0.3">
      <c r="A722" s="16" t="s">
        <v>5489</v>
      </c>
      <c r="B722" s="20" t="s">
        <v>1113</v>
      </c>
      <c r="C722" s="20" t="s">
        <v>7223</v>
      </c>
      <c r="D722" s="2" t="s">
        <v>28</v>
      </c>
      <c r="E722" s="6" t="str">
        <f>LOOKUP(2,1/(MCQ!C:C=B722),MCQ!H:H)</f>
        <v>23.00</v>
      </c>
      <c r="F722" s="6" t="e">
        <f>LOOKUP(2,1/(Debugging!C:C=B722),Debugging!H:H)</f>
        <v>#N/A</v>
      </c>
      <c r="G722" s="6" t="str">
        <f>LOOKUP(2,1/(Coding!C:C=B722),Coding!H:H)</f>
        <v>25.00</v>
      </c>
      <c r="H722" s="8" t="e">
        <f>E722+F722+G722</f>
        <v>#N/A</v>
      </c>
      <c r="I722" s="4" t="str">
        <f>IF(J722&lt;&gt;"Complete","Not Active",IF(H722&gt;=75,"Good",IF(H722&gt;=50,"Satisfactory",IF(H722&gt;=25,"Need Attention","Intervention"))))</f>
        <v>Not Active</v>
      </c>
      <c r="J722" s="4" t="str">
        <f>IF(COUNTIF(E722:G722,"#N/A")=3,"Not Attempted",IF(OR(ISNA(E722),ISNA(F722),ISNA(G722)),"NotCompleted","Complete"))</f>
        <v>NotCompleted</v>
      </c>
    </row>
    <row r="723" spans="1:10" ht="15" customHeight="1" x14ac:dyDescent="0.3">
      <c r="A723" s="16" t="s">
        <v>5489</v>
      </c>
      <c r="B723" s="20" t="s">
        <v>5818</v>
      </c>
      <c r="C723" s="20" t="s">
        <v>7224</v>
      </c>
      <c r="D723" s="2" t="s">
        <v>28</v>
      </c>
      <c r="E723" s="6" t="str">
        <f>LOOKUP(2,1/(MCQ!C:C=B723),MCQ!H:H)</f>
        <v>25.00</v>
      </c>
      <c r="F723" s="6" t="e">
        <f>LOOKUP(2,1/(Debugging!C:C=B723),Debugging!H:H)</f>
        <v>#N/A</v>
      </c>
      <c r="G723" s="6" t="e">
        <f>LOOKUP(2,1/(Coding!C:C=B723),Coding!H:H)</f>
        <v>#N/A</v>
      </c>
      <c r="H723" s="8" t="e">
        <f>E723+F723+G723</f>
        <v>#N/A</v>
      </c>
      <c r="I723" s="4" t="str">
        <f>IF(J723&lt;&gt;"Complete","Not Active",IF(H723&gt;=75,"Good",IF(H723&gt;=50,"Satisfactory",IF(H723&gt;=25,"Need Attention","Intervention"))))</f>
        <v>Not Active</v>
      </c>
      <c r="J723" s="4" t="str">
        <f>IF(COUNTIF(E723:G723,"#N/A")=3,"Not Attempted",IF(OR(ISNA(E723),ISNA(F723),ISNA(G723)),"NotCompleted","Complete"))</f>
        <v>NotCompleted</v>
      </c>
    </row>
    <row r="724" spans="1:10" ht="15" customHeight="1" x14ac:dyDescent="0.3">
      <c r="A724" s="16" t="s">
        <v>5489</v>
      </c>
      <c r="B724" s="20" t="s">
        <v>1115</v>
      </c>
      <c r="C724" s="20" t="s">
        <v>7225</v>
      </c>
      <c r="D724" s="2" t="s">
        <v>8</v>
      </c>
      <c r="E724" s="6" t="str">
        <f>LOOKUP(2,1/(MCQ!C:C=B724),MCQ!H:H)</f>
        <v>18.00</v>
      </c>
      <c r="F724" s="6" t="e">
        <f>LOOKUP(2,1/(Debugging!C:C=B724),Debugging!H:H)</f>
        <v>#N/A</v>
      </c>
      <c r="G724" s="6" t="e">
        <f>LOOKUP(2,1/(Coding!C:C=B724),Coding!H:H)</f>
        <v>#N/A</v>
      </c>
      <c r="H724" s="8" t="e">
        <f>E724+F724+G724</f>
        <v>#N/A</v>
      </c>
      <c r="I724" s="4" t="str">
        <f>IF(J724&lt;&gt;"Complete","Not Active",IF(H724&gt;=75,"Good",IF(H724&gt;=50,"Satisfactory",IF(H724&gt;=25,"Need Attention","Intervention"))))</f>
        <v>Not Active</v>
      </c>
      <c r="J724" s="4" t="str">
        <f>IF(COUNTIF(E724:G724,"#N/A")=3,"Not Attempted",IF(OR(ISNA(E724),ISNA(F724),ISNA(G724)),"NotCompleted","Complete"))</f>
        <v>NotCompleted</v>
      </c>
    </row>
    <row r="725" spans="1:10" ht="15" customHeight="1" x14ac:dyDescent="0.3">
      <c r="A725" s="16" t="s">
        <v>5489</v>
      </c>
      <c r="B725" s="20" t="s">
        <v>6485</v>
      </c>
      <c r="C725" s="20" t="s">
        <v>7226</v>
      </c>
      <c r="D725" s="2" t="s">
        <v>28</v>
      </c>
      <c r="E725" s="6" t="e">
        <f>LOOKUP(2,1/(MCQ!C:C=B725),MCQ!H:H)</f>
        <v>#N/A</v>
      </c>
      <c r="F725" s="6" t="e">
        <f>LOOKUP(2,1/(Debugging!C:C=B725),Debugging!H:H)</f>
        <v>#N/A</v>
      </c>
      <c r="G725" s="6" t="e">
        <f>LOOKUP(2,1/(Coding!C:C=B725),Coding!H:H)</f>
        <v>#N/A</v>
      </c>
      <c r="H725" s="8" t="e">
        <f>E725+F725+G725</f>
        <v>#N/A</v>
      </c>
      <c r="I725" s="4" t="str">
        <f>IF(J725&lt;&gt;"Complete","Not Active",IF(H725&gt;=75,"Good",IF(H725&gt;=50,"Satisfactory",IF(H725&gt;=25,"Need Attention","Intervention"))))</f>
        <v>Not Active</v>
      </c>
      <c r="J725" s="4" t="str">
        <f>IF(COUNTIF(E725:G725,"#N/A")=3,"Not Attempted",IF(OR(ISNA(E725),ISNA(F725),ISNA(G725)),"NotCompleted","Complete"))</f>
        <v>Not Attempted</v>
      </c>
    </row>
    <row r="726" spans="1:10" ht="15" customHeight="1" x14ac:dyDescent="0.3">
      <c r="A726" s="16" t="s">
        <v>5489</v>
      </c>
      <c r="B726" s="20" t="s">
        <v>6486</v>
      </c>
      <c r="C726" s="20" t="s">
        <v>7227</v>
      </c>
      <c r="D726" s="2" t="s">
        <v>42</v>
      </c>
      <c r="E726" s="6" t="e">
        <f>LOOKUP(2,1/(MCQ!C:C=B726),MCQ!H:H)</f>
        <v>#N/A</v>
      </c>
      <c r="F726" s="6" t="e">
        <f>LOOKUP(2,1/(Debugging!C:C=B726),Debugging!H:H)</f>
        <v>#N/A</v>
      </c>
      <c r="G726" s="6" t="e">
        <f>LOOKUP(2,1/(Coding!C:C=B726),Coding!H:H)</f>
        <v>#N/A</v>
      </c>
      <c r="H726" s="8" t="e">
        <f>E726+F726+G726</f>
        <v>#N/A</v>
      </c>
      <c r="I726" s="4" t="str">
        <f>IF(J726&lt;&gt;"Complete","Not Active",IF(H726&gt;=75,"Good",IF(H726&gt;=50,"Satisfactory",IF(H726&gt;=25,"Need Attention","Intervention"))))</f>
        <v>Not Active</v>
      </c>
      <c r="J726" s="4" t="str">
        <f>IF(COUNTIF(E726:G726,"#N/A")=3,"Not Attempted",IF(OR(ISNA(E726),ISNA(F726),ISNA(G726)),"NotCompleted","Complete"))</f>
        <v>Not Attempted</v>
      </c>
    </row>
    <row r="727" spans="1:10" ht="15" customHeight="1" x14ac:dyDescent="0.3">
      <c r="A727" s="16" t="s">
        <v>5489</v>
      </c>
      <c r="B727" s="20" t="s">
        <v>1117</v>
      </c>
      <c r="C727" s="20" t="s">
        <v>7228</v>
      </c>
      <c r="D727" s="2" t="s">
        <v>55</v>
      </c>
      <c r="E727" s="6" t="str">
        <f>LOOKUP(2,1/(MCQ!C:C=B727),MCQ!H:H)</f>
        <v>20.00</v>
      </c>
      <c r="F727" s="6" t="str">
        <f>LOOKUP(2,1/(Debugging!C:C=B727),Debugging!H:H)</f>
        <v>34.00</v>
      </c>
      <c r="G727" s="6" t="str">
        <f>LOOKUP(2,1/(Coding!C:C=B727),Coding!H:H)</f>
        <v>25.00</v>
      </c>
      <c r="H727" s="8">
        <f>E727+F727+G727</f>
        <v>79</v>
      </c>
      <c r="I727" s="4" t="str">
        <f>IF(J727&lt;&gt;"Complete","Not Active",IF(H727&gt;=75,"Good",IF(H727&gt;=50,"Satisfactory",IF(H727&gt;=25,"Need Attention","Intervention"))))</f>
        <v>Good</v>
      </c>
      <c r="J727" s="4" t="str">
        <f>IF(COUNTIF(E727:G727,"#N/A")=3,"Not Attempted",IF(OR(ISNA(E727),ISNA(F727),ISNA(G727)),"NotCompleted","Complete"))</f>
        <v>Complete</v>
      </c>
    </row>
    <row r="728" spans="1:10" ht="15" customHeight="1" x14ac:dyDescent="0.3">
      <c r="A728" s="16" t="s">
        <v>5489</v>
      </c>
      <c r="B728" s="20" t="s">
        <v>1119</v>
      </c>
      <c r="C728" s="20" t="s">
        <v>7229</v>
      </c>
      <c r="D728" s="2" t="s">
        <v>8</v>
      </c>
      <c r="E728" s="6" t="str">
        <f>LOOKUP(2,1/(MCQ!C:C=B728),MCQ!H:H)</f>
        <v>23.00</v>
      </c>
      <c r="F728" s="6" t="e">
        <f>LOOKUP(2,1/(Debugging!C:C=B728),Debugging!H:H)</f>
        <v>#N/A</v>
      </c>
      <c r="G728" s="6" t="str">
        <f>LOOKUP(2,1/(Coding!C:C=B728),Coding!H:H)</f>
        <v>24.00</v>
      </c>
      <c r="H728" s="8" t="e">
        <f>E728+F728+G728</f>
        <v>#N/A</v>
      </c>
      <c r="I728" s="4" t="str">
        <f>IF(J728&lt;&gt;"Complete","Not Active",IF(H728&gt;=75,"Good",IF(H728&gt;=50,"Satisfactory",IF(H728&gt;=25,"Need Attention","Intervention"))))</f>
        <v>Not Active</v>
      </c>
      <c r="J728" s="4" t="str">
        <f>IF(COUNTIF(E728:G728,"#N/A")=3,"Not Attempted",IF(OR(ISNA(E728),ISNA(F728),ISNA(G728)),"NotCompleted","Complete"))</f>
        <v>NotCompleted</v>
      </c>
    </row>
    <row r="729" spans="1:10" ht="15" customHeight="1" x14ac:dyDescent="0.3">
      <c r="A729" s="16" t="s">
        <v>5489</v>
      </c>
      <c r="B729" s="20" t="s">
        <v>6487</v>
      </c>
      <c r="C729" s="20" t="s">
        <v>7230</v>
      </c>
      <c r="D729" s="2" t="s">
        <v>28</v>
      </c>
      <c r="E729" s="6" t="e">
        <f>LOOKUP(2,1/(MCQ!C:C=B729),MCQ!H:H)</f>
        <v>#N/A</v>
      </c>
      <c r="F729" s="6" t="e">
        <f>LOOKUP(2,1/(Debugging!C:C=B729),Debugging!H:H)</f>
        <v>#N/A</v>
      </c>
      <c r="G729" s="6" t="e">
        <f>LOOKUP(2,1/(Coding!C:C=B729),Coding!H:H)</f>
        <v>#N/A</v>
      </c>
      <c r="H729" s="8" t="e">
        <f>E729+F729+G729</f>
        <v>#N/A</v>
      </c>
      <c r="I729" s="4" t="str">
        <f>IF(J729&lt;&gt;"Complete","Not Active",IF(H729&gt;=75,"Good",IF(H729&gt;=50,"Satisfactory",IF(H729&gt;=25,"Need Attention","Intervention"))))</f>
        <v>Not Active</v>
      </c>
      <c r="J729" s="4" t="str">
        <f>IF(COUNTIF(E729:G729,"#N/A")=3,"Not Attempted",IF(OR(ISNA(E729),ISNA(F729),ISNA(G729)),"NotCompleted","Complete"))</f>
        <v>Not Attempted</v>
      </c>
    </row>
    <row r="730" spans="1:10" ht="15" customHeight="1" x14ac:dyDescent="0.3">
      <c r="A730" s="16" t="s">
        <v>5489</v>
      </c>
      <c r="B730" s="20" t="s">
        <v>6488</v>
      </c>
      <c r="C730" s="20" t="s">
        <v>7231</v>
      </c>
      <c r="D730" s="2" t="s">
        <v>42</v>
      </c>
      <c r="E730" s="6" t="e">
        <f>LOOKUP(2,1/(MCQ!C:C=B730),MCQ!H:H)</f>
        <v>#N/A</v>
      </c>
      <c r="F730" s="6" t="e">
        <f>LOOKUP(2,1/(Debugging!C:C=B730),Debugging!H:H)</f>
        <v>#N/A</v>
      </c>
      <c r="G730" s="6" t="e">
        <f>LOOKUP(2,1/(Coding!C:C=B730),Coding!H:H)</f>
        <v>#N/A</v>
      </c>
      <c r="H730" s="8" t="e">
        <f>E730+F730+G730</f>
        <v>#N/A</v>
      </c>
      <c r="I730" s="4" t="str">
        <f>IF(J730&lt;&gt;"Complete","Not Active",IF(H730&gt;=75,"Good",IF(H730&gt;=50,"Satisfactory",IF(H730&gt;=25,"Need Attention","Intervention"))))</f>
        <v>Not Active</v>
      </c>
      <c r="J730" s="4" t="str">
        <f>IF(COUNTIF(E730:G730,"#N/A")=3,"Not Attempted",IF(OR(ISNA(E730),ISNA(F730),ISNA(G730)),"NotCompleted","Complete"))</f>
        <v>Not Attempted</v>
      </c>
    </row>
    <row r="731" spans="1:10" ht="15" customHeight="1" x14ac:dyDescent="0.3">
      <c r="A731" s="16" t="s">
        <v>5489</v>
      </c>
      <c r="B731" s="20" t="s">
        <v>5906</v>
      </c>
      <c r="C731" s="20" t="s">
        <v>7232</v>
      </c>
      <c r="D731" s="2" t="s">
        <v>55</v>
      </c>
      <c r="E731" s="6" t="str">
        <f>LOOKUP(2,1/(MCQ!C:C=B731),MCQ!H:H)</f>
        <v>22.00</v>
      </c>
      <c r="F731" s="6" t="e">
        <f>LOOKUP(2,1/(Debugging!C:C=B731),Debugging!H:H)</f>
        <v>#N/A</v>
      </c>
      <c r="G731" s="6" t="e">
        <f>LOOKUP(2,1/(Coding!C:C=B731),Coding!H:H)</f>
        <v>#N/A</v>
      </c>
      <c r="H731" s="8" t="e">
        <f>E731+F731+G731</f>
        <v>#N/A</v>
      </c>
      <c r="I731" s="4" t="str">
        <f>IF(J731&lt;&gt;"Complete","Not Active",IF(H731&gt;=75,"Good",IF(H731&gt;=50,"Satisfactory",IF(H731&gt;=25,"Need Attention","Intervention"))))</f>
        <v>Not Active</v>
      </c>
      <c r="J731" s="4" t="str">
        <f>IF(COUNTIF(E731:G731,"#N/A")=3,"Not Attempted",IF(OR(ISNA(E731),ISNA(F731),ISNA(G731)),"NotCompleted","Complete"))</f>
        <v>NotCompleted</v>
      </c>
    </row>
    <row r="732" spans="1:10" ht="15" customHeight="1" x14ac:dyDescent="0.3">
      <c r="A732" s="16" t="s">
        <v>5489</v>
      </c>
      <c r="B732" s="20" t="s">
        <v>1121</v>
      </c>
      <c r="C732" s="20" t="s">
        <v>7233</v>
      </c>
      <c r="D732" s="2" t="s">
        <v>8</v>
      </c>
      <c r="E732" s="6" t="str">
        <f>LOOKUP(2,1/(MCQ!C:C=B732),MCQ!H:H)</f>
        <v>23.00</v>
      </c>
      <c r="F732" s="6" t="str">
        <f>LOOKUP(2,1/(Debugging!C:C=B732),Debugging!H:H)</f>
        <v>37.00</v>
      </c>
      <c r="G732" s="6" t="str">
        <f>LOOKUP(2,1/(Coding!C:C=B732),Coding!H:H)</f>
        <v>23.50</v>
      </c>
      <c r="H732" s="8">
        <f>E732+F732+G732</f>
        <v>83.5</v>
      </c>
      <c r="I732" s="4" t="str">
        <f>IF(J732&lt;&gt;"Complete","Not Active",IF(H732&gt;=75,"Good",IF(H732&gt;=50,"Satisfactory",IF(H732&gt;=25,"Need Attention","Intervention"))))</f>
        <v>Good</v>
      </c>
      <c r="J732" s="4" t="str">
        <f>IF(COUNTIF(E732:G732,"#N/A")=3,"Not Attempted",IF(OR(ISNA(E732),ISNA(F732),ISNA(G732)),"NotCompleted","Complete"))</f>
        <v>Complete</v>
      </c>
    </row>
    <row r="733" spans="1:10" ht="15" customHeight="1" x14ac:dyDescent="0.3">
      <c r="A733" s="16" t="s">
        <v>5489</v>
      </c>
      <c r="B733" s="20" t="s">
        <v>1123</v>
      </c>
      <c r="C733" s="20" t="s">
        <v>7234</v>
      </c>
      <c r="D733" s="2" t="s">
        <v>16</v>
      </c>
      <c r="E733" s="6" t="str">
        <f>LOOKUP(2,1/(MCQ!C:C=B733),MCQ!H:H)</f>
        <v>25.00</v>
      </c>
      <c r="F733" s="6" t="str">
        <f>LOOKUP(2,1/(Debugging!C:C=B733),Debugging!H:H)</f>
        <v>43.00</v>
      </c>
      <c r="G733" s="6" t="str">
        <f>LOOKUP(2,1/(Coding!C:C=B733),Coding!H:H)</f>
        <v>23.50</v>
      </c>
      <c r="H733" s="8">
        <f>E733+F733+G733</f>
        <v>91.5</v>
      </c>
      <c r="I733" s="4" t="str">
        <f>IF(J733&lt;&gt;"Complete","Not Active",IF(H733&gt;=75,"Good",IF(H733&gt;=50,"Satisfactory",IF(H733&gt;=25,"Need Attention","Intervention"))))</f>
        <v>Good</v>
      </c>
      <c r="J733" s="4" t="str">
        <f>IF(COUNTIF(E733:G733,"#N/A")=3,"Not Attempted",IF(OR(ISNA(E733),ISNA(F733),ISNA(G733)),"NotCompleted","Complete"))</f>
        <v>Complete</v>
      </c>
    </row>
    <row r="734" spans="1:10" ht="15" customHeight="1" x14ac:dyDescent="0.3">
      <c r="A734" s="16" t="s">
        <v>5489</v>
      </c>
      <c r="B734" s="20" t="s">
        <v>1125</v>
      </c>
      <c r="C734" s="20" t="s">
        <v>7235</v>
      </c>
      <c r="D734" s="2" t="s">
        <v>8</v>
      </c>
      <c r="E734" s="6" t="str">
        <f>LOOKUP(2,1/(MCQ!C:C=B734),MCQ!H:H)</f>
        <v>24.00</v>
      </c>
      <c r="F734" s="6" t="str">
        <f>LOOKUP(2,1/(Debugging!C:C=B734),Debugging!H:H)</f>
        <v>47.00</v>
      </c>
      <c r="G734" s="6" t="str">
        <f>LOOKUP(2,1/(Coding!C:C=B734),Coding!H:H)</f>
        <v>25.00</v>
      </c>
      <c r="H734" s="8">
        <f>E734+F734+G734</f>
        <v>96</v>
      </c>
      <c r="I734" s="4" t="str">
        <f>IF(J734&lt;&gt;"Complete","Not Active",IF(H734&gt;=75,"Good",IF(H734&gt;=50,"Satisfactory",IF(H734&gt;=25,"Need Attention","Intervention"))))</f>
        <v>Good</v>
      </c>
      <c r="J734" s="4" t="str">
        <f>IF(COUNTIF(E734:G734,"#N/A")=3,"Not Attempted",IF(OR(ISNA(E734),ISNA(F734),ISNA(G734)),"NotCompleted","Complete"))</f>
        <v>Complete</v>
      </c>
    </row>
    <row r="735" spans="1:10" ht="15" customHeight="1" x14ac:dyDescent="0.3">
      <c r="A735" s="16" t="s">
        <v>5489</v>
      </c>
      <c r="B735" s="20" t="s">
        <v>1128</v>
      </c>
      <c r="C735" s="20" t="s">
        <v>7236</v>
      </c>
      <c r="D735" s="2" t="s">
        <v>1307</v>
      </c>
      <c r="E735" s="6" t="str">
        <f>LOOKUP(2,1/(MCQ!C:C=B735),MCQ!H:H)</f>
        <v>24.00</v>
      </c>
      <c r="F735" s="6" t="e">
        <f>LOOKUP(2,1/(Debugging!C:C=B735),Debugging!H:H)</f>
        <v>#N/A</v>
      </c>
      <c r="G735" s="6" t="str">
        <f>LOOKUP(2,1/(Coding!C:C=B735),Coding!H:H)</f>
        <v>23.50</v>
      </c>
      <c r="H735" s="8" t="e">
        <f>E735+F735+G735</f>
        <v>#N/A</v>
      </c>
      <c r="I735" s="4" t="str">
        <f>IF(J735&lt;&gt;"Complete","Not Active",IF(H735&gt;=75,"Good",IF(H735&gt;=50,"Satisfactory",IF(H735&gt;=25,"Need Attention","Intervention"))))</f>
        <v>Not Active</v>
      </c>
      <c r="J735" s="4" t="str">
        <f>IF(COUNTIF(E735:G735,"#N/A")=3,"Not Attempted",IF(OR(ISNA(E735),ISNA(F735),ISNA(G735)),"NotCompleted","Complete"))</f>
        <v>NotCompleted</v>
      </c>
    </row>
    <row r="736" spans="1:10" ht="15" customHeight="1" x14ac:dyDescent="0.3">
      <c r="A736" s="16" t="s">
        <v>5489</v>
      </c>
      <c r="B736" s="20" t="s">
        <v>6489</v>
      </c>
      <c r="C736" s="20" t="s">
        <v>7237</v>
      </c>
      <c r="D736" s="2" t="s">
        <v>31</v>
      </c>
      <c r="E736" s="6" t="e">
        <f>LOOKUP(2,1/(MCQ!C:C=B736),MCQ!H:H)</f>
        <v>#N/A</v>
      </c>
      <c r="F736" s="6" t="e">
        <f>LOOKUP(2,1/(Debugging!C:C=B736),Debugging!H:H)</f>
        <v>#N/A</v>
      </c>
      <c r="G736" s="6" t="e">
        <f>LOOKUP(2,1/(Coding!C:C=B736),Coding!H:H)</f>
        <v>#N/A</v>
      </c>
      <c r="H736" s="8" t="e">
        <f>E736+F736+G736</f>
        <v>#N/A</v>
      </c>
      <c r="I736" s="4" t="str">
        <f>IF(J736&lt;&gt;"Complete","Not Active",IF(H736&gt;=75,"Good",IF(H736&gt;=50,"Satisfactory",IF(H736&gt;=25,"Need Attention","Intervention"))))</f>
        <v>Not Active</v>
      </c>
      <c r="J736" s="4" t="str">
        <f>IF(COUNTIF(E736:G736,"#N/A")=3,"Not Attempted",IF(OR(ISNA(E736),ISNA(F736),ISNA(G736)),"NotCompleted","Complete"))</f>
        <v>Not Attempted</v>
      </c>
    </row>
    <row r="737" spans="1:10" ht="15" customHeight="1" x14ac:dyDescent="0.3">
      <c r="A737" s="16" t="s">
        <v>5489</v>
      </c>
      <c r="B737" s="20" t="s">
        <v>6490</v>
      </c>
      <c r="C737" s="20" t="s">
        <v>7238</v>
      </c>
      <c r="D737" s="2" t="s">
        <v>22</v>
      </c>
      <c r="E737" s="6" t="e">
        <f>LOOKUP(2,1/(MCQ!C:C=B737),MCQ!H:H)</f>
        <v>#N/A</v>
      </c>
      <c r="F737" s="6" t="e">
        <f>LOOKUP(2,1/(Debugging!C:C=B737),Debugging!H:H)</f>
        <v>#N/A</v>
      </c>
      <c r="G737" s="6" t="e">
        <f>LOOKUP(2,1/(Coding!C:C=B737),Coding!H:H)</f>
        <v>#N/A</v>
      </c>
      <c r="H737" s="8" t="e">
        <f>E737+F737+G737</f>
        <v>#N/A</v>
      </c>
      <c r="I737" s="4" t="str">
        <f>IF(J737&lt;&gt;"Complete","Not Active",IF(H737&gt;=75,"Good",IF(H737&gt;=50,"Satisfactory",IF(H737&gt;=25,"Need Attention","Intervention"))))</f>
        <v>Not Active</v>
      </c>
      <c r="J737" s="4" t="str">
        <f>IF(COUNTIF(E737:G737,"#N/A")=3,"Not Attempted",IF(OR(ISNA(E737),ISNA(F737),ISNA(G737)),"NotCompleted","Complete"))</f>
        <v>Not Attempted</v>
      </c>
    </row>
    <row r="738" spans="1:10" ht="15" customHeight="1" x14ac:dyDescent="0.3">
      <c r="A738" s="16" t="s">
        <v>5489</v>
      </c>
      <c r="B738" s="20" t="s">
        <v>1130</v>
      </c>
      <c r="C738" s="20" t="s">
        <v>7239</v>
      </c>
      <c r="D738" s="2" t="s">
        <v>28</v>
      </c>
      <c r="E738" s="6" t="str">
        <f>LOOKUP(2,1/(MCQ!C:C=B738),MCQ!H:H)</f>
        <v>24.00</v>
      </c>
      <c r="F738" s="6" t="str">
        <f>LOOKUP(2,1/(Debugging!C:C=B738),Debugging!H:H)</f>
        <v>43.00</v>
      </c>
      <c r="G738" s="6" t="e">
        <f>LOOKUP(2,1/(Coding!C:C=B738),Coding!H:H)</f>
        <v>#N/A</v>
      </c>
      <c r="H738" s="8" t="e">
        <f>E738+F738+G738</f>
        <v>#N/A</v>
      </c>
      <c r="I738" s="4" t="str">
        <f>IF(J738&lt;&gt;"Complete","Not Active",IF(H738&gt;=75,"Good",IF(H738&gt;=50,"Satisfactory",IF(H738&gt;=25,"Need Attention","Intervention"))))</f>
        <v>Not Active</v>
      </c>
      <c r="J738" s="4" t="str">
        <f>IF(COUNTIF(E738:G738,"#N/A")=3,"Not Attempted",IF(OR(ISNA(E738),ISNA(F738),ISNA(G738)),"NotCompleted","Complete"))</f>
        <v>NotCompleted</v>
      </c>
    </row>
    <row r="739" spans="1:10" ht="15" customHeight="1" x14ac:dyDescent="0.3">
      <c r="A739" s="16" t="s">
        <v>5489</v>
      </c>
      <c r="B739" s="20" t="s">
        <v>6491</v>
      </c>
      <c r="C739" s="20" t="s">
        <v>7240</v>
      </c>
      <c r="D739" s="2" t="s">
        <v>8</v>
      </c>
      <c r="E739" s="6" t="e">
        <f>LOOKUP(2,1/(Debugging!B:B=A739),Debugging!G:G)</f>
        <v>#N/A</v>
      </c>
      <c r="F739" s="6" t="e">
        <f>LOOKUP(2,1/(Debugging!C:C=B739),Debugging!H:H)</f>
        <v>#N/A</v>
      </c>
      <c r="G739" s="6" t="e">
        <f>LOOKUP(2,1/(Coding!C:C=B739),Coding!H:H)</f>
        <v>#N/A</v>
      </c>
      <c r="H739" s="8" t="e">
        <f>E739+F739+G739</f>
        <v>#N/A</v>
      </c>
      <c r="I739" s="4" t="str">
        <f>IF(J739&lt;&gt;"Complete","Not Active",IF(H739&gt;=75,"Good",IF(H739&gt;=50,"Satisfactory",IF(H739&gt;=25,"Need Attention","Intervention"))))</f>
        <v>Not Active</v>
      </c>
      <c r="J739" s="4" t="str">
        <f>IF(COUNTIF(E739:G739,"#N/A")=3,"Not Attempted",IF(OR(ISNA(E739),ISNA(F739),ISNA(G739)),"NotCompleted","Complete"))</f>
        <v>Not Attempted</v>
      </c>
    </row>
    <row r="740" spans="1:10" ht="15" customHeight="1" x14ac:dyDescent="0.3">
      <c r="A740" s="16" t="s">
        <v>5489</v>
      </c>
      <c r="B740" s="20" t="s">
        <v>1132</v>
      </c>
      <c r="C740" s="20" t="s">
        <v>7241</v>
      </c>
      <c r="D740" s="2" t="s">
        <v>31</v>
      </c>
      <c r="E740" s="6" t="str">
        <f>LOOKUP(2,1/(MCQ!C:C=B740),MCQ!H:H)</f>
        <v>23.00</v>
      </c>
      <c r="F740" s="6" t="str">
        <f>LOOKUP(2,1/(Debugging!C:C=B740),Debugging!H:H)</f>
        <v>32.00</v>
      </c>
      <c r="G740" s="6" t="str">
        <f>LOOKUP(2,1/(Coding!C:C=B740),Coding!H:H)</f>
        <v>7.50</v>
      </c>
      <c r="H740" s="8">
        <f>E740+F740+G740</f>
        <v>62.5</v>
      </c>
      <c r="I740" s="4" t="str">
        <f>IF(J740&lt;&gt;"Complete","Not Active",IF(H740&gt;=75,"Good",IF(H740&gt;=50,"Satisfactory",IF(H740&gt;=25,"Need Attention","Intervention"))))</f>
        <v>Satisfactory</v>
      </c>
      <c r="J740" s="4" t="str">
        <f>IF(COUNTIF(E740:G740,"#N/A")=3,"Not Attempted",IF(OR(ISNA(E740),ISNA(F740),ISNA(G740)),"NotCompleted","Complete"))</f>
        <v>Complete</v>
      </c>
    </row>
    <row r="741" spans="1:10" ht="15" customHeight="1" x14ac:dyDescent="0.3">
      <c r="A741" s="16" t="s">
        <v>5489</v>
      </c>
      <c r="B741" s="20" t="s">
        <v>6492</v>
      </c>
      <c r="C741" s="20" t="s">
        <v>7242</v>
      </c>
      <c r="D741" s="2" t="s">
        <v>8</v>
      </c>
      <c r="E741" s="6" t="e">
        <f>LOOKUP(2,1/(MCQ!C:C=B741),MCQ!H:H)</f>
        <v>#N/A</v>
      </c>
      <c r="F741" s="6" t="e">
        <f>LOOKUP(2,1/(Debugging!C:C=B741),Debugging!H:H)</f>
        <v>#N/A</v>
      </c>
      <c r="G741" s="6" t="e">
        <f>LOOKUP(2,1/(Coding!C:C=B741),Coding!H:H)</f>
        <v>#N/A</v>
      </c>
      <c r="H741" s="8" t="e">
        <f>E741+F741+G741</f>
        <v>#N/A</v>
      </c>
      <c r="I741" s="4" t="str">
        <f>IF(J741&lt;&gt;"Complete","Not Active",IF(H741&gt;=75,"Good",IF(H741&gt;=50,"Satisfactory",IF(H741&gt;=25,"Need Attention","Intervention"))))</f>
        <v>Not Active</v>
      </c>
      <c r="J741" s="4" t="str">
        <f>IF(COUNTIF(E741:G741,"#N/A")=3,"Not Attempted",IF(OR(ISNA(E741),ISNA(F741),ISNA(G741)),"NotCompleted","Complete"))</f>
        <v>Not Attempted</v>
      </c>
    </row>
    <row r="742" spans="1:10" ht="15" customHeight="1" x14ac:dyDescent="0.3">
      <c r="A742" s="16" t="s">
        <v>5489</v>
      </c>
      <c r="B742" s="20" t="s">
        <v>6493</v>
      </c>
      <c r="C742" s="20" t="s">
        <v>7243</v>
      </c>
      <c r="D742" s="2" t="s">
        <v>133</v>
      </c>
      <c r="E742" s="6" t="e">
        <f>LOOKUP(2,1/(MCQ!C:C=B742),MCQ!H:H)</f>
        <v>#N/A</v>
      </c>
      <c r="F742" s="6" t="e">
        <f>LOOKUP(2,1/(Debugging!C:C=B742),Debugging!H:H)</f>
        <v>#N/A</v>
      </c>
      <c r="G742" s="6" t="e">
        <f>LOOKUP(2,1/(Coding!C:C=B742),Coding!H:H)</f>
        <v>#N/A</v>
      </c>
      <c r="H742" s="8" t="e">
        <f>E742+F742+G742</f>
        <v>#N/A</v>
      </c>
      <c r="I742" s="4" t="str">
        <f>IF(J742&lt;&gt;"Complete","Not Active",IF(H742&gt;=75,"Good",IF(H742&gt;=50,"Satisfactory",IF(H742&gt;=25,"Need Attention","Intervention"))))</f>
        <v>Not Active</v>
      </c>
      <c r="J742" s="4" t="str">
        <f>IF(COUNTIF(E742:G742,"#N/A")=3,"Not Attempted",IF(OR(ISNA(E742),ISNA(F742),ISNA(G742)),"NotCompleted","Complete"))</f>
        <v>Not Attempted</v>
      </c>
    </row>
    <row r="743" spans="1:10" ht="15" customHeight="1" x14ac:dyDescent="0.3">
      <c r="A743" s="16" t="s">
        <v>5489</v>
      </c>
      <c r="B743" s="20" t="s">
        <v>1135</v>
      </c>
      <c r="C743" s="20" t="s">
        <v>7244</v>
      </c>
      <c r="D743" s="2" t="s">
        <v>16</v>
      </c>
      <c r="E743" s="6" t="str">
        <f>LOOKUP(2,1/(MCQ!C:C=B743),MCQ!H:H)</f>
        <v>22.00</v>
      </c>
      <c r="F743" s="6" t="str">
        <f>LOOKUP(2,1/(Debugging!C:C=B743),Debugging!H:H)</f>
        <v>46.00</v>
      </c>
      <c r="G743" s="6" t="e">
        <f>LOOKUP(2,1/(Coding!C:C=B743),Coding!H:H)</f>
        <v>#N/A</v>
      </c>
      <c r="H743" s="8" t="e">
        <f>E743+F743+G743</f>
        <v>#N/A</v>
      </c>
      <c r="I743" s="4" t="str">
        <f>IF(J743&lt;&gt;"Complete","Not Active",IF(H743&gt;=75,"Good",IF(H743&gt;=50,"Satisfactory",IF(H743&gt;=25,"Need Attention","Intervention"))))</f>
        <v>Not Active</v>
      </c>
      <c r="J743" s="4" t="str">
        <f>IF(COUNTIF(E743:G743,"#N/A")=3,"Not Attempted",IF(OR(ISNA(E743),ISNA(F743),ISNA(G743)),"NotCompleted","Complete"))</f>
        <v>NotCompleted</v>
      </c>
    </row>
    <row r="744" spans="1:10" ht="15" customHeight="1" x14ac:dyDescent="0.3">
      <c r="A744" s="16" t="s">
        <v>5489</v>
      </c>
      <c r="B744" s="20" t="s">
        <v>1137</v>
      </c>
      <c r="C744" s="20" t="s">
        <v>7245</v>
      </c>
      <c r="D744" s="2" t="s">
        <v>31</v>
      </c>
      <c r="E744" s="6" t="str">
        <f>LOOKUP(2,1/(MCQ!C:C=B744),MCQ!H:H)</f>
        <v>24.00</v>
      </c>
      <c r="F744" s="6" t="e">
        <f>LOOKUP(2,1/(Coding!B:B=A744),Coding!G:G)</f>
        <v>#N/A</v>
      </c>
      <c r="G744" s="6" t="e">
        <f>LOOKUP(2,1/(Coding!C:C=B744),Coding!H:H)</f>
        <v>#N/A</v>
      </c>
      <c r="H744" s="8" t="e">
        <f>E744+F744+G744</f>
        <v>#N/A</v>
      </c>
      <c r="I744" s="4" t="str">
        <f>IF(J744&lt;&gt;"Complete","Not Active",IF(H744&gt;=75,"Good",IF(H744&gt;=50,"Satisfactory",IF(H744&gt;=25,"Need Attention","Intervention"))))</f>
        <v>Not Active</v>
      </c>
      <c r="J744" s="4" t="str">
        <f>IF(COUNTIF(E744:G744,"#N/A")=3,"Not Attempted",IF(OR(ISNA(E744),ISNA(F744),ISNA(G744)),"NotCompleted","Complete"))</f>
        <v>NotCompleted</v>
      </c>
    </row>
    <row r="745" spans="1:10" ht="15" customHeight="1" x14ac:dyDescent="0.3">
      <c r="A745" s="16" t="s">
        <v>5489</v>
      </c>
      <c r="B745" s="20" t="s">
        <v>1139</v>
      </c>
      <c r="C745" s="20" t="s">
        <v>7246</v>
      </c>
      <c r="D745" s="2" t="s">
        <v>8</v>
      </c>
      <c r="E745" s="6" t="str">
        <f>LOOKUP(2,1/(MCQ!C:C=B745),MCQ!H:H)</f>
        <v>20.00</v>
      </c>
      <c r="F745" s="6" t="e">
        <f>LOOKUP(2,1/(Debugging!C:C=B745),Debugging!H:H)</f>
        <v>#N/A</v>
      </c>
      <c r="G745" s="6" t="e">
        <f>LOOKUP(2,1/(Coding!C:C=B745),Coding!H:H)</f>
        <v>#N/A</v>
      </c>
      <c r="H745" s="8" t="e">
        <f>E745+F745+G745</f>
        <v>#N/A</v>
      </c>
      <c r="I745" s="4" t="str">
        <f>IF(J745&lt;&gt;"Complete","Not Active",IF(H745&gt;=75,"Good",IF(H745&gt;=50,"Satisfactory",IF(H745&gt;=25,"Need Attention","Intervention"))))</f>
        <v>Not Active</v>
      </c>
      <c r="J745" s="4" t="str">
        <f>IF(COUNTIF(E745:G745,"#N/A")=3,"Not Attempted",IF(OR(ISNA(E745),ISNA(F745),ISNA(G745)),"NotCompleted","Complete"))</f>
        <v>NotCompleted</v>
      </c>
    </row>
    <row r="746" spans="1:10" ht="15" customHeight="1" x14ac:dyDescent="0.3">
      <c r="A746" s="16" t="s">
        <v>5489</v>
      </c>
      <c r="B746" s="20" t="s">
        <v>6053</v>
      </c>
      <c r="C746" s="20" t="s">
        <v>7247</v>
      </c>
      <c r="D746" s="2" t="s">
        <v>8</v>
      </c>
      <c r="E746" s="6" t="str">
        <f>LOOKUP(2,1/(MCQ!C:C=B746),MCQ!H:H)</f>
        <v>21.00</v>
      </c>
      <c r="F746" s="6" t="e">
        <f>LOOKUP(2,1/(Debugging!C:C=B746),Debugging!H:H)</f>
        <v>#N/A</v>
      </c>
      <c r="G746" s="6" t="e">
        <f>LOOKUP(2,1/(Coding!C:C=B746),Coding!H:H)</f>
        <v>#N/A</v>
      </c>
      <c r="H746" s="8" t="e">
        <f>E746+F746+G746</f>
        <v>#N/A</v>
      </c>
      <c r="I746" s="4" t="str">
        <f>IF(J746&lt;&gt;"Complete","Not Active",IF(H746&gt;=75,"Good",IF(H746&gt;=50,"Satisfactory",IF(H746&gt;=25,"Need Attention","Intervention"))))</f>
        <v>Not Active</v>
      </c>
      <c r="J746" s="4" t="str">
        <f>IF(COUNTIF(E746:G746,"#N/A")=3,"Not Attempted",IF(OR(ISNA(E746),ISNA(F746),ISNA(G746)),"NotCompleted","Complete"))</f>
        <v>NotCompleted</v>
      </c>
    </row>
    <row r="747" spans="1:10" ht="15" customHeight="1" x14ac:dyDescent="0.3">
      <c r="A747" s="18" t="s">
        <v>5489</v>
      </c>
      <c r="B747" s="20" t="s">
        <v>6572</v>
      </c>
      <c r="C747" s="21" t="s">
        <v>7493</v>
      </c>
      <c r="D747" s="23"/>
      <c r="E747" s="6" t="e">
        <f>LOOKUP(2,1/(Debugging!B:B=A747),Debugging!G:G)</f>
        <v>#N/A</v>
      </c>
      <c r="F747" s="6" t="e">
        <f>LOOKUP(2,1/(Debugging!C:C=B747),Debugging!H:H)</f>
        <v>#N/A</v>
      </c>
      <c r="G747" s="6" t="e">
        <f>LOOKUP(2,1/(Coding!C:C=B747),Coding!H:H)</f>
        <v>#N/A</v>
      </c>
      <c r="H747" s="8" t="e">
        <f>E747+F747+G747</f>
        <v>#N/A</v>
      </c>
      <c r="I747" s="4" t="str">
        <f>IF(J747&lt;&gt;"Complete","Not Active",IF(H747&gt;=75,"Good",IF(H747&gt;=50,"Satisfactory",IF(H747&gt;=25,"Need Attention","Intervention"))))</f>
        <v>Not Active</v>
      </c>
      <c r="J747" s="4" t="str">
        <f>IF(COUNTIF(E747:G747,"#N/A")=3,"Not Attempted",IF(OR(ISNA(E747),ISNA(F747),ISNA(G747)),"NotCompleted","Complete"))</f>
        <v>Not Attempted</v>
      </c>
    </row>
    <row r="748" spans="1:10" ht="15" customHeight="1" x14ac:dyDescent="0.3">
      <c r="A748" s="18" t="s">
        <v>5489</v>
      </c>
      <c r="B748" s="20" t="s">
        <v>1141</v>
      </c>
      <c r="C748" s="21" t="s">
        <v>7494</v>
      </c>
      <c r="D748" s="23"/>
      <c r="E748" s="6" t="str">
        <f>LOOKUP(2,1/(MCQ!C:C=B748),MCQ!H:H)</f>
        <v>24.00</v>
      </c>
      <c r="F748" s="6" t="e">
        <f>LOOKUP(2,1/(Debugging!C:C=B748),Debugging!H:H)</f>
        <v>#N/A</v>
      </c>
      <c r="G748" s="6" t="str">
        <f>LOOKUP(2,1/(Coding!C:C=B748),Coding!H:H)</f>
        <v>11.00</v>
      </c>
      <c r="H748" s="8" t="e">
        <f>E748+F748+G748</f>
        <v>#N/A</v>
      </c>
      <c r="I748" s="4" t="str">
        <f>IF(J748&lt;&gt;"Complete","Not Active",IF(H748&gt;=75,"Good",IF(H748&gt;=50,"Satisfactory",IF(H748&gt;=25,"Need Attention","Intervention"))))</f>
        <v>Not Active</v>
      </c>
      <c r="J748" s="4" t="str">
        <f>IF(COUNTIF(E748:G748,"#N/A")=3,"Not Attempted",IF(OR(ISNA(E748),ISNA(F748),ISNA(G748)),"NotCompleted","Complete"))</f>
        <v>NotCompleted</v>
      </c>
    </row>
    <row r="749" spans="1:10" ht="15" customHeight="1" x14ac:dyDescent="0.3">
      <c r="A749" s="18" t="s">
        <v>5489</v>
      </c>
      <c r="B749" s="20" t="s">
        <v>1143</v>
      </c>
      <c r="C749" s="21" t="s">
        <v>7495</v>
      </c>
      <c r="D749" s="23"/>
      <c r="E749" s="6" t="str">
        <f>LOOKUP(2,1/(MCQ!C:C=B749),MCQ!H:H)</f>
        <v>24.00</v>
      </c>
      <c r="F749" s="6" t="e">
        <f>LOOKUP(2,1/(Debugging!C:C=B749),Debugging!H:H)</f>
        <v>#N/A</v>
      </c>
      <c r="G749" s="6" t="str">
        <f>LOOKUP(2,1/(Coding!C:C=B749),Coding!H:H)</f>
        <v>25.00</v>
      </c>
      <c r="H749" s="8" t="e">
        <f>E749+F749+G749</f>
        <v>#N/A</v>
      </c>
      <c r="I749" s="4" t="str">
        <f>IF(J749&lt;&gt;"Complete","Not Active",IF(H749&gt;=75,"Good",IF(H749&gt;=50,"Satisfactory",IF(H749&gt;=25,"Need Attention","Intervention"))))</f>
        <v>Not Active</v>
      </c>
      <c r="J749" s="4" t="str">
        <f>IF(COUNTIF(E749:G749,"#N/A")=3,"Not Attempted",IF(OR(ISNA(E749),ISNA(F749),ISNA(G749)),"NotCompleted","Complete"))</f>
        <v>NotCompleted</v>
      </c>
    </row>
    <row r="750" spans="1:10" ht="15" customHeight="1" x14ac:dyDescent="0.3">
      <c r="A750" s="18" t="s">
        <v>5489</v>
      </c>
      <c r="B750" s="20" t="s">
        <v>1144</v>
      </c>
      <c r="C750" s="21" t="s">
        <v>7496</v>
      </c>
      <c r="D750" s="23"/>
      <c r="E750" s="6" t="str">
        <f>LOOKUP(2,1/(MCQ!C:C=B750),MCQ!H:H)</f>
        <v>24.00</v>
      </c>
      <c r="F750" s="6" t="e">
        <f>LOOKUP(2,1/(Debugging!C:C=B750),Debugging!H:H)</f>
        <v>#N/A</v>
      </c>
      <c r="G750" s="6" t="e">
        <f>LOOKUP(2,1/(Coding!C:C=B750),Coding!H:H)</f>
        <v>#N/A</v>
      </c>
      <c r="H750" s="8" t="e">
        <f>E750+F750+G750</f>
        <v>#N/A</v>
      </c>
      <c r="I750" s="4" t="str">
        <f>IF(J750&lt;&gt;"Complete","Not Active",IF(H750&gt;=75,"Good",IF(H750&gt;=50,"Satisfactory",IF(H750&gt;=25,"Need Attention","Intervention"))))</f>
        <v>Not Active</v>
      </c>
      <c r="J750" s="4" t="str">
        <f>IF(COUNTIF(E750:G750,"#N/A")=3,"Not Attempted",IF(OR(ISNA(E750),ISNA(F750),ISNA(G750)),"NotCompleted","Complete"))</f>
        <v>NotCompleted</v>
      </c>
    </row>
    <row r="751" spans="1:10" ht="15" customHeight="1" x14ac:dyDescent="0.3">
      <c r="A751" s="18" t="s">
        <v>5489</v>
      </c>
      <c r="B751" s="20" t="s">
        <v>6573</v>
      </c>
      <c r="C751" s="21" t="s">
        <v>7497</v>
      </c>
      <c r="D751" s="23"/>
      <c r="E751" s="6" t="e">
        <f>LOOKUP(2,1/(MCQ!C:C=B751),MCQ!H:H)</f>
        <v>#N/A</v>
      </c>
      <c r="F751" s="6" t="e">
        <f>LOOKUP(2,1/(Debugging!C:C=B751),Debugging!H:H)</f>
        <v>#N/A</v>
      </c>
      <c r="G751" s="6" t="e">
        <f>LOOKUP(2,1/(Coding!C:C=B751),Coding!H:H)</f>
        <v>#N/A</v>
      </c>
      <c r="H751" s="8" t="e">
        <f>E751+F751+G751</f>
        <v>#N/A</v>
      </c>
      <c r="I751" s="4" t="str">
        <f>IF(J751&lt;&gt;"Complete","Not Active",IF(H751&gt;=75,"Good",IF(H751&gt;=50,"Satisfactory",IF(H751&gt;=25,"Need Attention","Intervention"))))</f>
        <v>Not Active</v>
      </c>
      <c r="J751" s="4" t="str">
        <f>IF(COUNTIF(E751:G751,"#N/A")=3,"Not Attempted",IF(OR(ISNA(E751),ISNA(F751),ISNA(G751)),"NotCompleted","Complete"))</f>
        <v>Not Attempted</v>
      </c>
    </row>
    <row r="752" spans="1:10" ht="15" customHeight="1" x14ac:dyDescent="0.3">
      <c r="A752" s="17" t="s">
        <v>5490</v>
      </c>
      <c r="B752" s="20" t="s">
        <v>1146</v>
      </c>
      <c r="C752" s="20" t="s">
        <v>7015</v>
      </c>
      <c r="D752" s="2" t="s">
        <v>28</v>
      </c>
      <c r="E752" s="6" t="str">
        <f>LOOKUP(2,1/(MCQ!C:C=B752),MCQ!H:H)</f>
        <v>22.00</v>
      </c>
      <c r="F752" s="6" t="str">
        <f>LOOKUP(2,1/(Debugging!C:C=B752),Debugging!H:H)</f>
        <v>44.00</v>
      </c>
      <c r="G752" s="6" t="e">
        <f>LOOKUP(2,1/(Coding!C:C=B752),Coding!H:H)</f>
        <v>#N/A</v>
      </c>
      <c r="H752" s="8" t="e">
        <f>E752+F752+G752</f>
        <v>#N/A</v>
      </c>
      <c r="I752" s="4" t="str">
        <f>IF(J752&lt;&gt;"Complete","Not Active",IF(H752&gt;=75,"Good",IF(H752&gt;=50,"Satisfactory",IF(H752&gt;=25,"Need Attention","Intervention"))))</f>
        <v>Not Active</v>
      </c>
      <c r="J752" s="4" t="str">
        <f>IF(COUNTIF(E752:G752,"#N/A")=3,"Not Attempted",IF(OR(ISNA(E752),ISNA(F752),ISNA(G752)),"NotCompleted","Complete"))</f>
        <v>NotCompleted</v>
      </c>
    </row>
    <row r="753" spans="1:10" ht="15" customHeight="1" x14ac:dyDescent="0.3">
      <c r="A753" s="17" t="s">
        <v>5490</v>
      </c>
      <c r="B753" s="20" t="s">
        <v>1148</v>
      </c>
      <c r="C753" s="20" t="s">
        <v>7016</v>
      </c>
      <c r="D753" s="2" t="s">
        <v>133</v>
      </c>
      <c r="E753" s="6" t="str">
        <f>LOOKUP(2,1/(MCQ!C:C=B753),MCQ!H:H)</f>
        <v>25.00</v>
      </c>
      <c r="F753" s="6" t="str">
        <f>LOOKUP(2,1/(Debugging!C:C=B753),Debugging!H:H)</f>
        <v>44.00</v>
      </c>
      <c r="G753" s="6" t="str">
        <f>LOOKUP(2,1/(Coding!C:C=B753),Coding!H:H)</f>
        <v>25.00</v>
      </c>
      <c r="H753" s="8">
        <f>E753+F753+G753</f>
        <v>94</v>
      </c>
      <c r="I753" s="4" t="str">
        <f>IF(J753&lt;&gt;"Complete","Not Active",IF(H753&gt;=75,"Good",IF(H753&gt;=50,"Satisfactory",IF(H753&gt;=25,"Need Attention","Intervention"))))</f>
        <v>Good</v>
      </c>
      <c r="J753" s="4" t="str">
        <f>IF(COUNTIF(E753:G753,"#N/A")=3,"Not Attempted",IF(OR(ISNA(E753),ISNA(F753),ISNA(G753)),"NotCompleted","Complete"))</f>
        <v>Complete</v>
      </c>
    </row>
    <row r="754" spans="1:10" ht="15" customHeight="1" x14ac:dyDescent="0.3">
      <c r="A754" s="17" t="s">
        <v>5490</v>
      </c>
      <c r="B754" s="20" t="s">
        <v>1149</v>
      </c>
      <c r="C754" s="20" t="s">
        <v>7017</v>
      </c>
      <c r="D754" s="2" t="s">
        <v>585</v>
      </c>
      <c r="E754" s="6" t="str">
        <f>LOOKUP(2,1/(MCQ!C:C=B754),MCQ!H:H)</f>
        <v>24.00</v>
      </c>
      <c r="F754" s="6" t="str">
        <f>LOOKUP(2,1/(Debugging!C:C=B754),Debugging!H:H)</f>
        <v>32.00</v>
      </c>
      <c r="G754" s="6" t="str">
        <f>LOOKUP(2,1/(Coding!C:C=B754),Coding!H:H)</f>
        <v>24.00</v>
      </c>
      <c r="H754" s="8">
        <f>E754+F754+G754</f>
        <v>80</v>
      </c>
      <c r="I754" s="4" t="str">
        <f>IF(J754&lt;&gt;"Complete","Not Active",IF(H754&gt;=75,"Good",IF(H754&gt;=50,"Satisfactory",IF(H754&gt;=25,"Need Attention","Intervention"))))</f>
        <v>Good</v>
      </c>
      <c r="J754" s="4" t="str">
        <f>IF(COUNTIF(E754:G754,"#N/A")=3,"Not Attempted",IF(OR(ISNA(E754),ISNA(F754),ISNA(G754)),"NotCompleted","Complete"))</f>
        <v>Complete</v>
      </c>
    </row>
    <row r="755" spans="1:10" ht="15" customHeight="1" x14ac:dyDescent="0.3">
      <c r="A755" s="17" t="s">
        <v>5490</v>
      </c>
      <c r="B755" s="20" t="s">
        <v>1151</v>
      </c>
      <c r="C755" s="20" t="s">
        <v>7018</v>
      </c>
      <c r="D755" s="2" t="s">
        <v>42</v>
      </c>
      <c r="E755" s="6" t="str">
        <f>LOOKUP(2,1/(MCQ!C:C=B755),MCQ!H:H)</f>
        <v>24.00</v>
      </c>
      <c r="F755" s="6" t="str">
        <f>LOOKUP(2,1/(Debugging!C:C=B755),Debugging!H:H)</f>
        <v>45.00</v>
      </c>
      <c r="G755" s="6" t="str">
        <f>LOOKUP(2,1/(Coding!C:C=B755),Coding!H:H)</f>
        <v>19.00</v>
      </c>
      <c r="H755" s="8">
        <f>E755+F755+G755</f>
        <v>88</v>
      </c>
      <c r="I755" s="4" t="str">
        <f>IF(J755&lt;&gt;"Complete","Not Active",IF(H755&gt;=75,"Good",IF(H755&gt;=50,"Satisfactory",IF(H755&gt;=25,"Need Attention","Intervention"))))</f>
        <v>Good</v>
      </c>
      <c r="J755" s="4" t="str">
        <f>IF(COUNTIF(E755:G755,"#N/A")=3,"Not Attempted",IF(OR(ISNA(E755),ISNA(F755),ISNA(G755)),"NotCompleted","Complete"))</f>
        <v>Complete</v>
      </c>
    </row>
    <row r="756" spans="1:10" ht="15" customHeight="1" x14ac:dyDescent="0.3">
      <c r="A756" s="17" t="s">
        <v>5490</v>
      </c>
      <c r="B756" s="20" t="s">
        <v>1153</v>
      </c>
      <c r="C756" s="20" t="s">
        <v>7019</v>
      </c>
      <c r="D756" s="2" t="s">
        <v>8</v>
      </c>
      <c r="E756" s="6" t="str">
        <f>LOOKUP(2,1/(MCQ!C:C=B756),MCQ!H:H)</f>
        <v>19.00</v>
      </c>
      <c r="F756" s="6" t="str">
        <f>LOOKUP(2,1/(Debugging!C:C=B756),Debugging!H:H)</f>
        <v>35.00</v>
      </c>
      <c r="G756" s="6" t="str">
        <f>LOOKUP(2,1/(Coding!C:C=B756),Coding!H:H)</f>
        <v>24.00</v>
      </c>
      <c r="H756" s="8">
        <f>E756+F756+G756</f>
        <v>78</v>
      </c>
      <c r="I756" s="4" t="str">
        <f>IF(J756&lt;&gt;"Complete","Not Active",IF(H756&gt;=75,"Good",IF(H756&gt;=50,"Satisfactory",IF(H756&gt;=25,"Need Attention","Intervention"))))</f>
        <v>Good</v>
      </c>
      <c r="J756" s="4" t="str">
        <f>IF(COUNTIF(E756:G756,"#N/A")=3,"Not Attempted",IF(OR(ISNA(E756),ISNA(F756),ISNA(G756)),"NotCompleted","Complete"))</f>
        <v>Complete</v>
      </c>
    </row>
    <row r="757" spans="1:10" ht="15" customHeight="1" x14ac:dyDescent="0.3">
      <c r="A757" s="17" t="s">
        <v>5490</v>
      </c>
      <c r="B757" s="20" t="s">
        <v>1155</v>
      </c>
      <c r="C757" s="20" t="s">
        <v>7020</v>
      </c>
      <c r="D757" s="2" t="s">
        <v>55</v>
      </c>
      <c r="E757" s="6" t="str">
        <f>LOOKUP(2,1/(MCQ!C:C=B757),MCQ!H:H)</f>
        <v>23.00</v>
      </c>
      <c r="F757" s="6" t="str">
        <f>LOOKUP(2,1/(Debugging!C:C=B757),Debugging!H:H)</f>
        <v>43.00</v>
      </c>
      <c r="G757" s="6" t="str">
        <f>LOOKUP(2,1/(Coding!C:C=B757),Coding!H:H)</f>
        <v>23.00</v>
      </c>
      <c r="H757" s="8">
        <f>E757+F757+G757</f>
        <v>89</v>
      </c>
      <c r="I757" s="4" t="str">
        <f>IF(J757&lt;&gt;"Complete","Not Active",IF(H757&gt;=75,"Good",IF(H757&gt;=50,"Satisfactory",IF(H757&gt;=25,"Need Attention","Intervention"))))</f>
        <v>Good</v>
      </c>
      <c r="J757" s="4" t="str">
        <f>IF(COUNTIF(E757:G757,"#N/A")=3,"Not Attempted",IF(OR(ISNA(E757),ISNA(F757),ISNA(G757)),"NotCompleted","Complete"))</f>
        <v>Complete</v>
      </c>
    </row>
    <row r="758" spans="1:10" ht="15" customHeight="1" x14ac:dyDescent="0.3">
      <c r="A758" s="17" t="s">
        <v>5490</v>
      </c>
      <c r="B758" s="20" t="s">
        <v>1157</v>
      </c>
      <c r="C758" s="20" t="s">
        <v>7021</v>
      </c>
      <c r="D758" s="2" t="s">
        <v>8</v>
      </c>
      <c r="E758" s="6" t="str">
        <f>LOOKUP(2,1/(MCQ!C:C=B758),MCQ!H:H)</f>
        <v>21.00</v>
      </c>
      <c r="F758" s="6" t="str">
        <f>LOOKUP(2,1/(Debugging!C:C=B758),Debugging!H:H)</f>
        <v>41.00</v>
      </c>
      <c r="G758" s="6" t="e">
        <f>LOOKUP(2,1/(Coding!C:C=B758),Coding!H:H)</f>
        <v>#N/A</v>
      </c>
      <c r="H758" s="8" t="e">
        <f>E758+F758+G758</f>
        <v>#N/A</v>
      </c>
      <c r="I758" s="4" t="str">
        <f>IF(J758&lt;&gt;"Complete","Not Active",IF(H758&gt;=75,"Good",IF(H758&gt;=50,"Satisfactory",IF(H758&gt;=25,"Need Attention","Intervention"))))</f>
        <v>Not Active</v>
      </c>
      <c r="J758" s="4" t="str">
        <f>IF(COUNTIF(E758:G758,"#N/A")=3,"Not Attempted",IF(OR(ISNA(E758),ISNA(F758),ISNA(G758)),"NotCompleted","Complete"))</f>
        <v>NotCompleted</v>
      </c>
    </row>
    <row r="759" spans="1:10" ht="15" customHeight="1" x14ac:dyDescent="0.3">
      <c r="A759" s="17" t="s">
        <v>5490</v>
      </c>
      <c r="B759" s="20" t="s">
        <v>1159</v>
      </c>
      <c r="C759" s="20" t="s">
        <v>7022</v>
      </c>
      <c r="D759" s="2" t="s">
        <v>8</v>
      </c>
      <c r="E759" s="6" t="str">
        <f>LOOKUP(2,1/(MCQ!C:C=B759),MCQ!H:H)</f>
        <v>24.00</v>
      </c>
      <c r="F759" s="6" t="str">
        <f>LOOKUP(2,1/(Debugging!C:C=B759),Debugging!H:H)</f>
        <v>45.00</v>
      </c>
      <c r="G759" s="6" t="str">
        <f>LOOKUP(2,1/(Coding!C:C=B759),Coding!H:H)</f>
        <v>25.00</v>
      </c>
      <c r="H759" s="8">
        <f>E759+F759+G759</f>
        <v>94</v>
      </c>
      <c r="I759" s="4" t="str">
        <f>IF(J759&lt;&gt;"Complete","Not Active",IF(H759&gt;=75,"Good",IF(H759&gt;=50,"Satisfactory",IF(H759&gt;=25,"Need Attention","Intervention"))))</f>
        <v>Good</v>
      </c>
      <c r="J759" s="4" t="str">
        <f>IF(COUNTIF(E759:G759,"#N/A")=3,"Not Attempted",IF(OR(ISNA(E759),ISNA(F759),ISNA(G759)),"NotCompleted","Complete"))</f>
        <v>Complete</v>
      </c>
    </row>
    <row r="760" spans="1:10" ht="15" customHeight="1" x14ac:dyDescent="0.3">
      <c r="A760" s="17" t="s">
        <v>5490</v>
      </c>
      <c r="B760" s="20" t="s">
        <v>1161</v>
      </c>
      <c r="C760" s="20" t="s">
        <v>7023</v>
      </c>
      <c r="D760" s="2" t="s">
        <v>133</v>
      </c>
      <c r="E760" s="6" t="str">
        <f>LOOKUP(2,1/(MCQ!C:C=B760),MCQ!H:H)</f>
        <v>25.00</v>
      </c>
      <c r="F760" s="6" t="str">
        <f>LOOKUP(2,1/(Debugging!C:C=B760),Debugging!H:H)</f>
        <v>42.00</v>
      </c>
      <c r="G760" s="6" t="str">
        <f>LOOKUP(2,1/(Coding!C:C=B760),Coding!H:H)</f>
        <v>23.50</v>
      </c>
      <c r="H760" s="8">
        <f>E760+F760+G760</f>
        <v>90.5</v>
      </c>
      <c r="I760" s="4" t="str">
        <f>IF(J760&lt;&gt;"Complete","Not Active",IF(H760&gt;=75,"Good",IF(H760&gt;=50,"Satisfactory",IF(H760&gt;=25,"Need Attention","Intervention"))))</f>
        <v>Good</v>
      </c>
      <c r="J760" s="4" t="str">
        <f>IF(COUNTIF(E760:G760,"#N/A")=3,"Not Attempted",IF(OR(ISNA(E760),ISNA(F760),ISNA(G760)),"NotCompleted","Complete"))</f>
        <v>Complete</v>
      </c>
    </row>
    <row r="761" spans="1:10" ht="15" customHeight="1" x14ac:dyDescent="0.3">
      <c r="A761" s="17" t="s">
        <v>5490</v>
      </c>
      <c r="B761" s="20" t="s">
        <v>1163</v>
      </c>
      <c r="C761" s="20" t="s">
        <v>7024</v>
      </c>
      <c r="D761" s="2" t="s">
        <v>8</v>
      </c>
      <c r="E761" s="6" t="str">
        <f>LOOKUP(2,1/(MCQ!C:C=B761),MCQ!H:H)</f>
        <v>22.00</v>
      </c>
      <c r="F761" s="6" t="str">
        <f>LOOKUP(2,1/(Debugging!C:C=B761),Debugging!H:H)</f>
        <v>35.00</v>
      </c>
      <c r="G761" s="6" t="str">
        <f>LOOKUP(2,1/(Coding!C:C=B761),Coding!H:H)</f>
        <v>25.00</v>
      </c>
      <c r="H761" s="8">
        <f>E761+F761+G761</f>
        <v>82</v>
      </c>
      <c r="I761" s="4" t="str">
        <f>IF(J761&lt;&gt;"Complete","Not Active",IF(H761&gt;=75,"Good",IF(H761&gt;=50,"Satisfactory",IF(H761&gt;=25,"Need Attention","Intervention"))))</f>
        <v>Good</v>
      </c>
      <c r="J761" s="4" t="str">
        <f>IF(COUNTIF(E761:G761,"#N/A")=3,"Not Attempted",IF(OR(ISNA(E761),ISNA(F761),ISNA(G761)),"NotCompleted","Complete"))</f>
        <v>Complete</v>
      </c>
    </row>
    <row r="762" spans="1:10" ht="15" customHeight="1" x14ac:dyDescent="0.3">
      <c r="A762" s="17" t="s">
        <v>5490</v>
      </c>
      <c r="B762" s="20" t="s">
        <v>5513</v>
      </c>
      <c r="C762" s="20" t="s">
        <v>7025</v>
      </c>
      <c r="D762" s="2" t="s">
        <v>8</v>
      </c>
      <c r="E762" s="6" t="str">
        <f>LOOKUP(2,1/(MCQ!C:C=B762),MCQ!H:H)</f>
        <v>23.00</v>
      </c>
      <c r="F762" s="6" t="str">
        <f>LOOKUP(2,1/(Debugging!C:C=B762),Debugging!H:H)</f>
        <v>7.00</v>
      </c>
      <c r="G762" s="6" t="e">
        <f>LOOKUP(2,1/(Coding!C:C=B762),Coding!H:H)</f>
        <v>#N/A</v>
      </c>
      <c r="H762" s="8" t="e">
        <f>E762+F762+G762</f>
        <v>#N/A</v>
      </c>
      <c r="I762" s="4" t="str">
        <f>IF(J762&lt;&gt;"Complete","Not Active",IF(H762&gt;=75,"Good",IF(H762&gt;=50,"Satisfactory",IF(H762&gt;=25,"Need Attention","Intervention"))))</f>
        <v>Not Active</v>
      </c>
      <c r="J762" s="4" t="str">
        <f>IF(COUNTIF(E762:G762,"#N/A")=3,"Not Attempted",IF(OR(ISNA(E762),ISNA(F762),ISNA(G762)),"NotCompleted","Complete"))</f>
        <v>NotCompleted</v>
      </c>
    </row>
    <row r="763" spans="1:10" ht="15" customHeight="1" x14ac:dyDescent="0.3">
      <c r="A763" s="17" t="s">
        <v>5490</v>
      </c>
      <c r="B763" s="20" t="s">
        <v>1165</v>
      </c>
      <c r="C763" s="20" t="s">
        <v>7026</v>
      </c>
      <c r="D763" s="2" t="s">
        <v>794</v>
      </c>
      <c r="E763" s="6" t="str">
        <f>LOOKUP(2,1/(MCQ!C:C=B763),MCQ!H:H)</f>
        <v>24.00</v>
      </c>
      <c r="F763" s="6" t="str">
        <f>LOOKUP(2,1/(Debugging!C:C=B763),Debugging!H:H)</f>
        <v>34.00</v>
      </c>
      <c r="G763" s="6" t="str">
        <f>LOOKUP(2,1/(Coding!C:C=B763),Coding!H:H)</f>
        <v>19.50</v>
      </c>
      <c r="H763" s="8">
        <f>E763+F763+G763</f>
        <v>77.5</v>
      </c>
      <c r="I763" s="4" t="str">
        <f>IF(J763&lt;&gt;"Complete","Not Active",IF(H763&gt;=75,"Good",IF(H763&gt;=50,"Satisfactory",IF(H763&gt;=25,"Need Attention","Intervention"))))</f>
        <v>Good</v>
      </c>
      <c r="J763" s="4" t="str">
        <f>IF(COUNTIF(E763:G763,"#N/A")=3,"Not Attempted",IF(OR(ISNA(E763),ISNA(F763),ISNA(G763)),"NotCompleted","Complete"))</f>
        <v>Complete</v>
      </c>
    </row>
    <row r="764" spans="1:10" ht="15" customHeight="1" x14ac:dyDescent="0.3">
      <c r="A764" s="17" t="s">
        <v>5490</v>
      </c>
      <c r="B764" s="20" t="s">
        <v>5517</v>
      </c>
      <c r="C764" s="20" t="s">
        <v>7027</v>
      </c>
      <c r="D764" s="2" t="s">
        <v>123</v>
      </c>
      <c r="E764" s="6" t="str">
        <f>LOOKUP(2,1/(MCQ!C:C=B764),MCQ!H:H)</f>
        <v>22.00</v>
      </c>
      <c r="F764" s="6" t="str">
        <f>LOOKUP(2,1/(Debugging!C:C=B764),Debugging!H:H)</f>
        <v>32.00</v>
      </c>
      <c r="G764" s="6" t="e">
        <f>LOOKUP(2,1/(Coding!C:C=B764),Coding!H:H)</f>
        <v>#N/A</v>
      </c>
      <c r="H764" s="8" t="e">
        <f>E764+F764+G764</f>
        <v>#N/A</v>
      </c>
      <c r="I764" s="4" t="str">
        <f>IF(J764&lt;&gt;"Complete","Not Active",IF(H764&gt;=75,"Good",IF(H764&gt;=50,"Satisfactory",IF(H764&gt;=25,"Need Attention","Intervention"))))</f>
        <v>Not Active</v>
      </c>
      <c r="J764" s="4" t="str">
        <f>IF(COUNTIF(E764:G764,"#N/A")=3,"Not Attempted",IF(OR(ISNA(E764),ISNA(F764),ISNA(G764)),"NotCompleted","Complete"))</f>
        <v>NotCompleted</v>
      </c>
    </row>
    <row r="765" spans="1:10" ht="15" customHeight="1" x14ac:dyDescent="0.3">
      <c r="A765" s="17" t="s">
        <v>5490</v>
      </c>
      <c r="B765" s="20" t="s">
        <v>5525</v>
      </c>
      <c r="C765" s="20" t="s">
        <v>7028</v>
      </c>
      <c r="D765" s="2" t="s">
        <v>133</v>
      </c>
      <c r="E765" s="6" t="str">
        <f>LOOKUP(2,1/(MCQ!C:C=B765),MCQ!H:H)</f>
        <v>24.00</v>
      </c>
      <c r="F765" s="6" t="str">
        <f>LOOKUP(2,1/(Debugging!C:C=B765),Debugging!H:H)</f>
        <v>37.00</v>
      </c>
      <c r="G765" s="6" t="e">
        <f>LOOKUP(2,1/(Coding!C:C=B765),Coding!H:H)</f>
        <v>#N/A</v>
      </c>
      <c r="H765" s="8" t="e">
        <f>E765+F765+G765</f>
        <v>#N/A</v>
      </c>
      <c r="I765" s="4" t="str">
        <f>IF(J765&lt;&gt;"Complete","Not Active",IF(H765&gt;=75,"Good",IF(H765&gt;=50,"Satisfactory",IF(H765&gt;=25,"Need Attention","Intervention"))))</f>
        <v>Not Active</v>
      </c>
      <c r="J765" s="4" t="str">
        <f>IF(COUNTIF(E765:G765,"#N/A")=3,"Not Attempted",IF(OR(ISNA(E765),ISNA(F765),ISNA(G765)),"NotCompleted","Complete"))</f>
        <v>NotCompleted</v>
      </c>
    </row>
    <row r="766" spans="1:10" ht="15" customHeight="1" x14ac:dyDescent="0.3">
      <c r="A766" s="17" t="s">
        <v>5490</v>
      </c>
      <c r="B766" s="20" t="s">
        <v>1166</v>
      </c>
      <c r="C766" s="20" t="s">
        <v>7029</v>
      </c>
      <c r="D766" s="2" t="s">
        <v>8</v>
      </c>
      <c r="E766" s="6" t="str">
        <f>LOOKUP(2,1/(MCQ!C:C=B766),MCQ!H:H)</f>
        <v>25.00</v>
      </c>
      <c r="F766" s="6" t="str">
        <f>LOOKUP(2,1/(Debugging!C:C=B766),Debugging!H:H)</f>
        <v>45.00</v>
      </c>
      <c r="G766" s="6" t="str">
        <f>LOOKUP(2,1/(Coding!C:C=B766),Coding!H:H)</f>
        <v>23.50</v>
      </c>
      <c r="H766" s="8">
        <f>E766+F766+G766</f>
        <v>93.5</v>
      </c>
      <c r="I766" s="4" t="str">
        <f>IF(J766&lt;&gt;"Complete","Not Active",IF(H766&gt;=75,"Good",IF(H766&gt;=50,"Satisfactory",IF(H766&gt;=25,"Need Attention","Intervention"))))</f>
        <v>Good</v>
      </c>
      <c r="J766" s="4" t="str">
        <f>IF(COUNTIF(E766:G766,"#N/A")=3,"Not Attempted",IF(OR(ISNA(E766),ISNA(F766),ISNA(G766)),"NotCompleted","Complete"))</f>
        <v>Complete</v>
      </c>
    </row>
    <row r="767" spans="1:10" ht="15" customHeight="1" x14ac:dyDescent="0.3">
      <c r="A767" s="17" t="s">
        <v>5490</v>
      </c>
      <c r="B767" s="20" t="s">
        <v>1168</v>
      </c>
      <c r="C767" s="20" t="s">
        <v>7030</v>
      </c>
      <c r="D767" s="2" t="s">
        <v>49</v>
      </c>
      <c r="E767" s="6" t="str">
        <f>LOOKUP(2,1/(MCQ!C:C=B767),MCQ!H:H)</f>
        <v>25.00</v>
      </c>
      <c r="F767" s="6" t="str">
        <f>LOOKUP(2,1/(Debugging!C:C=B767),Debugging!H:H)</f>
        <v>42.00</v>
      </c>
      <c r="G767" s="6" t="str">
        <f>LOOKUP(2,1/(Coding!C:C=B767),Coding!H:H)</f>
        <v>23.50</v>
      </c>
      <c r="H767" s="8">
        <f>E767+F767+G767</f>
        <v>90.5</v>
      </c>
      <c r="I767" s="4" t="str">
        <f>IF(J767&lt;&gt;"Complete","Not Active",IF(H767&gt;=75,"Good",IF(H767&gt;=50,"Satisfactory",IF(H767&gt;=25,"Need Attention","Intervention"))))</f>
        <v>Good</v>
      </c>
      <c r="J767" s="4" t="str">
        <f>IF(COUNTIF(E767:G767,"#N/A")=3,"Not Attempted",IF(OR(ISNA(E767),ISNA(F767),ISNA(G767)),"NotCompleted","Complete"))</f>
        <v>Complete</v>
      </c>
    </row>
    <row r="768" spans="1:10" ht="15" customHeight="1" x14ac:dyDescent="0.3">
      <c r="A768" s="17" t="s">
        <v>5490</v>
      </c>
      <c r="B768" s="20" t="s">
        <v>5534</v>
      </c>
      <c r="C768" s="20" t="s">
        <v>7031</v>
      </c>
      <c r="D768" s="2" t="s">
        <v>31</v>
      </c>
      <c r="E768" s="6" t="str">
        <f>LOOKUP(2,1/(MCQ!C:C=B768),MCQ!H:H)</f>
        <v>21.00</v>
      </c>
      <c r="F768" s="6" t="str">
        <f>LOOKUP(2,1/(Debugging!C:C=B768),Debugging!H:H)</f>
        <v>39.00</v>
      </c>
      <c r="G768" s="6" t="e">
        <f>LOOKUP(2,1/(Coding!C:C=B768),Coding!H:H)</f>
        <v>#N/A</v>
      </c>
      <c r="H768" s="8" t="e">
        <f>E768+F768+G768</f>
        <v>#N/A</v>
      </c>
      <c r="I768" s="4" t="str">
        <f>IF(J768&lt;&gt;"Complete","Not Active",IF(H768&gt;=75,"Good",IF(H768&gt;=50,"Satisfactory",IF(H768&gt;=25,"Need Attention","Intervention"))))</f>
        <v>Not Active</v>
      </c>
      <c r="J768" s="4" t="str">
        <f>IF(COUNTIF(E768:G768,"#N/A")=3,"Not Attempted",IF(OR(ISNA(E768),ISNA(F768),ISNA(G768)),"NotCompleted","Complete"))</f>
        <v>NotCompleted</v>
      </c>
    </row>
    <row r="769" spans="1:10" ht="15" customHeight="1" x14ac:dyDescent="0.3">
      <c r="A769" s="17" t="s">
        <v>5490</v>
      </c>
      <c r="B769" s="20" t="s">
        <v>5542</v>
      </c>
      <c r="C769" s="20" t="s">
        <v>7032</v>
      </c>
      <c r="D769" s="2" t="s">
        <v>8</v>
      </c>
      <c r="E769" s="6" t="str">
        <f>LOOKUP(2,1/(MCQ!C:C=B769),MCQ!H:H)</f>
        <v>18.00</v>
      </c>
      <c r="F769" s="6" t="str">
        <f>LOOKUP(2,1/(Debugging!C:C=B769),Debugging!H:H)</f>
        <v>38.00</v>
      </c>
      <c r="G769" s="6" t="e">
        <f>LOOKUP(2,1/(Coding!C:C=B769),Coding!H:H)</f>
        <v>#N/A</v>
      </c>
      <c r="H769" s="8" t="e">
        <f>E769+F769+G769</f>
        <v>#N/A</v>
      </c>
      <c r="I769" s="4" t="str">
        <f>IF(J769&lt;&gt;"Complete","Not Active",IF(H769&gt;=75,"Good",IF(H769&gt;=50,"Satisfactory",IF(H769&gt;=25,"Need Attention","Intervention"))))</f>
        <v>Not Active</v>
      </c>
      <c r="J769" s="4" t="str">
        <f>IF(COUNTIF(E769:G769,"#N/A")=3,"Not Attempted",IF(OR(ISNA(E769),ISNA(F769),ISNA(G769)),"NotCompleted","Complete"))</f>
        <v>NotCompleted</v>
      </c>
    </row>
    <row r="770" spans="1:10" ht="15" customHeight="1" x14ac:dyDescent="0.3">
      <c r="A770" s="17" t="s">
        <v>5490</v>
      </c>
      <c r="B770" s="20" t="s">
        <v>5546</v>
      </c>
      <c r="C770" s="20" t="s">
        <v>7033</v>
      </c>
      <c r="D770" s="2" t="s">
        <v>893</v>
      </c>
      <c r="E770" s="6" t="str">
        <f>LOOKUP(2,1/(MCQ!C:C=B770),MCQ!H:H)</f>
        <v>16.00</v>
      </c>
      <c r="F770" s="6" t="str">
        <f>LOOKUP(2,1/(Debugging!C:C=B770),Debugging!H:H)</f>
        <v>0.00</v>
      </c>
      <c r="G770" s="6" t="e">
        <f>LOOKUP(2,1/(Coding!C:C=B770),Coding!H:H)</f>
        <v>#N/A</v>
      </c>
      <c r="H770" s="8" t="e">
        <f>E770+F770+G770</f>
        <v>#N/A</v>
      </c>
      <c r="I770" s="4" t="str">
        <f>IF(J770&lt;&gt;"Complete","Not Active",IF(H770&gt;=75,"Good",IF(H770&gt;=50,"Satisfactory",IF(H770&gt;=25,"Need Attention","Intervention"))))</f>
        <v>Not Active</v>
      </c>
      <c r="J770" s="4" t="str">
        <f>IF(COUNTIF(E770:G770,"#N/A")=3,"Not Attempted",IF(OR(ISNA(E770),ISNA(F770),ISNA(G770)),"NotCompleted","Complete"))</f>
        <v>NotCompleted</v>
      </c>
    </row>
    <row r="771" spans="1:10" ht="15" customHeight="1" x14ac:dyDescent="0.3">
      <c r="A771" s="17" t="s">
        <v>5490</v>
      </c>
      <c r="B771" s="20" t="s">
        <v>6469</v>
      </c>
      <c r="C771" s="20" t="s">
        <v>7034</v>
      </c>
      <c r="D771" s="2" t="s">
        <v>11</v>
      </c>
      <c r="E771" s="6" t="e">
        <f>LOOKUP(2,1/(MCQ!C:C=B771),MCQ!H:H)</f>
        <v>#N/A</v>
      </c>
      <c r="F771" s="6" t="e">
        <f>LOOKUP(2,1/(Debugging!C:C=B771),Debugging!H:H)</f>
        <v>#N/A</v>
      </c>
      <c r="G771" s="6" t="e">
        <f>LOOKUP(2,1/(Coding!C:C=B771),Coding!H:H)</f>
        <v>#N/A</v>
      </c>
      <c r="H771" s="8" t="e">
        <f>E771+F771+G771</f>
        <v>#N/A</v>
      </c>
      <c r="I771" s="4" t="str">
        <f>IF(J771&lt;&gt;"Complete","Not Active",IF(H771&gt;=75,"Good",IF(H771&gt;=50,"Satisfactory",IF(H771&gt;=25,"Need Attention","Intervention"))))</f>
        <v>Not Active</v>
      </c>
      <c r="J771" s="4" t="str">
        <f>IF(COUNTIF(E771:G771,"#N/A")=3,"Not Attempted",IF(OR(ISNA(E771),ISNA(F771),ISNA(G771)),"NotCompleted","Complete"))</f>
        <v>Not Attempted</v>
      </c>
    </row>
    <row r="772" spans="1:10" ht="15" customHeight="1" x14ac:dyDescent="0.3">
      <c r="A772" s="17" t="s">
        <v>5490</v>
      </c>
      <c r="B772" s="20" t="s">
        <v>1170</v>
      </c>
      <c r="C772" s="20" t="s">
        <v>7035</v>
      </c>
      <c r="D772" s="2" t="s">
        <v>8</v>
      </c>
      <c r="E772" s="6" t="str">
        <f>LOOKUP(2,1/(MCQ!C:C=B772),MCQ!H:H)</f>
        <v>24.00</v>
      </c>
      <c r="F772" s="6" t="str">
        <f>LOOKUP(2,1/(Debugging!C:C=B772),Debugging!H:H)</f>
        <v>48.00</v>
      </c>
      <c r="G772" s="6" t="e">
        <f>LOOKUP(2,1/(Coding!C:C=B772),Coding!H:H)</f>
        <v>#N/A</v>
      </c>
      <c r="H772" s="8" t="e">
        <f>E772+F772+G772</f>
        <v>#N/A</v>
      </c>
      <c r="I772" s="4" t="str">
        <f>IF(J772&lt;&gt;"Complete","Not Active",IF(H772&gt;=75,"Good",IF(H772&gt;=50,"Satisfactory",IF(H772&gt;=25,"Need Attention","Intervention"))))</f>
        <v>Not Active</v>
      </c>
      <c r="J772" s="4" t="str">
        <f>IF(COUNTIF(E772:G772,"#N/A")=3,"Not Attempted",IF(OR(ISNA(E772),ISNA(F772),ISNA(G772)),"NotCompleted","Complete"))</f>
        <v>NotCompleted</v>
      </c>
    </row>
    <row r="773" spans="1:10" ht="15" customHeight="1" x14ac:dyDescent="0.3">
      <c r="A773" s="17" t="s">
        <v>5490</v>
      </c>
      <c r="B773" s="20" t="s">
        <v>1172</v>
      </c>
      <c r="C773" s="20" t="s">
        <v>7036</v>
      </c>
      <c r="D773" s="2" t="s">
        <v>55</v>
      </c>
      <c r="E773" s="6" t="str">
        <f>LOOKUP(2,1/(MCQ!C:C=B773),MCQ!H:H)</f>
        <v>22.00</v>
      </c>
      <c r="F773" s="6" t="str">
        <f>LOOKUP(2,1/(Debugging!C:C=B773),Debugging!H:H)</f>
        <v>37.00</v>
      </c>
      <c r="G773" s="6" t="str">
        <f>LOOKUP(2,1/(Coding!C:C=B773),Coding!H:H)</f>
        <v>21.00</v>
      </c>
      <c r="H773" s="8">
        <f>E773+F773+G773</f>
        <v>80</v>
      </c>
      <c r="I773" s="4" t="str">
        <f>IF(J773&lt;&gt;"Complete","Not Active",IF(H773&gt;=75,"Good",IF(H773&gt;=50,"Satisfactory",IF(H773&gt;=25,"Need Attention","Intervention"))))</f>
        <v>Good</v>
      </c>
      <c r="J773" s="4" t="str">
        <f>IF(COUNTIF(E773:G773,"#N/A")=3,"Not Attempted",IF(OR(ISNA(E773),ISNA(F773),ISNA(G773)),"NotCompleted","Complete"))</f>
        <v>Complete</v>
      </c>
    </row>
    <row r="774" spans="1:10" ht="15" customHeight="1" x14ac:dyDescent="0.3">
      <c r="A774" s="17" t="s">
        <v>5490</v>
      </c>
      <c r="B774" s="20" t="s">
        <v>1174</v>
      </c>
      <c r="C774" s="20" t="s">
        <v>7037</v>
      </c>
      <c r="D774" s="2" t="s">
        <v>8</v>
      </c>
      <c r="E774" s="6" t="str">
        <f>LOOKUP(2,1/(MCQ!C:C=B774),MCQ!H:H)</f>
        <v>24.00</v>
      </c>
      <c r="F774" s="6" t="str">
        <f>LOOKUP(2,1/(Debugging!C:C=B774),Debugging!H:H)</f>
        <v>45.00</v>
      </c>
      <c r="G774" s="6" t="str">
        <f>LOOKUP(2,1/(Coding!C:C=B774),Coding!H:H)</f>
        <v>25.00</v>
      </c>
      <c r="H774" s="8">
        <f>E774+F774+G774</f>
        <v>94</v>
      </c>
      <c r="I774" s="4" t="str">
        <f>IF(J774&lt;&gt;"Complete","Not Active",IF(H774&gt;=75,"Good",IF(H774&gt;=50,"Satisfactory",IF(H774&gt;=25,"Need Attention","Intervention"))))</f>
        <v>Good</v>
      </c>
      <c r="J774" s="4" t="str">
        <f>IF(COUNTIF(E774:G774,"#N/A")=3,"Not Attempted",IF(OR(ISNA(E774),ISNA(F774),ISNA(G774)),"NotCompleted","Complete"))</f>
        <v>Complete</v>
      </c>
    </row>
    <row r="775" spans="1:10" ht="15" customHeight="1" x14ac:dyDescent="0.3">
      <c r="A775" s="17" t="s">
        <v>5490</v>
      </c>
      <c r="B775" s="20" t="s">
        <v>1175</v>
      </c>
      <c r="C775" s="20" t="s">
        <v>7038</v>
      </c>
      <c r="D775" s="2" t="s">
        <v>71</v>
      </c>
      <c r="E775" s="6" t="str">
        <f>LOOKUP(2,1/(MCQ!C:C=B775),MCQ!H:H)</f>
        <v>23.00</v>
      </c>
      <c r="F775" s="6" t="str">
        <f>LOOKUP(2,1/(Debugging!C:C=B775),Debugging!H:H)</f>
        <v>44.00</v>
      </c>
      <c r="G775" s="6" t="str">
        <f>LOOKUP(2,1/(Coding!C:C=B775),Coding!H:H)</f>
        <v>23.50</v>
      </c>
      <c r="H775" s="8">
        <f>E775+F775+G775</f>
        <v>90.5</v>
      </c>
      <c r="I775" s="4" t="str">
        <f>IF(J775&lt;&gt;"Complete","Not Active",IF(H775&gt;=75,"Good",IF(H775&gt;=50,"Satisfactory",IF(H775&gt;=25,"Need Attention","Intervention"))))</f>
        <v>Good</v>
      </c>
      <c r="J775" s="4" t="str">
        <f>IF(COUNTIF(E775:G775,"#N/A")=3,"Not Attempted",IF(OR(ISNA(E775),ISNA(F775),ISNA(G775)),"NotCompleted","Complete"))</f>
        <v>Complete</v>
      </c>
    </row>
    <row r="776" spans="1:10" ht="15" customHeight="1" x14ac:dyDescent="0.3">
      <c r="A776" s="17" t="s">
        <v>5490</v>
      </c>
      <c r="B776" s="20" t="s">
        <v>5562</v>
      </c>
      <c r="C776" s="20" t="s">
        <v>6646</v>
      </c>
      <c r="D776" s="2" t="s">
        <v>49</v>
      </c>
      <c r="E776" s="6" t="str">
        <f>LOOKUP(2,1/(MCQ!C:C=B776),MCQ!H:H)</f>
        <v>25.00</v>
      </c>
      <c r="F776" s="6" t="str">
        <f>LOOKUP(2,1/(Debugging!C:C=B776),Debugging!H:H)</f>
        <v>13.00</v>
      </c>
      <c r="G776" s="6" t="e">
        <f>LOOKUP(2,1/(Coding!C:C=B776),Coding!H:H)</f>
        <v>#N/A</v>
      </c>
      <c r="H776" s="8" t="e">
        <f>E776+F776+G776</f>
        <v>#N/A</v>
      </c>
      <c r="I776" s="4" t="str">
        <f>IF(J776&lt;&gt;"Complete","Not Active",IF(H776&gt;=75,"Good",IF(H776&gt;=50,"Satisfactory",IF(H776&gt;=25,"Need Attention","Intervention"))))</f>
        <v>Not Active</v>
      </c>
      <c r="J776" s="4" t="str">
        <f>IF(COUNTIF(E776:G776,"#N/A")=3,"Not Attempted",IF(OR(ISNA(E776),ISNA(F776),ISNA(G776)),"NotCompleted","Complete"))</f>
        <v>NotCompleted</v>
      </c>
    </row>
    <row r="777" spans="1:10" ht="15" customHeight="1" x14ac:dyDescent="0.3">
      <c r="A777" s="17" t="s">
        <v>5490</v>
      </c>
      <c r="B777" s="20" t="s">
        <v>5571</v>
      </c>
      <c r="C777" s="20" t="s">
        <v>7039</v>
      </c>
      <c r="D777" s="2" t="s">
        <v>31</v>
      </c>
      <c r="E777" s="6" t="str">
        <f>LOOKUP(2,1/(MCQ!C:C=B777),MCQ!H:H)</f>
        <v>24.00</v>
      </c>
      <c r="F777" s="6" t="str">
        <f>LOOKUP(2,1/(Debugging!C:C=B777),Debugging!H:H)</f>
        <v>46.00</v>
      </c>
      <c r="G777" s="6" t="e">
        <f>LOOKUP(2,1/(Coding!C:C=B777),Coding!H:H)</f>
        <v>#N/A</v>
      </c>
      <c r="H777" s="8" t="e">
        <f>E777+F777+G777</f>
        <v>#N/A</v>
      </c>
      <c r="I777" s="4" t="str">
        <f>IF(J777&lt;&gt;"Complete","Not Active",IF(H777&gt;=75,"Good",IF(H777&gt;=50,"Satisfactory",IF(H777&gt;=25,"Need Attention","Intervention"))))</f>
        <v>Not Active</v>
      </c>
      <c r="J777" s="4" t="str">
        <f>IF(COUNTIF(E777:G777,"#N/A")=3,"Not Attempted",IF(OR(ISNA(E777),ISNA(F777),ISNA(G777)),"NotCompleted","Complete"))</f>
        <v>NotCompleted</v>
      </c>
    </row>
    <row r="778" spans="1:10" ht="15" customHeight="1" x14ac:dyDescent="0.3">
      <c r="A778" s="17" t="s">
        <v>5490</v>
      </c>
      <c r="B778" s="20" t="s">
        <v>1176</v>
      </c>
      <c r="C778" s="20" t="s">
        <v>7040</v>
      </c>
      <c r="D778" s="2" t="s">
        <v>8</v>
      </c>
      <c r="E778" s="6" t="str">
        <f>LOOKUP(2,1/(MCQ!C:C=B778),MCQ!H:H)</f>
        <v>13.00</v>
      </c>
      <c r="F778" s="6" t="str">
        <f>LOOKUP(2,1/(Debugging!C:C=B778),Debugging!H:H)</f>
        <v>26.00</v>
      </c>
      <c r="G778" s="6" t="e">
        <f>LOOKUP(2,1/(Coding!C:C=B778),Coding!H:H)</f>
        <v>#N/A</v>
      </c>
      <c r="H778" s="8" t="e">
        <f>E778+F778+G778</f>
        <v>#N/A</v>
      </c>
      <c r="I778" s="4" t="str">
        <f>IF(J778&lt;&gt;"Complete","Not Active",IF(H778&gt;=75,"Good",IF(H778&gt;=50,"Satisfactory",IF(H778&gt;=25,"Need Attention","Intervention"))))</f>
        <v>Not Active</v>
      </c>
      <c r="J778" s="4" t="str">
        <f>IF(COUNTIF(E778:G778,"#N/A")=3,"Not Attempted",IF(OR(ISNA(E778),ISNA(F778),ISNA(G778)),"NotCompleted","Complete"))</f>
        <v>NotCompleted</v>
      </c>
    </row>
    <row r="779" spans="1:10" ht="15" customHeight="1" x14ac:dyDescent="0.3">
      <c r="A779" s="17" t="s">
        <v>5490</v>
      </c>
      <c r="B779" s="20" t="s">
        <v>5586</v>
      </c>
      <c r="C779" s="20" t="s">
        <v>7041</v>
      </c>
      <c r="D779" s="2" t="s">
        <v>31</v>
      </c>
      <c r="E779" s="6" t="e">
        <f>LOOKUP(2,1/(Debugging!B:B=A779),Debugging!G:G)</f>
        <v>#N/A</v>
      </c>
      <c r="F779" s="6" t="str">
        <f>LOOKUP(2,1/(Debugging!C:C=B779),Debugging!H:H)</f>
        <v>21.00</v>
      </c>
      <c r="G779" s="6" t="e">
        <f>LOOKUP(2,1/(Coding!C:C=B779),Coding!H:H)</f>
        <v>#N/A</v>
      </c>
      <c r="H779" s="8" t="e">
        <f>E779+F779+G779</f>
        <v>#N/A</v>
      </c>
      <c r="I779" s="4" t="str">
        <f>IF(J779&lt;&gt;"Complete","Not Active",IF(H779&gt;=75,"Good",IF(H779&gt;=50,"Satisfactory",IF(H779&gt;=25,"Need Attention","Intervention"))))</f>
        <v>Not Active</v>
      </c>
      <c r="J779" s="4" t="str">
        <f>IF(COUNTIF(E779:G779,"#N/A")=3,"Not Attempted",IF(OR(ISNA(E779),ISNA(F779),ISNA(G779)),"NotCompleted","Complete"))</f>
        <v>NotCompleted</v>
      </c>
    </row>
    <row r="780" spans="1:10" ht="15" customHeight="1" x14ac:dyDescent="0.3">
      <c r="A780" s="17" t="s">
        <v>5490</v>
      </c>
      <c r="B780" s="20" t="s">
        <v>5589</v>
      </c>
      <c r="C780" s="20" t="s">
        <v>7042</v>
      </c>
      <c r="D780" s="2" t="s">
        <v>31</v>
      </c>
      <c r="E780" s="6" t="str">
        <f>LOOKUP(2,1/(MCQ!C:C=B780),MCQ!H:H)</f>
        <v>25.00</v>
      </c>
      <c r="F780" s="6" t="str">
        <f>LOOKUP(2,1/(Debugging!C:C=B780),Debugging!H:H)</f>
        <v>26.00</v>
      </c>
      <c r="G780" s="6" t="e">
        <f>LOOKUP(2,1/(Coding!C:C=B780),Coding!H:H)</f>
        <v>#N/A</v>
      </c>
      <c r="H780" s="8" t="e">
        <f>E780+F780+G780</f>
        <v>#N/A</v>
      </c>
      <c r="I780" s="4" t="str">
        <f>IF(J780&lt;&gt;"Complete","Not Active",IF(H780&gt;=75,"Good",IF(H780&gt;=50,"Satisfactory",IF(H780&gt;=25,"Need Attention","Intervention"))))</f>
        <v>Not Active</v>
      </c>
      <c r="J780" s="4" t="str">
        <f>IF(COUNTIF(E780:G780,"#N/A")=3,"Not Attempted",IF(OR(ISNA(E780),ISNA(F780),ISNA(G780)),"NotCompleted","Complete"))</f>
        <v>NotCompleted</v>
      </c>
    </row>
    <row r="781" spans="1:10" ht="15" customHeight="1" x14ac:dyDescent="0.3">
      <c r="A781" s="17" t="s">
        <v>5490</v>
      </c>
      <c r="B781" s="20" t="s">
        <v>1178</v>
      </c>
      <c r="C781" s="20" t="s">
        <v>7043</v>
      </c>
      <c r="D781" s="2" t="s">
        <v>11</v>
      </c>
      <c r="E781" s="6" t="str">
        <f>LOOKUP(2,1/(MCQ!C:C=B781),MCQ!H:H)</f>
        <v>23.00</v>
      </c>
      <c r="F781" s="6" t="str">
        <f>LOOKUP(2,1/(Debugging!C:C=B781),Debugging!H:H)</f>
        <v>25.00</v>
      </c>
      <c r="G781" s="6" t="str">
        <f>LOOKUP(2,1/(Coding!C:C=B781),Coding!H:H)</f>
        <v>22.00</v>
      </c>
      <c r="H781" s="8">
        <f>E781+F781+G781</f>
        <v>70</v>
      </c>
      <c r="I781" s="4" t="str">
        <f>IF(J781&lt;&gt;"Complete","Not Active",IF(H781&gt;=75,"Good",IF(H781&gt;=50,"Satisfactory",IF(H781&gt;=25,"Need Attention","Intervention"))))</f>
        <v>Satisfactory</v>
      </c>
      <c r="J781" s="4" t="str">
        <f>IF(COUNTIF(E781:G781,"#N/A")=3,"Not Attempted",IF(OR(ISNA(E781),ISNA(F781),ISNA(G781)),"NotCompleted","Complete"))</f>
        <v>Complete</v>
      </c>
    </row>
    <row r="782" spans="1:10" ht="15" customHeight="1" x14ac:dyDescent="0.3">
      <c r="A782" s="17" t="s">
        <v>5490</v>
      </c>
      <c r="B782" s="20" t="s">
        <v>5597</v>
      </c>
      <c r="C782" s="20" t="s">
        <v>7044</v>
      </c>
      <c r="D782" s="2" t="s">
        <v>133</v>
      </c>
      <c r="E782" s="6" t="str">
        <f>LOOKUP(2,1/(MCQ!C:C=B782),MCQ!H:H)</f>
        <v>16.00</v>
      </c>
      <c r="F782" s="6" t="str">
        <f>LOOKUP(2,1/(Debugging!C:C=B782),Debugging!H:H)</f>
        <v>33.00</v>
      </c>
      <c r="G782" s="6" t="e">
        <f>LOOKUP(2,1/(Coding!C:C=B782),Coding!H:H)</f>
        <v>#N/A</v>
      </c>
      <c r="H782" s="8" t="e">
        <f>E782+F782+G782</f>
        <v>#N/A</v>
      </c>
      <c r="I782" s="4" t="str">
        <f>IF(J782&lt;&gt;"Complete","Not Active",IF(H782&gt;=75,"Good",IF(H782&gt;=50,"Satisfactory",IF(H782&gt;=25,"Need Attention","Intervention"))))</f>
        <v>Not Active</v>
      </c>
      <c r="J782" s="4" t="str">
        <f>IF(COUNTIF(E782:G782,"#N/A")=3,"Not Attempted",IF(OR(ISNA(E782),ISNA(F782),ISNA(G782)),"NotCompleted","Complete"))</f>
        <v>NotCompleted</v>
      </c>
    </row>
    <row r="783" spans="1:10" ht="15" customHeight="1" x14ac:dyDescent="0.3">
      <c r="A783" s="17" t="s">
        <v>5490</v>
      </c>
      <c r="B783" s="20" t="s">
        <v>1180</v>
      </c>
      <c r="C783" s="20" t="s">
        <v>7045</v>
      </c>
      <c r="D783" s="2" t="s">
        <v>919</v>
      </c>
      <c r="E783" s="6" t="str">
        <f>LOOKUP(2,1/(MCQ!C:C=B783),MCQ!H:H)</f>
        <v>24.00</v>
      </c>
      <c r="F783" s="6" t="str">
        <f>LOOKUP(2,1/(Debugging!C:C=B783),Debugging!H:H)</f>
        <v>43.00</v>
      </c>
      <c r="G783" s="6" t="e">
        <v>#N/A</v>
      </c>
      <c r="H783" s="8" t="e">
        <f>E783+F783+G783</f>
        <v>#N/A</v>
      </c>
      <c r="I783" s="4" t="str">
        <f>IF(J783&lt;&gt;"Complete","Not Active",IF(H783&gt;=75,"Good",IF(H783&gt;=50,"Satisfactory",IF(H783&gt;=25,"Need Attention","Intervention"))))</f>
        <v>Not Active</v>
      </c>
      <c r="J783" s="4" t="str">
        <f>IF(COUNTIF(E783:G783,"#N/A")=3,"Not Attempted",IF(OR(ISNA(E783),ISNA(F783),ISNA(G783)),"NotCompleted","Complete"))</f>
        <v>NotCompleted</v>
      </c>
    </row>
    <row r="784" spans="1:10" ht="15" customHeight="1" x14ac:dyDescent="0.3">
      <c r="A784" s="17" t="s">
        <v>5490</v>
      </c>
      <c r="B784" s="20" t="s">
        <v>5602</v>
      </c>
      <c r="C784" s="20" t="s">
        <v>7046</v>
      </c>
      <c r="D784" s="2" t="s">
        <v>16</v>
      </c>
      <c r="E784" s="6" t="str">
        <f>LOOKUP(2,1/(MCQ!C:C=B784),MCQ!H:H)</f>
        <v>25.00</v>
      </c>
      <c r="F784" s="6" t="str">
        <f>LOOKUP(2,1/(Debugging!C:C=B784),Debugging!H:H)</f>
        <v>47.00</v>
      </c>
      <c r="G784" s="6" t="e">
        <f>LOOKUP(2,1/(Coding!C:C=B784),Coding!H:H)</f>
        <v>#N/A</v>
      </c>
      <c r="H784" s="8" t="e">
        <f>E784+F784+G784</f>
        <v>#N/A</v>
      </c>
      <c r="I784" s="4" t="str">
        <f>IF(J784&lt;&gt;"Complete","Not Active",IF(H784&gt;=75,"Good",IF(H784&gt;=50,"Satisfactory",IF(H784&gt;=25,"Need Attention","Intervention"))))</f>
        <v>Not Active</v>
      </c>
      <c r="J784" s="4" t="str">
        <f>IF(COUNTIF(E784:G784,"#N/A")=3,"Not Attempted",IF(OR(ISNA(E784),ISNA(F784),ISNA(G784)),"NotCompleted","Complete"))</f>
        <v>NotCompleted</v>
      </c>
    </row>
    <row r="785" spans="1:10" ht="15" customHeight="1" x14ac:dyDescent="0.3">
      <c r="A785" s="17" t="s">
        <v>5490</v>
      </c>
      <c r="B785" s="20" t="s">
        <v>1182</v>
      </c>
      <c r="C785" s="20" t="s">
        <v>7047</v>
      </c>
      <c r="D785" s="2" t="s">
        <v>293</v>
      </c>
      <c r="E785" s="6" t="str">
        <f>LOOKUP(2,1/(MCQ!C:C=B785),MCQ!H:H)</f>
        <v>25.00</v>
      </c>
      <c r="F785" s="6" t="str">
        <f>LOOKUP(2,1/(Debugging!C:C=B785),Debugging!H:H)</f>
        <v>35.00</v>
      </c>
      <c r="G785" s="6" t="str">
        <f>LOOKUP(2,1/(Coding!C:C=B785),Coding!H:H)</f>
        <v>25.00</v>
      </c>
      <c r="H785" s="8">
        <f>E785+F785+G785</f>
        <v>85</v>
      </c>
      <c r="I785" s="4" t="str">
        <f>IF(J785&lt;&gt;"Complete","Not Active",IF(H785&gt;=75,"Good",IF(H785&gt;=50,"Satisfactory",IF(H785&gt;=25,"Need Attention","Intervention"))))</f>
        <v>Good</v>
      </c>
      <c r="J785" s="4" t="str">
        <f>IF(COUNTIF(E785:G785,"#N/A")=3,"Not Attempted",IF(OR(ISNA(E785),ISNA(F785),ISNA(G785)),"NotCompleted","Complete"))</f>
        <v>Complete</v>
      </c>
    </row>
    <row r="786" spans="1:10" ht="15" customHeight="1" x14ac:dyDescent="0.3">
      <c r="A786" s="17" t="s">
        <v>5490</v>
      </c>
      <c r="B786" s="20" t="s">
        <v>1184</v>
      </c>
      <c r="C786" s="20" t="s">
        <v>7048</v>
      </c>
      <c r="D786" s="2" t="s">
        <v>926</v>
      </c>
      <c r="E786" s="6" t="str">
        <f>LOOKUP(2,1/(MCQ!C:C=B786),MCQ!H:H)</f>
        <v>24.00</v>
      </c>
      <c r="F786" s="6" t="str">
        <f>LOOKUP(2,1/(Debugging!C:C=B786),Debugging!H:H)</f>
        <v>46.00</v>
      </c>
      <c r="G786" s="6" t="e">
        <f>LOOKUP(2,1/(Coding!C:C=B786),Coding!H:H)</f>
        <v>#N/A</v>
      </c>
      <c r="H786" s="8" t="e">
        <f>E786+F786+G786</f>
        <v>#N/A</v>
      </c>
      <c r="I786" s="4" t="str">
        <f>IF(J786&lt;&gt;"Complete","Not Active",IF(H786&gt;=75,"Good",IF(H786&gt;=50,"Satisfactory",IF(H786&gt;=25,"Need Attention","Intervention"))))</f>
        <v>Not Active</v>
      </c>
      <c r="J786" s="4" t="str">
        <f>IF(COUNTIF(E786:G786,"#N/A")=3,"Not Attempted",IF(OR(ISNA(E786),ISNA(F786),ISNA(G786)),"NotCompleted","Complete"))</f>
        <v>NotCompleted</v>
      </c>
    </row>
    <row r="787" spans="1:10" ht="15" customHeight="1" x14ac:dyDescent="0.3">
      <c r="A787" s="17" t="s">
        <v>5490</v>
      </c>
      <c r="B787" s="20" t="s">
        <v>5611</v>
      </c>
      <c r="C787" s="20" t="s">
        <v>7049</v>
      </c>
      <c r="D787" s="2" t="s">
        <v>31</v>
      </c>
      <c r="E787" s="6" t="str">
        <f>LOOKUP(2,1/(MCQ!C:C=B787),MCQ!H:H)</f>
        <v>16.00</v>
      </c>
      <c r="F787" s="6" t="str">
        <f>LOOKUP(2,1/(Debugging!C:C=B787),Debugging!H:H)</f>
        <v>26.00</v>
      </c>
      <c r="G787" s="6" t="e">
        <f>LOOKUP(2,1/(Coding!C:C=B787),Coding!H:H)</f>
        <v>#N/A</v>
      </c>
      <c r="H787" s="8" t="e">
        <f>E787+F787+G787</f>
        <v>#N/A</v>
      </c>
      <c r="I787" s="4" t="str">
        <f>IF(J787&lt;&gt;"Complete","Not Active",IF(H787&gt;=75,"Good",IF(H787&gt;=50,"Satisfactory",IF(H787&gt;=25,"Need Attention","Intervention"))))</f>
        <v>Not Active</v>
      </c>
      <c r="J787" s="4" t="str">
        <f>IF(COUNTIF(E787:G787,"#N/A")=3,"Not Attempted",IF(OR(ISNA(E787),ISNA(F787),ISNA(G787)),"NotCompleted","Complete"))</f>
        <v>NotCompleted</v>
      </c>
    </row>
    <row r="788" spans="1:10" ht="15" customHeight="1" x14ac:dyDescent="0.3">
      <c r="A788" s="17" t="s">
        <v>5490</v>
      </c>
      <c r="B788" s="20" t="s">
        <v>1186</v>
      </c>
      <c r="C788" s="20" t="s">
        <v>7050</v>
      </c>
      <c r="D788" s="2" t="s">
        <v>8</v>
      </c>
      <c r="E788" s="6" t="str">
        <f>LOOKUP(2,1/(MCQ!C:C=B788),MCQ!H:H)</f>
        <v>18.00</v>
      </c>
      <c r="F788" s="6" t="str">
        <f>LOOKUP(2,1/(Debugging!C:C=B788),Debugging!H:H)</f>
        <v>47.00</v>
      </c>
      <c r="G788" s="6" t="str">
        <f>LOOKUP(2,1/(Coding!C:C=B788),Coding!H:H)</f>
        <v>25.00</v>
      </c>
      <c r="H788" s="8">
        <f>E788+F788+G788</f>
        <v>90</v>
      </c>
      <c r="I788" s="4" t="str">
        <f>IF(J788&lt;&gt;"Complete","Not Active",IF(H788&gt;=75,"Good",IF(H788&gt;=50,"Satisfactory",IF(H788&gt;=25,"Need Attention","Intervention"))))</f>
        <v>Good</v>
      </c>
      <c r="J788" s="4" t="str">
        <f>IF(COUNTIF(E788:G788,"#N/A")=3,"Not Attempted",IF(OR(ISNA(E788),ISNA(F788),ISNA(G788)),"NotCompleted","Complete"))</f>
        <v>Complete</v>
      </c>
    </row>
    <row r="789" spans="1:10" ht="15" customHeight="1" x14ac:dyDescent="0.3">
      <c r="A789" s="17" t="s">
        <v>5490</v>
      </c>
      <c r="B789" s="20" t="s">
        <v>5632</v>
      </c>
      <c r="C789" s="20" t="s">
        <v>7051</v>
      </c>
      <c r="D789" s="2" t="s">
        <v>25</v>
      </c>
      <c r="E789" s="6" t="str">
        <f>LOOKUP(2,1/(MCQ!C:C=B789),MCQ!H:H)</f>
        <v>23.00</v>
      </c>
      <c r="F789" s="6" t="str">
        <f>LOOKUP(2,1/(Debugging!C:C=B789),Debugging!H:H)</f>
        <v>40.00</v>
      </c>
      <c r="G789" s="6" t="e">
        <f>LOOKUP(2,1/(Coding!C:C=B789),Coding!H:H)</f>
        <v>#N/A</v>
      </c>
      <c r="H789" s="8" t="e">
        <f>E789+F789+G789</f>
        <v>#N/A</v>
      </c>
      <c r="I789" s="4" t="str">
        <f>IF(J789&lt;&gt;"Complete","Not Active",IF(H789&gt;=75,"Good",IF(H789&gt;=50,"Satisfactory",IF(H789&gt;=25,"Need Attention","Intervention"))))</f>
        <v>Not Active</v>
      </c>
      <c r="J789" s="4" t="str">
        <f>IF(COUNTIF(E789:G789,"#N/A")=3,"Not Attempted",IF(OR(ISNA(E789),ISNA(F789),ISNA(G789)),"NotCompleted","Complete"))</f>
        <v>NotCompleted</v>
      </c>
    </row>
    <row r="790" spans="1:10" ht="15" customHeight="1" x14ac:dyDescent="0.3">
      <c r="A790" s="17" t="s">
        <v>5490</v>
      </c>
      <c r="B790" s="20" t="s">
        <v>1188</v>
      </c>
      <c r="C790" s="20" t="s">
        <v>7052</v>
      </c>
      <c r="D790" s="2" t="s">
        <v>123</v>
      </c>
      <c r="E790" s="6" t="str">
        <f>LOOKUP(2,1/(MCQ!C:C=B790),MCQ!H:H)</f>
        <v>25.00</v>
      </c>
      <c r="F790" s="6" t="str">
        <f>LOOKUP(2,1/(Debugging!C:C=B790),Debugging!H:H)</f>
        <v>37.00</v>
      </c>
      <c r="G790" s="6" t="str">
        <f>LOOKUP(2,1/(Coding!C:C=B790),Coding!H:H)</f>
        <v>10.00</v>
      </c>
      <c r="H790" s="8">
        <f>E790+F790+G790</f>
        <v>72</v>
      </c>
      <c r="I790" s="4" t="str">
        <f>IF(J790&lt;&gt;"Complete","Not Active",IF(H790&gt;=75,"Good",IF(H790&gt;=50,"Satisfactory",IF(H790&gt;=25,"Need Attention","Intervention"))))</f>
        <v>Satisfactory</v>
      </c>
      <c r="J790" s="4" t="str">
        <f>IF(COUNTIF(E790:G790,"#N/A")=3,"Not Attempted",IF(OR(ISNA(E790),ISNA(F790),ISNA(G790)),"NotCompleted","Complete"))</f>
        <v>Complete</v>
      </c>
    </row>
    <row r="791" spans="1:10" ht="15" customHeight="1" x14ac:dyDescent="0.3">
      <c r="A791" s="17" t="s">
        <v>5490</v>
      </c>
      <c r="B791" s="20" t="s">
        <v>1190</v>
      </c>
      <c r="C791" s="20" t="s">
        <v>7053</v>
      </c>
      <c r="D791" s="2" t="s">
        <v>123</v>
      </c>
      <c r="E791" s="6" t="str">
        <f>LOOKUP(2,1/(MCQ!C:C=B791),MCQ!H:H)</f>
        <v>17.00</v>
      </c>
      <c r="F791" s="6" t="str">
        <f>LOOKUP(2,1/(Debugging!C:C=B791),Debugging!H:H)</f>
        <v>26.00</v>
      </c>
      <c r="G791" s="6" t="str">
        <f>LOOKUP(2,1/(Coding!C:C=B791),Coding!H:H)</f>
        <v>25.00</v>
      </c>
      <c r="H791" s="8">
        <f>E791+F791+G791</f>
        <v>68</v>
      </c>
      <c r="I791" s="4" t="str">
        <f>IF(J791&lt;&gt;"Complete","Not Active",IF(H791&gt;=75,"Good",IF(H791&gt;=50,"Satisfactory",IF(H791&gt;=25,"Need Attention","Intervention"))))</f>
        <v>Satisfactory</v>
      </c>
      <c r="J791" s="4" t="str">
        <f>IF(COUNTIF(E791:G791,"#N/A")=3,"Not Attempted",IF(OR(ISNA(E791),ISNA(F791),ISNA(G791)),"NotCompleted","Complete"))</f>
        <v>Complete</v>
      </c>
    </row>
    <row r="792" spans="1:10" ht="15" customHeight="1" x14ac:dyDescent="0.3">
      <c r="A792" s="17" t="s">
        <v>5490</v>
      </c>
      <c r="B792" s="20" t="s">
        <v>1192</v>
      </c>
      <c r="C792" s="20" t="s">
        <v>7054</v>
      </c>
      <c r="D792" s="2" t="s">
        <v>350</v>
      </c>
      <c r="E792" s="6" t="str">
        <f>LOOKUP(2,1/(MCQ!C:C=B792),MCQ!H:H)</f>
        <v>24.00</v>
      </c>
      <c r="F792" s="6" t="str">
        <f>LOOKUP(2,1/(Debugging!C:C=B792),Debugging!H:H)</f>
        <v>41.00</v>
      </c>
      <c r="G792" s="6" t="str">
        <f>LOOKUP(2,1/(Coding!C:C=B792),Coding!H:H)</f>
        <v>23.00</v>
      </c>
      <c r="H792" s="8">
        <f>E792+F792+G792</f>
        <v>88</v>
      </c>
      <c r="I792" s="4" t="str">
        <f>IF(J792&lt;&gt;"Complete","Not Active",IF(H792&gt;=75,"Good",IF(H792&gt;=50,"Satisfactory",IF(H792&gt;=25,"Need Attention","Intervention"))))</f>
        <v>Good</v>
      </c>
      <c r="J792" s="4" t="str">
        <f>IF(COUNTIF(E792:G792,"#N/A")=3,"Not Attempted",IF(OR(ISNA(E792),ISNA(F792),ISNA(G792)),"NotCompleted","Complete"))</f>
        <v>Complete</v>
      </c>
    </row>
    <row r="793" spans="1:10" ht="15" customHeight="1" x14ac:dyDescent="0.3">
      <c r="A793" s="17" t="s">
        <v>5490</v>
      </c>
      <c r="B793" s="20" t="s">
        <v>5653</v>
      </c>
      <c r="C793" s="20" t="s">
        <v>7055</v>
      </c>
      <c r="D793" s="2" t="s">
        <v>939</v>
      </c>
      <c r="E793" s="6" t="str">
        <f>LOOKUP(2,1/(MCQ!C:C=B793),MCQ!H:H)</f>
        <v>22.00</v>
      </c>
      <c r="F793" s="6" t="str">
        <f>LOOKUP(2,1/(Debugging!C:C=B793),Debugging!H:H)</f>
        <v>46.00</v>
      </c>
      <c r="G793" s="6" t="e">
        <f>LOOKUP(2,1/(Coding!C:C=B793),Coding!H:H)</f>
        <v>#N/A</v>
      </c>
      <c r="H793" s="8" t="e">
        <f>E793+F793+G793</f>
        <v>#N/A</v>
      </c>
      <c r="I793" s="4" t="str">
        <f>IF(J793&lt;&gt;"Complete","Not Active",IF(H793&gt;=75,"Good",IF(H793&gt;=50,"Satisfactory",IF(H793&gt;=25,"Need Attention","Intervention"))))</f>
        <v>Not Active</v>
      </c>
      <c r="J793" s="4" t="str">
        <f>IF(COUNTIF(E793:G793,"#N/A")=3,"Not Attempted",IF(OR(ISNA(E793),ISNA(F793),ISNA(G793)),"NotCompleted","Complete"))</f>
        <v>NotCompleted</v>
      </c>
    </row>
    <row r="794" spans="1:10" ht="15" customHeight="1" x14ac:dyDescent="0.3">
      <c r="A794" s="17" t="s">
        <v>5490</v>
      </c>
      <c r="B794" s="20" t="s">
        <v>5665</v>
      </c>
      <c r="C794" s="20" t="s">
        <v>7056</v>
      </c>
      <c r="D794" s="2" t="s">
        <v>28</v>
      </c>
      <c r="E794" s="6" t="str">
        <f>LOOKUP(2,1/(MCQ!C:C=B794),MCQ!H:H)</f>
        <v>24.00</v>
      </c>
      <c r="F794" s="6" t="str">
        <f>LOOKUP(2,1/(Debugging!C:C=B794),Debugging!H:H)</f>
        <v>16.00</v>
      </c>
      <c r="G794" s="6" t="e">
        <f>LOOKUP(2,1/(Coding!C:C=B794),Coding!H:H)</f>
        <v>#N/A</v>
      </c>
      <c r="H794" s="8" t="e">
        <f>E794+F794+G794</f>
        <v>#N/A</v>
      </c>
      <c r="I794" s="4" t="str">
        <f>IF(J794&lt;&gt;"Complete","Not Active",IF(H794&gt;=75,"Good",IF(H794&gt;=50,"Satisfactory",IF(H794&gt;=25,"Need Attention","Intervention"))))</f>
        <v>Not Active</v>
      </c>
      <c r="J794" s="4" t="str">
        <f>IF(COUNTIF(E794:G794,"#N/A")=3,"Not Attempted",IF(OR(ISNA(E794),ISNA(F794),ISNA(G794)),"NotCompleted","Complete"))</f>
        <v>NotCompleted</v>
      </c>
    </row>
    <row r="795" spans="1:10" ht="15" customHeight="1" x14ac:dyDescent="0.3">
      <c r="A795" s="17" t="s">
        <v>5490</v>
      </c>
      <c r="B795" s="20" t="s">
        <v>1194</v>
      </c>
      <c r="C795" s="20" t="s">
        <v>7057</v>
      </c>
      <c r="D795" s="2" t="s">
        <v>42</v>
      </c>
      <c r="E795" s="6" t="str">
        <f>LOOKUP(2,1/(MCQ!C:C=B795),MCQ!H:H)</f>
        <v>24.00</v>
      </c>
      <c r="F795" s="6" t="str">
        <f>LOOKUP(2,1/(Debugging!C:C=B795),Debugging!H:H)</f>
        <v>42.00</v>
      </c>
      <c r="G795" s="6" t="e">
        <f>LOOKUP(2,1/(Coding!C:C=B795),Coding!H:H)</f>
        <v>#N/A</v>
      </c>
      <c r="H795" s="8" t="e">
        <f>E795+F795+G795</f>
        <v>#N/A</v>
      </c>
      <c r="I795" s="4" t="str">
        <f>IF(J795&lt;&gt;"Complete","Not Active",IF(H795&gt;=75,"Good",IF(H795&gt;=50,"Satisfactory",IF(H795&gt;=25,"Need Attention","Intervention"))))</f>
        <v>Not Active</v>
      </c>
      <c r="J795" s="4" t="str">
        <f>IF(COUNTIF(E795:G795,"#N/A")=3,"Not Attempted",IF(OR(ISNA(E795),ISNA(F795),ISNA(G795)),"NotCompleted","Complete"))</f>
        <v>NotCompleted</v>
      </c>
    </row>
    <row r="796" spans="1:10" ht="15" customHeight="1" x14ac:dyDescent="0.3">
      <c r="A796" s="17" t="s">
        <v>5490</v>
      </c>
      <c r="B796" s="20" t="s">
        <v>5683</v>
      </c>
      <c r="C796" s="20" t="s">
        <v>7058</v>
      </c>
      <c r="D796" s="2" t="s">
        <v>66</v>
      </c>
      <c r="E796" s="6" t="str">
        <f>LOOKUP(2,1/(MCQ!C:C=B796),MCQ!H:H)</f>
        <v>25.00</v>
      </c>
      <c r="F796" s="6" t="str">
        <f>LOOKUP(2,1/(Debugging!C:C=B796),Debugging!H:H)</f>
        <v>45.00</v>
      </c>
      <c r="G796" s="6" t="e">
        <f>LOOKUP(2,1/(Coding!C:C=B796),Coding!H:H)</f>
        <v>#N/A</v>
      </c>
      <c r="H796" s="8" t="e">
        <f>E796+F796+G796</f>
        <v>#N/A</v>
      </c>
      <c r="I796" s="4" t="str">
        <f>IF(J796&lt;&gt;"Complete","Not Active",IF(H796&gt;=75,"Good",IF(H796&gt;=50,"Satisfactory",IF(H796&gt;=25,"Need Attention","Intervention"))))</f>
        <v>Not Active</v>
      </c>
      <c r="J796" s="4" t="str">
        <f>IF(COUNTIF(E796:G796,"#N/A")=3,"Not Attempted",IF(OR(ISNA(E796),ISNA(F796),ISNA(G796)),"NotCompleted","Complete"))</f>
        <v>NotCompleted</v>
      </c>
    </row>
    <row r="797" spans="1:10" ht="15" customHeight="1" x14ac:dyDescent="0.3">
      <c r="A797" s="17" t="s">
        <v>5490</v>
      </c>
      <c r="B797" s="20" t="s">
        <v>1196</v>
      </c>
      <c r="C797" s="20" t="s">
        <v>7059</v>
      </c>
      <c r="D797" s="2" t="s">
        <v>947</v>
      </c>
      <c r="E797" s="6" t="str">
        <f>LOOKUP(2,1/(MCQ!C:C=B797),MCQ!H:H)</f>
        <v>23.00</v>
      </c>
      <c r="F797" s="6" t="e">
        <f>LOOKUP(2,1/(Debugging!C:C=B797),Debugging!H:H)</f>
        <v>#N/A</v>
      </c>
      <c r="G797" s="6" t="e">
        <f>LOOKUP(2,1/(Coding!C:C=B797),Coding!H:H)</f>
        <v>#N/A</v>
      </c>
      <c r="H797" s="8" t="e">
        <f>E797+F797+G797</f>
        <v>#N/A</v>
      </c>
      <c r="I797" s="4" t="str">
        <f>IF(J797&lt;&gt;"Complete","Not Active",IF(H797&gt;=75,"Good",IF(H797&gt;=50,"Satisfactory",IF(H797&gt;=25,"Need Attention","Intervention"))))</f>
        <v>Not Active</v>
      </c>
      <c r="J797" s="4" t="str">
        <f>IF(COUNTIF(E797:G797,"#N/A")=3,"Not Attempted",IF(OR(ISNA(E797),ISNA(F797),ISNA(G797)),"NotCompleted","Complete"))</f>
        <v>NotCompleted</v>
      </c>
    </row>
    <row r="798" spans="1:10" ht="15" customHeight="1" x14ac:dyDescent="0.3">
      <c r="A798" s="17" t="s">
        <v>5490</v>
      </c>
      <c r="B798" s="20" t="s">
        <v>1198</v>
      </c>
      <c r="C798" s="20" t="s">
        <v>7060</v>
      </c>
      <c r="D798" s="2" t="s">
        <v>8</v>
      </c>
      <c r="E798" s="6" t="str">
        <f>LOOKUP(2,1/(MCQ!C:C=B798),MCQ!H:H)</f>
        <v>18.00</v>
      </c>
      <c r="F798" s="6" t="str">
        <f>LOOKUP(2,1/(Debugging!C:C=B798),Debugging!H:H)</f>
        <v>33.00</v>
      </c>
      <c r="G798" s="6" t="str">
        <f>LOOKUP(2,1/(Coding!C:C=B798),Coding!H:H)</f>
        <v>22.50</v>
      </c>
      <c r="H798" s="8">
        <f>E798+F798+G798</f>
        <v>73.5</v>
      </c>
      <c r="I798" s="4" t="str">
        <f>IF(J798&lt;&gt;"Complete","Not Active",IF(H798&gt;=75,"Good",IF(H798&gt;=50,"Satisfactory",IF(H798&gt;=25,"Need Attention","Intervention"))))</f>
        <v>Satisfactory</v>
      </c>
      <c r="J798" s="4" t="str">
        <f>IF(COUNTIF(E798:G798,"#N/A")=3,"Not Attempted",IF(OR(ISNA(E798),ISNA(F798),ISNA(G798)),"NotCompleted","Complete"))</f>
        <v>Complete</v>
      </c>
    </row>
    <row r="799" spans="1:10" ht="15" customHeight="1" x14ac:dyDescent="0.3">
      <c r="A799" s="17" t="s">
        <v>5490</v>
      </c>
      <c r="B799" s="20" t="s">
        <v>1200</v>
      </c>
      <c r="C799" s="20" t="s">
        <v>7061</v>
      </c>
      <c r="D799" s="2" t="s">
        <v>133</v>
      </c>
      <c r="E799" s="6" t="str">
        <f>LOOKUP(2,1/(MCQ!C:C=B799),MCQ!H:H)</f>
        <v>22.00</v>
      </c>
      <c r="F799" s="6" t="str">
        <f>LOOKUP(2,1/(Debugging!C:C=B799),Debugging!H:H)</f>
        <v>38.00</v>
      </c>
      <c r="G799" s="6" t="e">
        <f>LOOKUP(2,1/(Coding!C:C=B799),Coding!H:H)</f>
        <v>#N/A</v>
      </c>
      <c r="H799" s="8" t="e">
        <f>E799+F799+G799</f>
        <v>#N/A</v>
      </c>
      <c r="I799" s="4" t="str">
        <f>IF(J799&lt;&gt;"Complete","Not Active",IF(H799&gt;=75,"Good",IF(H799&gt;=50,"Satisfactory",IF(H799&gt;=25,"Need Attention","Intervention"))))</f>
        <v>Not Active</v>
      </c>
      <c r="J799" s="4" t="str">
        <f>IF(COUNTIF(E799:G799,"#N/A")=3,"Not Attempted",IF(OR(ISNA(E799),ISNA(F799),ISNA(G799)),"NotCompleted","Complete"))</f>
        <v>NotCompleted</v>
      </c>
    </row>
    <row r="800" spans="1:10" ht="15" customHeight="1" x14ac:dyDescent="0.3">
      <c r="A800" s="17" t="s">
        <v>5490</v>
      </c>
      <c r="B800" s="20" t="s">
        <v>5700</v>
      </c>
      <c r="C800" s="20" t="s">
        <v>7062</v>
      </c>
      <c r="D800" s="2" t="s">
        <v>42</v>
      </c>
      <c r="E800" s="6" t="str">
        <f>LOOKUP(2,1/(MCQ!C:C=B800),MCQ!H:H)</f>
        <v>18.00</v>
      </c>
      <c r="F800" s="6" t="str">
        <f>LOOKUP(2,1/(Debugging!C:C=B800),Debugging!H:H)</f>
        <v>0.00</v>
      </c>
      <c r="G800" s="6" t="e">
        <f>LOOKUP(2,1/(Coding!C:C=B800),Coding!H:H)</f>
        <v>#N/A</v>
      </c>
      <c r="H800" s="8" t="e">
        <f>E800+F800+G800</f>
        <v>#N/A</v>
      </c>
      <c r="I800" s="4" t="str">
        <f>IF(J800&lt;&gt;"Complete","Not Active",IF(H800&gt;=75,"Good",IF(H800&gt;=50,"Satisfactory",IF(H800&gt;=25,"Need Attention","Intervention"))))</f>
        <v>Not Active</v>
      </c>
      <c r="J800" s="4" t="str">
        <f>IF(COUNTIF(E800:G800,"#N/A")=3,"Not Attempted",IF(OR(ISNA(E800),ISNA(F800),ISNA(G800)),"NotCompleted","Complete"))</f>
        <v>NotCompleted</v>
      </c>
    </row>
    <row r="801" spans="1:10" ht="15" customHeight="1" x14ac:dyDescent="0.3">
      <c r="A801" s="17" t="s">
        <v>5490</v>
      </c>
      <c r="B801" s="20" t="s">
        <v>5712</v>
      </c>
      <c r="C801" s="20" t="s">
        <v>7063</v>
      </c>
      <c r="D801" s="2" t="s">
        <v>42</v>
      </c>
      <c r="E801" s="6" t="str">
        <f>LOOKUP(2,1/(MCQ!C:C=B801),MCQ!H:H)</f>
        <v>24.00</v>
      </c>
      <c r="F801" s="6" t="str">
        <f>LOOKUP(2,1/(Debugging!C:C=B801),Debugging!H:H)</f>
        <v>42.00</v>
      </c>
      <c r="G801" s="6" t="e">
        <f>LOOKUP(2,1/(Coding!C:C=B801),Coding!H:H)</f>
        <v>#N/A</v>
      </c>
      <c r="H801" s="8" t="e">
        <f>E801+F801+G801</f>
        <v>#N/A</v>
      </c>
      <c r="I801" s="4" t="str">
        <f>IF(J801&lt;&gt;"Complete","Not Active",IF(H801&gt;=75,"Good",IF(H801&gt;=50,"Satisfactory",IF(H801&gt;=25,"Need Attention","Intervention"))))</f>
        <v>Not Active</v>
      </c>
      <c r="J801" s="4" t="str">
        <f>IF(COUNTIF(E801:G801,"#N/A")=3,"Not Attempted",IF(OR(ISNA(E801),ISNA(F801),ISNA(G801)),"NotCompleted","Complete"))</f>
        <v>NotCompleted</v>
      </c>
    </row>
    <row r="802" spans="1:10" ht="15" customHeight="1" x14ac:dyDescent="0.3">
      <c r="A802" s="17" t="s">
        <v>5490</v>
      </c>
      <c r="B802" s="20" t="s">
        <v>1203</v>
      </c>
      <c r="C802" s="20" t="s">
        <v>7064</v>
      </c>
      <c r="D802" s="2" t="s">
        <v>8</v>
      </c>
      <c r="E802" s="6" t="str">
        <f>LOOKUP(2,1/(MCQ!C:C=B802),MCQ!H:H)</f>
        <v>24.00</v>
      </c>
      <c r="F802" s="6" t="str">
        <f>LOOKUP(2,1/(Debugging!C:C=B802),Debugging!H:H)</f>
        <v>43.00</v>
      </c>
      <c r="G802" s="6" t="str">
        <f>LOOKUP(2,1/(Coding!C:C=B802),Coding!H:H)</f>
        <v>25.00</v>
      </c>
      <c r="H802" s="8">
        <f>E802+F802+G802</f>
        <v>92</v>
      </c>
      <c r="I802" s="4" t="str">
        <f>IF(J802&lt;&gt;"Complete","Not Active",IF(H802&gt;=75,"Good",IF(H802&gt;=50,"Satisfactory",IF(H802&gt;=25,"Need Attention","Intervention"))))</f>
        <v>Good</v>
      </c>
      <c r="J802" s="4" t="str">
        <f>IF(COUNTIF(E802:G802,"#N/A")=3,"Not Attempted",IF(OR(ISNA(E802),ISNA(F802),ISNA(G802)),"NotCompleted","Complete"))</f>
        <v>Complete</v>
      </c>
    </row>
    <row r="803" spans="1:10" ht="15" customHeight="1" x14ac:dyDescent="0.3">
      <c r="A803" s="17" t="s">
        <v>5490</v>
      </c>
      <c r="B803" s="20" t="s">
        <v>1205</v>
      </c>
      <c r="C803" s="20" t="s">
        <v>7065</v>
      </c>
      <c r="D803" s="2" t="s">
        <v>28</v>
      </c>
      <c r="E803" s="6" t="str">
        <f>LOOKUP(2,1/(MCQ!C:C=B803),MCQ!H:H)</f>
        <v>22.00</v>
      </c>
      <c r="F803" s="6" t="str">
        <f>LOOKUP(2,1/(Debugging!C:C=B803),Debugging!H:H)</f>
        <v>45.00</v>
      </c>
      <c r="G803" s="6" t="str">
        <f>LOOKUP(2,1/(Coding!C:C=B803),Coding!H:H)</f>
        <v>23.50</v>
      </c>
      <c r="H803" s="8">
        <f>E803+F803+G803</f>
        <v>90.5</v>
      </c>
      <c r="I803" s="4" t="str">
        <f>IF(J803&lt;&gt;"Complete","Not Active",IF(H803&gt;=75,"Good",IF(H803&gt;=50,"Satisfactory",IF(H803&gt;=25,"Need Attention","Intervention"))))</f>
        <v>Good</v>
      </c>
      <c r="J803" s="4" t="str">
        <f>IF(COUNTIF(E803:G803,"#N/A")=3,"Not Attempted",IF(OR(ISNA(E803),ISNA(F803),ISNA(G803)),"NotCompleted","Complete"))</f>
        <v>Complete</v>
      </c>
    </row>
    <row r="804" spans="1:10" ht="15" customHeight="1" x14ac:dyDescent="0.3">
      <c r="A804" s="17" t="s">
        <v>5490</v>
      </c>
      <c r="B804" s="20" t="s">
        <v>1207</v>
      </c>
      <c r="C804" s="20" t="s">
        <v>7066</v>
      </c>
      <c r="D804" s="2" t="s">
        <v>55</v>
      </c>
      <c r="E804" s="6" t="str">
        <f>LOOKUP(2,1/(MCQ!C:C=B804),MCQ!H:H)</f>
        <v>22.00</v>
      </c>
      <c r="F804" s="6" t="str">
        <f>LOOKUP(2,1/(Debugging!C:C=B804),Debugging!H:H)</f>
        <v>44.00</v>
      </c>
      <c r="G804" s="6" t="str">
        <f>LOOKUP(2,1/(Coding!C:C=B804),Coding!H:H)</f>
        <v>25.00</v>
      </c>
      <c r="H804" s="8">
        <f>E804+F804+G804</f>
        <v>91</v>
      </c>
      <c r="I804" s="4" t="str">
        <f>IF(J804&lt;&gt;"Complete","Not Active",IF(H804&gt;=75,"Good",IF(H804&gt;=50,"Satisfactory",IF(H804&gt;=25,"Need Attention","Intervention"))))</f>
        <v>Good</v>
      </c>
      <c r="J804" s="4" t="str">
        <f>IF(COUNTIF(E804:G804,"#N/A")=3,"Not Attempted",IF(OR(ISNA(E804),ISNA(F804),ISNA(G804)),"NotCompleted","Complete"))</f>
        <v>Complete</v>
      </c>
    </row>
    <row r="805" spans="1:10" ht="15" customHeight="1" x14ac:dyDescent="0.3">
      <c r="A805" s="17" t="s">
        <v>5490</v>
      </c>
      <c r="B805" s="20" t="s">
        <v>6470</v>
      </c>
      <c r="C805" s="20" t="s">
        <v>7067</v>
      </c>
      <c r="D805" s="2" t="s">
        <v>55</v>
      </c>
      <c r="E805" s="6" t="e">
        <f>LOOKUP(2,1/(MCQ!C:C=B805),MCQ!H:H)</f>
        <v>#N/A</v>
      </c>
      <c r="F805" s="6" t="e">
        <f>LOOKUP(2,1/(Debugging!C:C=B805),Debugging!H:H)</f>
        <v>#N/A</v>
      </c>
      <c r="G805" s="6" t="e">
        <f>LOOKUP(2,1/(Coding!C:C=B805),Coding!H:H)</f>
        <v>#N/A</v>
      </c>
      <c r="H805" s="8" t="e">
        <f>E805+F805+G805</f>
        <v>#N/A</v>
      </c>
      <c r="I805" s="4" t="str">
        <f>IF(J805&lt;&gt;"Complete","Not Active",IF(H805&gt;=75,"Good",IF(H805&gt;=50,"Satisfactory",IF(H805&gt;=25,"Need Attention","Intervention"))))</f>
        <v>Not Active</v>
      </c>
      <c r="J805" s="4" t="str">
        <f>IF(COUNTIF(E805:G805,"#N/A")=3,"Not Attempted",IF(OR(ISNA(E805),ISNA(F805),ISNA(G805)),"NotCompleted","Complete"))</f>
        <v>Not Attempted</v>
      </c>
    </row>
    <row r="806" spans="1:10" ht="15" customHeight="1" x14ac:dyDescent="0.3">
      <c r="A806" s="17" t="s">
        <v>5490</v>
      </c>
      <c r="B806" s="20" t="s">
        <v>1209</v>
      </c>
      <c r="C806" s="20" t="s">
        <v>7068</v>
      </c>
      <c r="D806" s="2" t="s">
        <v>8</v>
      </c>
      <c r="E806" s="6" t="str">
        <f>LOOKUP(2,1/(MCQ!C:C=B806),MCQ!H:H)</f>
        <v>23.00</v>
      </c>
      <c r="F806" s="6" t="str">
        <f>LOOKUP(2,1/(Debugging!C:C=B806),Debugging!H:H)</f>
        <v>41.00</v>
      </c>
      <c r="G806" s="6" t="str">
        <f>LOOKUP(2,1/(Coding!C:C=B806),Coding!H:H)</f>
        <v>19.50</v>
      </c>
      <c r="H806" s="8">
        <f>E806+F806+G806</f>
        <v>83.5</v>
      </c>
      <c r="I806" s="4" t="str">
        <f>IF(J806&lt;&gt;"Complete","Not Active",IF(H806&gt;=75,"Good",IF(H806&gt;=50,"Satisfactory",IF(H806&gt;=25,"Need Attention","Intervention"))))</f>
        <v>Good</v>
      </c>
      <c r="J806" s="4" t="str">
        <f>IF(COUNTIF(E806:G806,"#N/A")=3,"Not Attempted",IF(OR(ISNA(E806),ISNA(F806),ISNA(G806)),"NotCompleted","Complete"))</f>
        <v>Complete</v>
      </c>
    </row>
    <row r="807" spans="1:10" ht="15" customHeight="1" x14ac:dyDescent="0.3">
      <c r="A807" s="17" t="s">
        <v>5490</v>
      </c>
      <c r="B807" s="20" t="s">
        <v>5736</v>
      </c>
      <c r="C807" s="20" t="s">
        <v>7069</v>
      </c>
      <c r="D807" s="2" t="s">
        <v>563</v>
      </c>
      <c r="E807" s="6" t="str">
        <f>LOOKUP(2,1/(MCQ!C:C=B807),MCQ!H:H)</f>
        <v>24.00</v>
      </c>
      <c r="F807" s="6" t="str">
        <f>LOOKUP(2,1/(Debugging!C:C=B807),Debugging!H:H)</f>
        <v>43.00</v>
      </c>
      <c r="G807" s="6" t="e">
        <f>LOOKUP(2,1/(Coding!C:C=B807),Coding!H:H)</f>
        <v>#N/A</v>
      </c>
      <c r="H807" s="8" t="e">
        <f>E807+F807+G807</f>
        <v>#N/A</v>
      </c>
      <c r="I807" s="4" t="str">
        <f>IF(J807&lt;&gt;"Complete","Not Active",IF(H807&gt;=75,"Good",IF(H807&gt;=50,"Satisfactory",IF(H807&gt;=25,"Need Attention","Intervention"))))</f>
        <v>Not Active</v>
      </c>
      <c r="J807" s="4" t="str">
        <f>IF(COUNTIF(E807:G807,"#N/A")=3,"Not Attempted",IF(OR(ISNA(E807),ISNA(F807),ISNA(G807)),"NotCompleted","Complete"))</f>
        <v>NotCompleted</v>
      </c>
    </row>
    <row r="808" spans="1:10" ht="15" customHeight="1" x14ac:dyDescent="0.3">
      <c r="A808" s="17" t="s">
        <v>5490</v>
      </c>
      <c r="B808" s="20" t="s">
        <v>5741</v>
      </c>
      <c r="C808" s="20" t="s">
        <v>7070</v>
      </c>
      <c r="D808" s="2" t="s">
        <v>11</v>
      </c>
      <c r="E808" s="6" t="str">
        <f>LOOKUP(2,1/(MCQ!C:C=B808),MCQ!H:H)</f>
        <v>18.00</v>
      </c>
      <c r="F808" s="6" t="str">
        <f>LOOKUP(2,1/(Debugging!C:C=B808),Debugging!H:H)</f>
        <v>24.00</v>
      </c>
      <c r="G808" s="6" t="e">
        <f>LOOKUP(2,1/(Coding!C:C=B808),Coding!H:H)</f>
        <v>#N/A</v>
      </c>
      <c r="H808" s="8" t="e">
        <f>E808+F808+G808</f>
        <v>#N/A</v>
      </c>
      <c r="I808" s="4" t="str">
        <f>IF(J808&lt;&gt;"Complete","Not Active",IF(H808&gt;=75,"Good",IF(H808&gt;=50,"Satisfactory",IF(H808&gt;=25,"Need Attention","Intervention"))))</f>
        <v>Not Active</v>
      </c>
      <c r="J808" s="4" t="str">
        <f>IF(COUNTIF(E808:G808,"#N/A")=3,"Not Attempted",IF(OR(ISNA(E808),ISNA(F808),ISNA(G808)),"NotCompleted","Complete"))</f>
        <v>NotCompleted</v>
      </c>
    </row>
    <row r="809" spans="1:10" ht="15" customHeight="1" x14ac:dyDescent="0.3">
      <c r="A809" s="17" t="s">
        <v>5490</v>
      </c>
      <c r="B809" s="20" t="s">
        <v>5751</v>
      </c>
      <c r="C809" s="20" t="s">
        <v>7071</v>
      </c>
      <c r="D809" s="2" t="s">
        <v>55</v>
      </c>
      <c r="E809" s="6" t="str">
        <f>LOOKUP(2,1/(MCQ!C:C=B809),MCQ!H:H)</f>
        <v>21.00</v>
      </c>
      <c r="F809" s="6" t="str">
        <f>LOOKUP(2,1/(Debugging!C:C=B809),Debugging!H:H)</f>
        <v>49.00</v>
      </c>
      <c r="G809" s="6" t="e">
        <f>LOOKUP(2,1/(Coding!C:C=B809),Coding!H:H)</f>
        <v>#N/A</v>
      </c>
      <c r="H809" s="8" t="e">
        <f>E809+F809+G809</f>
        <v>#N/A</v>
      </c>
      <c r="I809" s="4" t="str">
        <f>IF(J809&lt;&gt;"Complete","Not Active",IF(H809&gt;=75,"Good",IF(H809&gt;=50,"Satisfactory",IF(H809&gt;=25,"Need Attention","Intervention"))))</f>
        <v>Not Active</v>
      </c>
      <c r="J809" s="4" t="str">
        <f>IF(COUNTIF(E809:G809,"#N/A")=3,"Not Attempted",IF(OR(ISNA(E809),ISNA(F809),ISNA(G809)),"NotCompleted","Complete"))</f>
        <v>NotCompleted</v>
      </c>
    </row>
    <row r="810" spans="1:10" ht="15" customHeight="1" x14ac:dyDescent="0.3">
      <c r="A810" s="17" t="s">
        <v>5490</v>
      </c>
      <c r="B810" s="20" t="s">
        <v>6471</v>
      </c>
      <c r="C810" s="20" t="s">
        <v>7072</v>
      </c>
      <c r="D810" s="2" t="s">
        <v>25</v>
      </c>
      <c r="E810" s="6" t="e">
        <f>LOOKUP(2,1/(MCQ!C:C=B810),MCQ!H:H)</f>
        <v>#N/A</v>
      </c>
      <c r="F810" s="6" t="e">
        <f>LOOKUP(2,1/(Debugging!C:C=B810),Debugging!H:H)</f>
        <v>#N/A</v>
      </c>
      <c r="G810" s="6" t="e">
        <f>LOOKUP(2,1/(Coding!C:C=B810),Coding!H:H)</f>
        <v>#N/A</v>
      </c>
      <c r="H810" s="8" t="e">
        <f>E810+F810+G810</f>
        <v>#N/A</v>
      </c>
      <c r="I810" s="4" t="str">
        <f>IF(J810&lt;&gt;"Complete","Not Active",IF(H810&gt;=75,"Good",IF(H810&gt;=50,"Satisfactory",IF(H810&gt;=25,"Need Attention","Intervention"))))</f>
        <v>Not Active</v>
      </c>
      <c r="J810" s="4" t="str">
        <f>IF(COUNTIF(E810:G810,"#N/A")=3,"Not Attempted",IF(OR(ISNA(E810),ISNA(F810),ISNA(G810)),"NotCompleted","Complete"))</f>
        <v>Not Attempted</v>
      </c>
    </row>
    <row r="811" spans="1:10" ht="15" customHeight="1" x14ac:dyDescent="0.3">
      <c r="A811" s="17" t="s">
        <v>5490</v>
      </c>
      <c r="B811" s="20" t="s">
        <v>5768</v>
      </c>
      <c r="C811" s="20" t="s">
        <v>7073</v>
      </c>
      <c r="D811" s="2" t="s">
        <v>192</v>
      </c>
      <c r="E811" s="6" t="str">
        <f>LOOKUP(2,1/(MCQ!C:C=B811),MCQ!H:H)</f>
        <v>23.00</v>
      </c>
      <c r="F811" s="6" t="str">
        <f>LOOKUP(2,1/(Debugging!C:C=B811),Debugging!H:H)</f>
        <v>43.00</v>
      </c>
      <c r="G811" s="6" t="e">
        <f>LOOKUP(2,1/(Coding!C:C=B811),Coding!H:H)</f>
        <v>#N/A</v>
      </c>
      <c r="H811" s="8" t="e">
        <f>E811+F811+G811</f>
        <v>#N/A</v>
      </c>
      <c r="I811" s="4" t="str">
        <f>IF(J811&lt;&gt;"Complete","Not Active",IF(H811&gt;=75,"Good",IF(H811&gt;=50,"Satisfactory",IF(H811&gt;=25,"Need Attention","Intervention"))))</f>
        <v>Not Active</v>
      </c>
      <c r="J811" s="4" t="str">
        <f>IF(COUNTIF(E811:G811,"#N/A")=3,"Not Attempted",IF(OR(ISNA(E811),ISNA(F811),ISNA(G811)),"NotCompleted","Complete"))</f>
        <v>NotCompleted</v>
      </c>
    </row>
    <row r="812" spans="1:10" ht="15" customHeight="1" x14ac:dyDescent="0.3">
      <c r="A812" s="18" t="s">
        <v>5490</v>
      </c>
      <c r="B812" s="20" t="s">
        <v>5502</v>
      </c>
      <c r="C812" s="21" t="s">
        <v>7074</v>
      </c>
      <c r="D812" s="2" t="s">
        <v>8</v>
      </c>
      <c r="E812" s="6" t="str">
        <f>LOOKUP(2,1/(MCQ!C:C=B812),MCQ!H:H)</f>
        <v>23.00</v>
      </c>
      <c r="F812" s="6" t="str">
        <f>LOOKUP(2,1/(Debugging!C:C=B812),Debugging!H:H)</f>
        <v>44.00</v>
      </c>
      <c r="G812" s="6" t="e">
        <f>LOOKUP(2,1/(Coding!C:C=B812),Coding!H:H)</f>
        <v>#N/A</v>
      </c>
      <c r="H812" s="8" t="e">
        <f>E812+F812+G812</f>
        <v>#N/A</v>
      </c>
      <c r="I812" s="4" t="str">
        <f>IF(J812&lt;&gt;"Complete","Not Active",IF(H812&gt;=75,"Good",IF(H812&gt;=50,"Satisfactory",IF(H812&gt;=25,"Need Attention","Intervention"))))</f>
        <v>Not Active</v>
      </c>
      <c r="J812" s="4" t="str">
        <f>IF(COUNTIF(E812:G812,"#N/A")=3,"Not Attempted",IF(OR(ISNA(E812),ISNA(F812),ISNA(G812)),"NotCompleted","Complete"))</f>
        <v>NotCompleted</v>
      </c>
    </row>
    <row r="813" spans="1:10" ht="15" customHeight="1" x14ac:dyDescent="0.3">
      <c r="A813" s="18" t="s">
        <v>5490</v>
      </c>
      <c r="B813" s="20" t="s">
        <v>5593</v>
      </c>
      <c r="C813" s="21" t="s">
        <v>7075</v>
      </c>
      <c r="D813" s="2" t="s">
        <v>8</v>
      </c>
      <c r="E813" s="6" t="str">
        <f>LOOKUP(2,1/(MCQ!C:C=B813),MCQ!H:H)</f>
        <v>21.00</v>
      </c>
      <c r="F813" s="6" t="str">
        <f>LOOKUP(2,1/(Debugging!C:C=B813),Debugging!H:H)</f>
        <v>34.00</v>
      </c>
      <c r="G813" s="6" t="e">
        <f>LOOKUP(2,1/(Coding!C:C=B813),Coding!H:H)</f>
        <v>#N/A</v>
      </c>
      <c r="H813" s="8" t="e">
        <f>E813+F813+G813</f>
        <v>#N/A</v>
      </c>
      <c r="I813" s="4" t="str">
        <f>IF(J813&lt;&gt;"Complete","Not Active",IF(H813&gt;=75,"Good",IF(H813&gt;=50,"Satisfactory",IF(H813&gt;=25,"Need Attention","Intervention"))))</f>
        <v>Not Active</v>
      </c>
      <c r="J813" s="4" t="str">
        <f>IF(COUNTIF(E813:G813,"#N/A")=3,"Not Attempted",IF(OR(ISNA(E813),ISNA(F813),ISNA(G813)),"NotCompleted","Complete"))</f>
        <v>NotCompleted</v>
      </c>
    </row>
    <row r="814" spans="1:10" ht="15" customHeight="1" x14ac:dyDescent="0.3">
      <c r="A814" s="18" t="s">
        <v>5490</v>
      </c>
      <c r="B814" s="20" t="s">
        <v>5793</v>
      </c>
      <c r="C814" s="21" t="s">
        <v>7076</v>
      </c>
      <c r="D814" s="2" t="s">
        <v>123</v>
      </c>
      <c r="E814" s="6" t="str">
        <f>LOOKUP(2,1/(MCQ!C:C=B814),MCQ!H:H)</f>
        <v>20.00</v>
      </c>
      <c r="F814" s="6" t="str">
        <f>LOOKUP(2,1/(Debugging!C:C=B814),Debugging!H:H)</f>
        <v>36.00</v>
      </c>
      <c r="G814" s="6" t="e">
        <f>LOOKUP(2,1/(Coding!C:C=B814),Coding!H:H)</f>
        <v>#N/A</v>
      </c>
      <c r="H814" s="8" t="e">
        <f>E814+F814+G814</f>
        <v>#N/A</v>
      </c>
      <c r="I814" s="4" t="str">
        <f>IF(J814&lt;&gt;"Complete","Not Active",IF(H814&gt;=75,"Good",IF(H814&gt;=50,"Satisfactory",IF(H814&gt;=25,"Need Attention","Intervention"))))</f>
        <v>Not Active</v>
      </c>
      <c r="J814" s="4" t="str">
        <f>IF(COUNTIF(E814:G814,"#N/A")=3,"Not Attempted",IF(OR(ISNA(E814),ISNA(F814),ISNA(G814)),"NotCompleted","Complete"))</f>
        <v>NotCompleted</v>
      </c>
    </row>
    <row r="815" spans="1:10" ht="15" customHeight="1" x14ac:dyDescent="0.3">
      <c r="A815" s="18" t="s">
        <v>5490</v>
      </c>
      <c r="B815" s="20" t="s">
        <v>5720</v>
      </c>
      <c r="C815" s="21" t="s">
        <v>7077</v>
      </c>
      <c r="D815" s="2" t="s">
        <v>8</v>
      </c>
      <c r="E815" s="6" t="str">
        <f>LOOKUP(2,1/(MCQ!C:C=B815),MCQ!H:H)</f>
        <v>21.00</v>
      </c>
      <c r="F815" s="6" t="str">
        <f>LOOKUP(2,1/(Debugging!C:C=B815),Debugging!H:H)</f>
        <v>37.00</v>
      </c>
      <c r="G815" s="6" t="e">
        <f>LOOKUP(2,1/(Coding!C:C=B815),Coding!H:H)</f>
        <v>#N/A</v>
      </c>
      <c r="H815" s="8" t="e">
        <f>E815+F815+G815</f>
        <v>#N/A</v>
      </c>
      <c r="I815" s="4" t="str">
        <f>IF(J815&lt;&gt;"Complete","Not Active",IF(H815&gt;=75,"Good",IF(H815&gt;=50,"Satisfactory",IF(H815&gt;=25,"Need Attention","Intervention"))))</f>
        <v>Not Active</v>
      </c>
      <c r="J815" s="4" t="str">
        <f>IF(COUNTIF(E815:G815,"#N/A")=3,"Not Attempted",IF(OR(ISNA(E815),ISNA(F815),ISNA(G815)),"NotCompleted","Complete"))</f>
        <v>NotCompleted</v>
      </c>
    </row>
    <row r="816" spans="1:10" ht="15" customHeight="1" x14ac:dyDescent="0.3">
      <c r="A816" s="17" t="s">
        <v>5490</v>
      </c>
      <c r="B816" s="20" t="s">
        <v>1211</v>
      </c>
      <c r="C816" s="22" t="s">
        <v>7078</v>
      </c>
      <c r="D816" s="2" t="s">
        <v>8</v>
      </c>
      <c r="E816" s="6" t="str">
        <f>LOOKUP(2,1/(MCQ!C:C=B816),MCQ!H:H)</f>
        <v>23.00</v>
      </c>
      <c r="F816" s="6" t="str">
        <f>LOOKUP(2,1/(Debugging!C:C=B816),Debugging!H:H)</f>
        <v>47.00</v>
      </c>
      <c r="G816" s="6" t="str">
        <f>LOOKUP(2,1/(Coding!C:C=B816),Coding!H:H)</f>
        <v>25.00</v>
      </c>
      <c r="H816" s="8">
        <f>E816+F816+G816</f>
        <v>95</v>
      </c>
      <c r="I816" s="4" t="str">
        <f>IF(J816&lt;&gt;"Complete","Not Active",IF(H816&gt;=75,"Good",IF(H816&gt;=50,"Satisfactory",IF(H816&gt;=25,"Need Attention","Intervention"))))</f>
        <v>Good</v>
      </c>
      <c r="J816" s="4" t="str">
        <f>IF(COUNTIF(E816:G816,"#N/A")=3,"Not Attempted",IF(OR(ISNA(E816),ISNA(F816),ISNA(G816)),"NotCompleted","Complete"))</f>
        <v>Complete</v>
      </c>
    </row>
    <row r="817" spans="1:10" ht="15" customHeight="1" x14ac:dyDescent="0.3">
      <c r="A817" s="17" t="s">
        <v>5490</v>
      </c>
      <c r="B817" s="20" t="s">
        <v>1213</v>
      </c>
      <c r="C817" s="22" t="s">
        <v>7079</v>
      </c>
      <c r="D817" s="2" t="s">
        <v>31</v>
      </c>
      <c r="E817" s="6" t="str">
        <f>LOOKUP(2,1/(MCQ!C:C=B817),MCQ!H:H)</f>
        <v>21.00</v>
      </c>
      <c r="F817" s="6" t="str">
        <f>LOOKUP(2,1/(Debugging!C:C=B817),Debugging!H:H)</f>
        <v>31.00</v>
      </c>
      <c r="G817" s="6" t="str">
        <f>LOOKUP(2,1/(Coding!C:C=B817),Coding!H:H)</f>
        <v>23.50</v>
      </c>
      <c r="H817" s="8">
        <f>E817+F817+G817</f>
        <v>75.5</v>
      </c>
      <c r="I817" s="4" t="str">
        <f>IF(J817&lt;&gt;"Complete","Not Active",IF(H817&gt;=75,"Good",IF(H817&gt;=50,"Satisfactory",IF(H817&gt;=25,"Need Attention","Intervention"))))</f>
        <v>Good</v>
      </c>
      <c r="J817" s="4" t="str">
        <f>IF(COUNTIF(E817:G817,"#N/A")=3,"Not Attempted",IF(OR(ISNA(E817),ISNA(F817),ISNA(G817)),"NotCompleted","Complete"))</f>
        <v>Complete</v>
      </c>
    </row>
    <row r="818" spans="1:10" ht="15" customHeight="1" x14ac:dyDescent="0.3">
      <c r="A818" s="17" t="s">
        <v>5490</v>
      </c>
      <c r="B818" s="20" t="s">
        <v>1215</v>
      </c>
      <c r="C818" s="22" t="s">
        <v>7080</v>
      </c>
      <c r="D818" s="2" t="s">
        <v>31</v>
      </c>
      <c r="E818" s="6" t="str">
        <f>LOOKUP(2,1/(MCQ!C:C=B818),MCQ!H:H)</f>
        <v>17.00</v>
      </c>
      <c r="F818" s="6" t="str">
        <f>LOOKUP(2,1/(Debugging!C:C=B818),Debugging!H:H)</f>
        <v>32.00</v>
      </c>
      <c r="G818" s="6" t="e">
        <f>LOOKUP(2,1/(Coding!C:C=B818),Coding!H:H)</f>
        <v>#N/A</v>
      </c>
      <c r="H818" s="8" t="e">
        <f>E818+F818+G818</f>
        <v>#N/A</v>
      </c>
      <c r="I818" s="4" t="str">
        <f>IF(J818&lt;&gt;"Complete","Not Active",IF(H818&gt;=75,"Good",IF(H818&gt;=50,"Satisfactory",IF(H818&gt;=25,"Need Attention","Intervention"))))</f>
        <v>Not Active</v>
      </c>
      <c r="J818" s="4" t="str">
        <f>IF(COUNTIF(E818:G818,"#N/A")=3,"Not Attempted",IF(OR(ISNA(E818),ISNA(F818),ISNA(G818)),"NotCompleted","Complete"))</f>
        <v>NotCompleted</v>
      </c>
    </row>
    <row r="819" spans="1:10" ht="15" customHeight="1" x14ac:dyDescent="0.3">
      <c r="A819" s="17" t="s">
        <v>5490</v>
      </c>
      <c r="B819" s="20" t="s">
        <v>1217</v>
      </c>
      <c r="C819" s="22" t="s">
        <v>7081</v>
      </c>
      <c r="D819" s="2" t="s">
        <v>25</v>
      </c>
      <c r="E819" s="6" t="str">
        <f>LOOKUP(2,1/(MCQ!C:C=B819),MCQ!H:H)</f>
        <v>18.00</v>
      </c>
      <c r="F819" s="6" t="str">
        <f>LOOKUP(2,1/(Debugging!C:C=B819),Debugging!H:H)</f>
        <v>44.00</v>
      </c>
      <c r="G819" s="6" t="str">
        <f>LOOKUP(2,1/(Coding!C:C=B819),Coding!H:H)</f>
        <v>21.00</v>
      </c>
      <c r="H819" s="8">
        <f>E819+F819+G819</f>
        <v>83</v>
      </c>
      <c r="I819" s="4" t="str">
        <f>IF(J819&lt;&gt;"Complete","Not Active",IF(H819&gt;=75,"Good",IF(H819&gt;=50,"Satisfactory",IF(H819&gt;=25,"Need Attention","Intervention"))))</f>
        <v>Good</v>
      </c>
      <c r="J819" s="4" t="str">
        <f>IF(COUNTIF(E819:G819,"#N/A")=3,"Not Attempted",IF(OR(ISNA(E819),ISNA(F819),ISNA(G819)),"NotCompleted","Complete"))</f>
        <v>Complete</v>
      </c>
    </row>
    <row r="820" spans="1:10" ht="15" customHeight="1" x14ac:dyDescent="0.3">
      <c r="A820" s="17" t="s">
        <v>5490</v>
      </c>
      <c r="B820" s="20" t="s">
        <v>1219</v>
      </c>
      <c r="C820" s="22" t="s">
        <v>7082</v>
      </c>
      <c r="D820" s="2" t="s">
        <v>992</v>
      </c>
      <c r="E820" s="6" t="str">
        <f>LOOKUP(2,1/(MCQ!C:C=B820),MCQ!H:H)</f>
        <v>25.00</v>
      </c>
      <c r="F820" s="6" t="str">
        <f>LOOKUP(2,1/(Debugging!C:C=B820),Debugging!H:H)</f>
        <v>49.00</v>
      </c>
      <c r="G820" s="6" t="str">
        <f>LOOKUP(2,1/(Coding!C:C=B820),Coding!H:H)</f>
        <v>25.00</v>
      </c>
      <c r="H820" s="8">
        <f>E820+F820+G820</f>
        <v>99</v>
      </c>
      <c r="I820" s="4" t="str">
        <f>IF(J820&lt;&gt;"Complete","Not Active",IF(H820&gt;=75,"Good",IF(H820&gt;=50,"Satisfactory",IF(H820&gt;=25,"Need Attention","Intervention"))))</f>
        <v>Good</v>
      </c>
      <c r="J820" s="4" t="str">
        <f>IF(COUNTIF(E820:G820,"#N/A")=3,"Not Attempted",IF(OR(ISNA(E820),ISNA(F820),ISNA(G820)),"NotCompleted","Complete"))</f>
        <v>Complete</v>
      </c>
    </row>
    <row r="821" spans="1:10" ht="15" customHeight="1" x14ac:dyDescent="0.3">
      <c r="A821" s="17" t="s">
        <v>5490</v>
      </c>
      <c r="B821" s="20" t="s">
        <v>1221</v>
      </c>
      <c r="C821" s="22" t="s">
        <v>6728</v>
      </c>
      <c r="D821" s="2" t="s">
        <v>995</v>
      </c>
      <c r="E821" s="6" t="str">
        <f>LOOKUP(2,1/(MCQ!C:C=B821),MCQ!H:H)</f>
        <v>22.00</v>
      </c>
      <c r="F821" s="6" t="str">
        <f>LOOKUP(2,1/(Debugging!C:C=B821),Debugging!H:H)</f>
        <v>41.00</v>
      </c>
      <c r="G821" s="6" t="e">
        <v>#N/A</v>
      </c>
      <c r="H821" s="8" t="e">
        <f>E821+F821+G821</f>
        <v>#N/A</v>
      </c>
      <c r="I821" s="4" t="str">
        <f>IF(J821&lt;&gt;"Complete","Not Active",IF(H821&gt;=75,"Good",IF(H821&gt;=50,"Satisfactory",IF(H821&gt;=25,"Need Attention","Intervention"))))</f>
        <v>Not Active</v>
      </c>
      <c r="J821" s="4" t="str">
        <f>IF(COUNTIF(E821:G821,"#N/A")=3,"Not Attempted",IF(OR(ISNA(E821),ISNA(F821),ISNA(G821)),"NotCompleted","Complete"))</f>
        <v>NotCompleted</v>
      </c>
    </row>
    <row r="822" spans="1:10" ht="15" customHeight="1" x14ac:dyDescent="0.3">
      <c r="A822" s="17" t="s">
        <v>5490</v>
      </c>
      <c r="B822" s="20" t="s">
        <v>1223</v>
      </c>
      <c r="C822" s="22" t="s">
        <v>7083</v>
      </c>
      <c r="D822" s="2" t="s">
        <v>28</v>
      </c>
      <c r="E822" s="6" t="str">
        <f>LOOKUP(2,1/(MCQ!C:C=B822),MCQ!H:H)</f>
        <v>24.00</v>
      </c>
      <c r="F822" s="6" t="str">
        <f>LOOKUP(2,1/(Debugging!C:C=B822),Debugging!H:H)</f>
        <v>40.00</v>
      </c>
      <c r="G822" s="6" t="str">
        <f>LOOKUP(2,1/(Coding!C:C=B822),Coding!H:H)</f>
        <v>23.50</v>
      </c>
      <c r="H822" s="8">
        <f>E822+F822+G822</f>
        <v>87.5</v>
      </c>
      <c r="I822" s="4" t="str">
        <f>IF(J822&lt;&gt;"Complete","Not Active",IF(H822&gt;=75,"Good",IF(H822&gt;=50,"Satisfactory",IF(H822&gt;=25,"Need Attention","Intervention"))))</f>
        <v>Good</v>
      </c>
      <c r="J822" s="4" t="str">
        <f>IF(COUNTIF(E822:G822,"#N/A")=3,"Not Attempted",IF(OR(ISNA(E822),ISNA(F822),ISNA(G822)),"NotCompleted","Complete"))</f>
        <v>Complete</v>
      </c>
    </row>
    <row r="823" spans="1:10" ht="15" customHeight="1" x14ac:dyDescent="0.3">
      <c r="A823" s="17" t="s">
        <v>5490</v>
      </c>
      <c r="B823" s="20" t="s">
        <v>1225</v>
      </c>
      <c r="C823" s="22" t="s">
        <v>7084</v>
      </c>
      <c r="D823" s="2" t="s">
        <v>322</v>
      </c>
      <c r="E823" s="6" t="str">
        <f>LOOKUP(2,1/(MCQ!C:C=B823),MCQ!H:H)</f>
        <v>22.00</v>
      </c>
      <c r="F823" s="6" t="str">
        <f>LOOKUP(2,1/(Debugging!C:C=B823),Debugging!H:H)</f>
        <v>36.00</v>
      </c>
      <c r="G823" s="6" t="str">
        <f>LOOKUP(2,1/(Coding!C:C=B823),Coding!H:H)</f>
        <v>23.50</v>
      </c>
      <c r="H823" s="8">
        <f>E823+F823+G823</f>
        <v>81.5</v>
      </c>
      <c r="I823" s="4" t="str">
        <f>IF(J823&lt;&gt;"Complete","Not Active",IF(H823&gt;=75,"Good",IF(H823&gt;=50,"Satisfactory",IF(H823&gt;=25,"Need Attention","Intervention"))))</f>
        <v>Good</v>
      </c>
      <c r="J823" s="4" t="str">
        <f>IF(COUNTIF(E823:G823,"#N/A")=3,"Not Attempted",IF(OR(ISNA(E823),ISNA(F823),ISNA(G823)),"NotCompleted","Complete"))</f>
        <v>Complete</v>
      </c>
    </row>
    <row r="824" spans="1:10" ht="15" customHeight="1" x14ac:dyDescent="0.3">
      <c r="A824" s="17" t="s">
        <v>5490</v>
      </c>
      <c r="B824" s="20" t="s">
        <v>1227</v>
      </c>
      <c r="C824" s="22" t="s">
        <v>7085</v>
      </c>
      <c r="D824" s="2" t="s">
        <v>55</v>
      </c>
      <c r="E824" s="6" t="str">
        <f>LOOKUP(2,1/(MCQ!C:C=B824),MCQ!H:H)</f>
        <v>23.00</v>
      </c>
      <c r="F824" s="6" t="str">
        <f>LOOKUP(2,1/(Debugging!C:C=B824),Debugging!H:H)</f>
        <v>41.00</v>
      </c>
      <c r="G824" s="6" t="str">
        <f>LOOKUP(2,1/(Coding!C:C=B824),Coding!H:H)</f>
        <v>21.00</v>
      </c>
      <c r="H824" s="8">
        <f>E824+F824+G824</f>
        <v>85</v>
      </c>
      <c r="I824" s="4" t="str">
        <f>IF(J824&lt;&gt;"Complete","Not Active",IF(H824&gt;=75,"Good",IF(H824&gt;=50,"Satisfactory",IF(H824&gt;=25,"Need Attention","Intervention"))))</f>
        <v>Good</v>
      </c>
      <c r="J824" s="4" t="str">
        <f>IF(COUNTIF(E824:G824,"#N/A")=3,"Not Attempted",IF(OR(ISNA(E824),ISNA(F824),ISNA(G824)),"NotCompleted","Complete"))</f>
        <v>Complete</v>
      </c>
    </row>
    <row r="825" spans="1:10" ht="15" customHeight="1" x14ac:dyDescent="0.3">
      <c r="A825" s="17" t="s">
        <v>5490</v>
      </c>
      <c r="B825" s="20" t="s">
        <v>5822</v>
      </c>
      <c r="C825" s="22" t="s">
        <v>7086</v>
      </c>
      <c r="D825" s="2" t="s">
        <v>19</v>
      </c>
      <c r="E825" s="6" t="str">
        <f>LOOKUP(2,1/(MCQ!C:C=B825),MCQ!H:H)</f>
        <v>15.00</v>
      </c>
      <c r="F825" s="6" t="str">
        <f>LOOKUP(2,1/(Debugging!C:C=B825),Debugging!H:H)</f>
        <v>9.00</v>
      </c>
      <c r="G825" s="6" t="e">
        <f>LOOKUP(2,1/(Coding!C:C=B825),Coding!H:H)</f>
        <v>#N/A</v>
      </c>
      <c r="H825" s="8" t="e">
        <f>E825+F825+G825</f>
        <v>#N/A</v>
      </c>
      <c r="I825" s="4" t="str">
        <f>IF(J825&lt;&gt;"Complete","Not Active",IF(H825&gt;=75,"Good",IF(H825&gt;=50,"Satisfactory",IF(H825&gt;=25,"Need Attention","Intervention"))))</f>
        <v>Not Active</v>
      </c>
      <c r="J825" s="4" t="str">
        <f>IF(COUNTIF(E825:G825,"#N/A")=3,"Not Attempted",IF(OR(ISNA(E825),ISNA(F825),ISNA(G825)),"NotCompleted","Complete"))</f>
        <v>NotCompleted</v>
      </c>
    </row>
    <row r="826" spans="1:10" ht="15" customHeight="1" x14ac:dyDescent="0.3">
      <c r="A826" s="17" t="s">
        <v>5490</v>
      </c>
      <c r="B826" s="20" t="s">
        <v>1229</v>
      </c>
      <c r="C826" s="22" t="s">
        <v>7087</v>
      </c>
      <c r="D826" s="2" t="s">
        <v>49</v>
      </c>
      <c r="E826" s="6" t="str">
        <f>LOOKUP(2,1/(MCQ!C:C=B826),MCQ!H:H)</f>
        <v>19.00</v>
      </c>
      <c r="F826" s="6" t="e">
        <f>LOOKUP(2,1/(Coding!B:B=A826),Coding!G:G)</f>
        <v>#N/A</v>
      </c>
      <c r="G826" s="6" t="str">
        <f>LOOKUP(2,1/(Coding!C:C=B826),Coding!H:H)</f>
        <v>18.50</v>
      </c>
      <c r="H826" s="8" t="e">
        <f>E826+F826+G826</f>
        <v>#N/A</v>
      </c>
      <c r="I826" s="4" t="str">
        <f>IF(J826&lt;&gt;"Complete","Not Active",IF(H826&gt;=75,"Good",IF(H826&gt;=50,"Satisfactory",IF(H826&gt;=25,"Need Attention","Intervention"))))</f>
        <v>Not Active</v>
      </c>
      <c r="J826" s="4" t="str">
        <f>IF(COUNTIF(E826:G826,"#N/A")=3,"Not Attempted",IF(OR(ISNA(E826),ISNA(F826),ISNA(G826)),"NotCompleted","Complete"))</f>
        <v>NotCompleted</v>
      </c>
    </row>
    <row r="827" spans="1:10" ht="15" customHeight="1" x14ac:dyDescent="0.3">
      <c r="A827" s="17" t="s">
        <v>5490</v>
      </c>
      <c r="B827" s="20" t="s">
        <v>1231</v>
      </c>
      <c r="C827" s="22" t="s">
        <v>7088</v>
      </c>
      <c r="D827" s="2" t="s">
        <v>71</v>
      </c>
      <c r="E827" s="6" t="str">
        <f>LOOKUP(2,1/(MCQ!C:C=B827),MCQ!H:H)</f>
        <v>22.00</v>
      </c>
      <c r="F827" s="6" t="str">
        <f>LOOKUP(2,1/(Debugging!C:C=B827),Debugging!H:H)</f>
        <v>43.00</v>
      </c>
      <c r="G827" s="6" t="str">
        <f>LOOKUP(2,1/(Coding!C:C=B827),Coding!H:H)</f>
        <v>25.00</v>
      </c>
      <c r="H827" s="8">
        <f>E827+F827+G827</f>
        <v>90</v>
      </c>
      <c r="I827" s="4" t="str">
        <f>IF(J827&lt;&gt;"Complete","Not Active",IF(H827&gt;=75,"Good",IF(H827&gt;=50,"Satisfactory",IF(H827&gt;=25,"Need Attention","Intervention"))))</f>
        <v>Good</v>
      </c>
      <c r="J827" s="4" t="str">
        <f>IF(COUNTIF(E827:G827,"#N/A")=3,"Not Attempted",IF(OR(ISNA(E827),ISNA(F827),ISNA(G827)),"NotCompleted","Complete"))</f>
        <v>Complete</v>
      </c>
    </row>
    <row r="828" spans="1:10" ht="15" customHeight="1" x14ac:dyDescent="0.3">
      <c r="A828" s="17" t="s">
        <v>5490</v>
      </c>
      <c r="B828" s="20" t="s">
        <v>5840</v>
      </c>
      <c r="C828" s="22" t="s">
        <v>7089</v>
      </c>
      <c r="D828" s="2" t="s">
        <v>8</v>
      </c>
      <c r="E828" s="6" t="str">
        <f>LOOKUP(2,1/(MCQ!C:C=B828),MCQ!H:H)</f>
        <v>18.00</v>
      </c>
      <c r="F828" s="6" t="str">
        <f>LOOKUP(2,1/(Debugging!C:C=B828),Debugging!H:H)</f>
        <v>31.00</v>
      </c>
      <c r="G828" s="6" t="e">
        <f>LOOKUP(2,1/(Coding!C:C=B828),Coding!H:H)</f>
        <v>#N/A</v>
      </c>
      <c r="H828" s="8" t="e">
        <f>E828+F828+G828</f>
        <v>#N/A</v>
      </c>
      <c r="I828" s="4" t="str">
        <f>IF(J828&lt;&gt;"Complete","Not Active",IF(H828&gt;=75,"Good",IF(H828&gt;=50,"Satisfactory",IF(H828&gt;=25,"Need Attention","Intervention"))))</f>
        <v>Not Active</v>
      </c>
      <c r="J828" s="4" t="str">
        <f>IF(COUNTIF(E828:G828,"#N/A")=3,"Not Attempted",IF(OR(ISNA(E828),ISNA(F828),ISNA(G828)),"NotCompleted","Complete"))</f>
        <v>NotCompleted</v>
      </c>
    </row>
    <row r="829" spans="1:10" ht="15" customHeight="1" x14ac:dyDescent="0.3">
      <c r="A829" s="16" t="s">
        <v>5490</v>
      </c>
      <c r="B829" s="20" t="s">
        <v>5844</v>
      </c>
      <c r="C829" s="20" t="s">
        <v>7090</v>
      </c>
      <c r="D829" s="2" t="s">
        <v>31</v>
      </c>
      <c r="E829" s="6" t="str">
        <f>LOOKUP(2,1/(MCQ!C:C=B829),MCQ!H:H)</f>
        <v>24.00</v>
      </c>
      <c r="F829" s="6" t="str">
        <f>LOOKUP(2,1/(Debugging!C:C=B829),Debugging!H:H)</f>
        <v>34.00</v>
      </c>
      <c r="G829" s="6" t="e">
        <f>LOOKUP(2,1/(Coding!C:C=B829),Coding!H:H)</f>
        <v>#N/A</v>
      </c>
      <c r="H829" s="8" t="e">
        <f>E829+F829+G829</f>
        <v>#N/A</v>
      </c>
      <c r="I829" s="4" t="str">
        <f>IF(J829&lt;&gt;"Complete","Not Active",IF(H829&gt;=75,"Good",IF(H829&gt;=50,"Satisfactory",IF(H829&gt;=25,"Need Attention","Intervention"))))</f>
        <v>Not Active</v>
      </c>
      <c r="J829" s="4" t="str">
        <f>IF(COUNTIF(E829:G829,"#N/A")=3,"Not Attempted",IF(OR(ISNA(E829),ISNA(F829),ISNA(G829)),"NotCompleted","Complete"))</f>
        <v>NotCompleted</v>
      </c>
    </row>
    <row r="830" spans="1:10" ht="15" customHeight="1" x14ac:dyDescent="0.3">
      <c r="A830" s="17" t="s">
        <v>5490</v>
      </c>
      <c r="B830" s="20" t="s">
        <v>1233</v>
      </c>
      <c r="C830" s="22" t="s">
        <v>7091</v>
      </c>
      <c r="D830" s="2" t="s">
        <v>55</v>
      </c>
      <c r="E830" s="6" t="str">
        <f>LOOKUP(2,1/(MCQ!C:C=B830),MCQ!H:H)</f>
        <v>25.00</v>
      </c>
      <c r="F830" s="6" t="str">
        <f>LOOKUP(2,1/(Debugging!C:C=B830),Debugging!H:H)</f>
        <v>40.00</v>
      </c>
      <c r="G830" s="6" t="str">
        <f>LOOKUP(2,1/(Coding!C:C=B830),Coding!H:H)</f>
        <v>19.00</v>
      </c>
      <c r="H830" s="8">
        <f>E830+F830+G830</f>
        <v>84</v>
      </c>
      <c r="I830" s="4" t="str">
        <f>IF(J830&lt;&gt;"Complete","Not Active",IF(H830&gt;=75,"Good",IF(H830&gt;=50,"Satisfactory",IF(H830&gt;=25,"Need Attention","Intervention"))))</f>
        <v>Good</v>
      </c>
      <c r="J830" s="4" t="str">
        <f>IF(COUNTIF(E830:G830,"#N/A")=3,"Not Attempted",IF(OR(ISNA(E830),ISNA(F830),ISNA(G830)),"NotCompleted","Complete"))</f>
        <v>Complete</v>
      </c>
    </row>
    <row r="831" spans="1:10" ht="15" customHeight="1" x14ac:dyDescent="0.3">
      <c r="A831" s="17" t="s">
        <v>5490</v>
      </c>
      <c r="B831" s="20" t="s">
        <v>5851</v>
      </c>
      <c r="C831" s="22" t="s">
        <v>7092</v>
      </c>
      <c r="D831" s="2" t="s">
        <v>8</v>
      </c>
      <c r="E831" s="6" t="str">
        <f>LOOKUP(2,1/(MCQ!C:C=B831),MCQ!H:H)</f>
        <v>25.00</v>
      </c>
      <c r="F831" s="6" t="str">
        <f>LOOKUP(2,1/(Debugging!C:C=B831),Debugging!H:H)</f>
        <v>34.00</v>
      </c>
      <c r="G831" s="6" t="e">
        <f>LOOKUP(2,1/(Coding!C:C=B831),Coding!H:H)</f>
        <v>#N/A</v>
      </c>
      <c r="H831" s="8" t="e">
        <f>E831+F831+G831</f>
        <v>#N/A</v>
      </c>
      <c r="I831" s="4" t="str">
        <f>IF(J831&lt;&gt;"Complete","Not Active",IF(H831&gt;=75,"Good",IF(H831&gt;=50,"Satisfactory",IF(H831&gt;=25,"Need Attention","Intervention"))))</f>
        <v>Not Active</v>
      </c>
      <c r="J831" s="4" t="str">
        <f>IF(COUNTIF(E831:G831,"#N/A")=3,"Not Attempted",IF(OR(ISNA(E831),ISNA(F831),ISNA(G831)),"NotCompleted","Complete"))</f>
        <v>NotCompleted</v>
      </c>
    </row>
    <row r="832" spans="1:10" ht="15" customHeight="1" x14ac:dyDescent="0.3">
      <c r="A832" s="17" t="s">
        <v>5490</v>
      </c>
      <c r="B832" s="20" t="s">
        <v>1235</v>
      </c>
      <c r="C832" s="22" t="s">
        <v>7093</v>
      </c>
      <c r="D832" s="2" t="s">
        <v>8</v>
      </c>
      <c r="E832" s="6" t="str">
        <f>LOOKUP(2,1/(MCQ!C:C=B832),MCQ!H:H)</f>
        <v>24.00</v>
      </c>
      <c r="F832" s="6" t="str">
        <f>LOOKUP(2,1/(Debugging!C:C=B832),Debugging!H:H)</f>
        <v>38.00</v>
      </c>
      <c r="G832" s="6" t="str">
        <f>LOOKUP(2,1/(Coding!C:C=B832),Coding!H:H)</f>
        <v>25.00</v>
      </c>
      <c r="H832" s="8">
        <f>E832+F832+G832</f>
        <v>87</v>
      </c>
      <c r="I832" s="4" t="str">
        <f>IF(J832&lt;&gt;"Complete","Not Active",IF(H832&gt;=75,"Good",IF(H832&gt;=50,"Satisfactory",IF(H832&gt;=25,"Need Attention","Intervention"))))</f>
        <v>Good</v>
      </c>
      <c r="J832" s="4" t="str">
        <f>IF(COUNTIF(E832:G832,"#N/A")=3,"Not Attempted",IF(OR(ISNA(E832),ISNA(F832),ISNA(G832)),"NotCompleted","Complete"))</f>
        <v>Complete</v>
      </c>
    </row>
    <row r="833" spans="1:10" ht="15" customHeight="1" x14ac:dyDescent="0.3">
      <c r="A833" s="17" t="s">
        <v>5490</v>
      </c>
      <c r="B833" s="20" t="s">
        <v>1237</v>
      </c>
      <c r="C833" s="22" t="s">
        <v>7094</v>
      </c>
      <c r="D833" s="2" t="s">
        <v>1020</v>
      </c>
      <c r="E833" s="6" t="str">
        <f>LOOKUP(2,1/(MCQ!C:C=B833),MCQ!H:H)</f>
        <v>24.00</v>
      </c>
      <c r="F833" s="6" t="str">
        <f>LOOKUP(2,1/(Debugging!C:C=B833),Debugging!H:H)</f>
        <v>41.00</v>
      </c>
      <c r="G833" s="6" t="str">
        <f>LOOKUP(2,1/(Coding!C:C=B833),Coding!H:H)</f>
        <v>20.50</v>
      </c>
      <c r="H833" s="8">
        <f>E833+F833+G833</f>
        <v>85.5</v>
      </c>
      <c r="I833" s="4" t="str">
        <f>IF(J833&lt;&gt;"Complete","Not Active",IF(H833&gt;=75,"Good",IF(H833&gt;=50,"Satisfactory",IF(H833&gt;=25,"Need Attention","Intervention"))))</f>
        <v>Good</v>
      </c>
      <c r="J833" s="4" t="str">
        <f>IF(COUNTIF(E833:G833,"#N/A")=3,"Not Attempted",IF(OR(ISNA(E833),ISNA(F833),ISNA(G833)),"NotCompleted","Complete"))</f>
        <v>Complete</v>
      </c>
    </row>
    <row r="834" spans="1:10" ht="15" customHeight="1" x14ac:dyDescent="0.3">
      <c r="A834" s="17" t="s">
        <v>5490</v>
      </c>
      <c r="B834" s="20" t="s">
        <v>5855</v>
      </c>
      <c r="C834" s="22" t="s">
        <v>6764</v>
      </c>
      <c r="D834" s="2" t="s">
        <v>19</v>
      </c>
      <c r="E834" s="6" t="str">
        <f>LOOKUP(2,1/(MCQ!C:C=B834),MCQ!H:H)</f>
        <v>25.00</v>
      </c>
      <c r="F834" s="6" t="str">
        <f>LOOKUP(2,1/(Debugging!C:C=B834),Debugging!H:H)</f>
        <v>36.00</v>
      </c>
      <c r="G834" s="6" t="e">
        <f>LOOKUP(2,1/(Coding!C:C=B834),Coding!H:H)</f>
        <v>#N/A</v>
      </c>
      <c r="H834" s="8" t="e">
        <f>E834+F834+G834</f>
        <v>#N/A</v>
      </c>
      <c r="I834" s="4" t="str">
        <f>IF(J834&lt;&gt;"Complete","Not Active",IF(H834&gt;=75,"Good",IF(H834&gt;=50,"Satisfactory",IF(H834&gt;=25,"Need Attention","Intervention"))))</f>
        <v>Not Active</v>
      </c>
      <c r="J834" s="4" t="str">
        <f>IF(COUNTIF(E834:G834,"#N/A")=3,"Not Attempted",IF(OR(ISNA(E834),ISNA(F834),ISNA(G834)),"NotCompleted","Complete"))</f>
        <v>NotCompleted</v>
      </c>
    </row>
    <row r="835" spans="1:10" ht="15" customHeight="1" x14ac:dyDescent="0.3">
      <c r="A835" s="17" t="s">
        <v>5490</v>
      </c>
      <c r="B835" s="20" t="s">
        <v>6472</v>
      </c>
      <c r="C835" s="22" t="s">
        <v>7095</v>
      </c>
      <c r="D835" s="2" t="s">
        <v>133</v>
      </c>
      <c r="E835" s="6" t="str">
        <f>LOOKUP(2,1/(MCQ!C:C=B835),MCQ!H:H)</f>
        <v>23.00</v>
      </c>
      <c r="F835" s="6" t="str">
        <f>LOOKUP(2,1/(Debugging!C:C=B835),Debugging!H:H)</f>
        <v>44.00</v>
      </c>
      <c r="G835" s="6" t="e">
        <f>LOOKUP(2,1/(Coding!C:C=B835),Coding!H:H)</f>
        <v>#N/A</v>
      </c>
      <c r="H835" s="8" t="e">
        <f>E835+F835+G835</f>
        <v>#N/A</v>
      </c>
      <c r="I835" s="4" t="str">
        <f>IF(J835&lt;&gt;"Complete","Not Active",IF(H835&gt;=75,"Good",IF(H835&gt;=50,"Satisfactory",IF(H835&gt;=25,"Need Attention","Intervention"))))</f>
        <v>Not Active</v>
      </c>
      <c r="J835" s="4" t="str">
        <f>IF(COUNTIF(E835:G835,"#N/A")=3,"Not Attempted",IF(OR(ISNA(E835),ISNA(F835),ISNA(G835)),"NotCompleted","Complete"))</f>
        <v>NotCompleted</v>
      </c>
    </row>
    <row r="836" spans="1:10" ht="15" customHeight="1" x14ac:dyDescent="0.3">
      <c r="A836" s="17" t="s">
        <v>5490</v>
      </c>
      <c r="B836" s="20" t="s">
        <v>1239</v>
      </c>
      <c r="C836" s="22" t="s">
        <v>7096</v>
      </c>
      <c r="D836" s="2" t="s">
        <v>55</v>
      </c>
      <c r="E836" s="6" t="str">
        <f>LOOKUP(2,1/(MCQ!C:C=B836),MCQ!H:H)</f>
        <v>22.00</v>
      </c>
      <c r="F836" s="6" t="str">
        <f>LOOKUP(2,1/(Debugging!C:C=B836),Debugging!H:H)</f>
        <v>40.00</v>
      </c>
      <c r="G836" s="6" t="str">
        <f>LOOKUP(2,1/(Coding!C:C=B836),Coding!H:H)</f>
        <v>12.50</v>
      </c>
      <c r="H836" s="8">
        <f>E836+F836+G836</f>
        <v>74.5</v>
      </c>
      <c r="I836" s="4" t="str">
        <f>IF(J836&lt;&gt;"Complete","Not Active",IF(H836&gt;=75,"Good",IF(H836&gt;=50,"Satisfactory",IF(H836&gt;=25,"Need Attention","Intervention"))))</f>
        <v>Satisfactory</v>
      </c>
      <c r="J836" s="4" t="str">
        <f>IF(COUNTIF(E836:G836,"#N/A")=3,"Not Attempted",IF(OR(ISNA(E836),ISNA(F836),ISNA(G836)),"NotCompleted","Complete"))</f>
        <v>Complete</v>
      </c>
    </row>
    <row r="837" spans="1:10" ht="15" customHeight="1" x14ac:dyDescent="0.3">
      <c r="A837" s="17" t="s">
        <v>5490</v>
      </c>
      <c r="B837" s="20" t="s">
        <v>5880</v>
      </c>
      <c r="C837" s="22" t="s">
        <v>7097</v>
      </c>
      <c r="D837" s="2" t="s">
        <v>8</v>
      </c>
      <c r="E837" s="6" t="str">
        <f>LOOKUP(2,1/(MCQ!C:C=B837),MCQ!H:H)</f>
        <v>25.00</v>
      </c>
      <c r="F837" s="6" t="str">
        <f>LOOKUP(2,1/(Debugging!C:C=B837),Debugging!H:H)</f>
        <v>39.00</v>
      </c>
      <c r="G837" s="6" t="e">
        <f>LOOKUP(2,1/(Coding!C:C=B837),Coding!H:H)</f>
        <v>#N/A</v>
      </c>
      <c r="H837" s="8" t="e">
        <f>E837+F837+G837</f>
        <v>#N/A</v>
      </c>
      <c r="I837" s="4" t="str">
        <f>IF(J837&lt;&gt;"Complete","Not Active",IF(H837&gt;=75,"Good",IF(H837&gt;=50,"Satisfactory",IF(H837&gt;=25,"Need Attention","Intervention"))))</f>
        <v>Not Active</v>
      </c>
      <c r="J837" s="4" t="str">
        <f>IF(COUNTIF(E837:G837,"#N/A")=3,"Not Attempted",IF(OR(ISNA(E837),ISNA(F837),ISNA(G837)),"NotCompleted","Complete"))</f>
        <v>NotCompleted</v>
      </c>
    </row>
    <row r="838" spans="1:10" ht="15" customHeight="1" x14ac:dyDescent="0.3">
      <c r="A838" s="17" t="s">
        <v>5490</v>
      </c>
      <c r="B838" s="20" t="s">
        <v>1241</v>
      </c>
      <c r="C838" s="22" t="s">
        <v>7098</v>
      </c>
      <c r="D838" s="2" t="s">
        <v>8</v>
      </c>
      <c r="E838" s="6" t="str">
        <f>LOOKUP(2,1/(MCQ!C:C=B838),MCQ!H:H)</f>
        <v>25.00</v>
      </c>
      <c r="F838" s="6" t="str">
        <f>LOOKUP(2,1/(Debugging!C:C=B838),Debugging!H:H)</f>
        <v>43.00</v>
      </c>
      <c r="G838" s="6" t="str">
        <f>LOOKUP(2,1/(Coding!C:C=B838),Coding!H:H)</f>
        <v>25.00</v>
      </c>
      <c r="H838" s="8">
        <f>E838+F838+G838</f>
        <v>93</v>
      </c>
      <c r="I838" s="4" t="str">
        <f>IF(J838&lt;&gt;"Complete","Not Active",IF(H838&gt;=75,"Good",IF(H838&gt;=50,"Satisfactory",IF(H838&gt;=25,"Need Attention","Intervention"))))</f>
        <v>Good</v>
      </c>
      <c r="J838" s="4" t="str">
        <f>IF(COUNTIF(E838:G838,"#N/A")=3,"Not Attempted",IF(OR(ISNA(E838),ISNA(F838),ISNA(G838)),"NotCompleted","Complete"))</f>
        <v>Complete</v>
      </c>
    </row>
    <row r="839" spans="1:10" ht="15" customHeight="1" x14ac:dyDescent="0.3">
      <c r="A839" s="17" t="s">
        <v>5490</v>
      </c>
      <c r="B839" s="20" t="s">
        <v>1243</v>
      </c>
      <c r="C839" s="22" t="s">
        <v>7099</v>
      </c>
      <c r="D839" s="2" t="s">
        <v>31</v>
      </c>
      <c r="E839" s="6" t="str">
        <f>LOOKUP(2,1/(MCQ!C:C=B839),MCQ!H:H)</f>
        <v>24.00</v>
      </c>
      <c r="F839" s="6" t="str">
        <f>LOOKUP(2,1/(Debugging!C:C=B839),Debugging!H:H)</f>
        <v>43.00</v>
      </c>
      <c r="G839" s="6" t="str">
        <f>LOOKUP(2,1/(Coding!C:C=B839),Coding!H:H)</f>
        <v>11.50</v>
      </c>
      <c r="H839" s="8">
        <f>E839+F839+G839</f>
        <v>78.5</v>
      </c>
      <c r="I839" s="4" t="str">
        <f>IF(J839&lt;&gt;"Complete","Not Active",IF(H839&gt;=75,"Good",IF(H839&gt;=50,"Satisfactory",IF(H839&gt;=25,"Need Attention","Intervention"))))</f>
        <v>Good</v>
      </c>
      <c r="J839" s="4" t="str">
        <f>IF(COUNTIF(E839:G839,"#N/A")=3,"Not Attempted",IF(OR(ISNA(E839),ISNA(F839),ISNA(G839)),"NotCompleted","Complete"))</f>
        <v>Complete</v>
      </c>
    </row>
    <row r="840" spans="1:10" ht="15" customHeight="1" x14ac:dyDescent="0.3">
      <c r="A840" s="17" t="s">
        <v>5490</v>
      </c>
      <c r="B840" s="20" t="s">
        <v>5887</v>
      </c>
      <c r="C840" s="22" t="s">
        <v>7100</v>
      </c>
      <c r="D840" s="2" t="s">
        <v>19</v>
      </c>
      <c r="E840" s="6" t="str">
        <f>LOOKUP(2,1/(MCQ!C:C=B840),MCQ!H:H)</f>
        <v>21.00</v>
      </c>
      <c r="F840" s="6" t="str">
        <f>LOOKUP(2,1/(Debugging!C:C=B840),Debugging!H:H)</f>
        <v>31.00</v>
      </c>
      <c r="G840" s="6" t="e">
        <f>LOOKUP(2,1/(Coding!C:C=B840),Coding!H:H)</f>
        <v>#N/A</v>
      </c>
      <c r="H840" s="8" t="e">
        <f>E840+F840+G840</f>
        <v>#N/A</v>
      </c>
      <c r="I840" s="4" t="str">
        <f>IF(J840&lt;&gt;"Complete","Not Active",IF(H840&gt;=75,"Good",IF(H840&gt;=50,"Satisfactory",IF(H840&gt;=25,"Need Attention","Intervention"))))</f>
        <v>Not Active</v>
      </c>
      <c r="J840" s="4" t="str">
        <f>IF(COUNTIF(E840:G840,"#N/A")=3,"Not Attempted",IF(OR(ISNA(E840),ISNA(F840),ISNA(G840)),"NotCompleted","Complete"))</f>
        <v>NotCompleted</v>
      </c>
    </row>
    <row r="841" spans="1:10" ht="15" customHeight="1" x14ac:dyDescent="0.3">
      <c r="A841" s="17" t="s">
        <v>5490</v>
      </c>
      <c r="B841" s="20" t="s">
        <v>1246</v>
      </c>
      <c r="C841" s="22" t="s">
        <v>7101</v>
      </c>
      <c r="D841" s="2" t="s">
        <v>28</v>
      </c>
      <c r="E841" s="6" t="str">
        <f>LOOKUP(2,1/(MCQ!C:C=B841),MCQ!H:H)</f>
        <v>25.00</v>
      </c>
      <c r="F841" s="6" t="str">
        <f>LOOKUP(2,1/(Debugging!C:C=B841),Debugging!H:H)</f>
        <v>49.00</v>
      </c>
      <c r="G841" s="6" t="str">
        <f>LOOKUP(2,1/(Coding!C:C=B841),Coding!H:H)</f>
        <v>25.00</v>
      </c>
      <c r="H841" s="8">
        <f>E841+F841+G841</f>
        <v>99</v>
      </c>
      <c r="I841" s="4" t="str">
        <f>IF(J841&lt;&gt;"Complete","Not Active",IF(H841&gt;=75,"Good",IF(H841&gt;=50,"Satisfactory",IF(H841&gt;=25,"Need Attention","Intervention"))))</f>
        <v>Good</v>
      </c>
      <c r="J841" s="4" t="str">
        <f>IF(COUNTIF(E841:G841,"#N/A")=3,"Not Attempted",IF(OR(ISNA(E841),ISNA(F841),ISNA(G841)),"NotCompleted","Complete"))</f>
        <v>Complete</v>
      </c>
    </row>
    <row r="842" spans="1:10" ht="15" customHeight="1" x14ac:dyDescent="0.3">
      <c r="A842" s="17" t="s">
        <v>5490</v>
      </c>
      <c r="B842" s="20" t="s">
        <v>5897</v>
      </c>
      <c r="C842" s="22" t="s">
        <v>7102</v>
      </c>
      <c r="D842" s="2" t="s">
        <v>55</v>
      </c>
      <c r="E842" s="6" t="str">
        <f>LOOKUP(2,1/(MCQ!C:C=B842),MCQ!H:H)</f>
        <v>18.00</v>
      </c>
      <c r="F842" s="6" t="str">
        <f>LOOKUP(2,1/(Debugging!C:C=B842),Debugging!H:H)</f>
        <v>42.00</v>
      </c>
      <c r="G842" s="6" t="e">
        <f>LOOKUP(2,1/(Coding!C:C=B842),Coding!H:H)</f>
        <v>#N/A</v>
      </c>
      <c r="H842" s="8" t="e">
        <f>E842+F842+G842</f>
        <v>#N/A</v>
      </c>
      <c r="I842" s="4" t="str">
        <f>IF(J842&lt;&gt;"Complete","Not Active",IF(H842&gt;=75,"Good",IF(H842&gt;=50,"Satisfactory",IF(H842&gt;=25,"Need Attention","Intervention"))))</f>
        <v>Not Active</v>
      </c>
      <c r="J842" s="4" t="str">
        <f>IF(COUNTIF(E842:G842,"#N/A")=3,"Not Attempted",IF(OR(ISNA(E842),ISNA(F842),ISNA(G842)),"NotCompleted","Complete"))</f>
        <v>NotCompleted</v>
      </c>
    </row>
    <row r="843" spans="1:10" ht="15" customHeight="1" x14ac:dyDescent="0.3">
      <c r="A843" s="17" t="s">
        <v>5490</v>
      </c>
      <c r="B843" s="20" t="s">
        <v>5910</v>
      </c>
      <c r="C843" s="22" t="s">
        <v>7103</v>
      </c>
      <c r="D843" s="2" t="s">
        <v>8</v>
      </c>
      <c r="E843" s="6" t="str">
        <f>LOOKUP(2,1/(MCQ!C:C=B843),MCQ!H:H)</f>
        <v>25.00</v>
      </c>
      <c r="F843" s="6" t="str">
        <f>LOOKUP(2,1/(Debugging!C:C=B843),Debugging!H:H)</f>
        <v>39.00</v>
      </c>
      <c r="G843" s="6" t="e">
        <f>LOOKUP(2,1/(Coding!C:C=B843),Coding!H:H)</f>
        <v>#N/A</v>
      </c>
      <c r="H843" s="8" t="e">
        <f>E843+F843+G843</f>
        <v>#N/A</v>
      </c>
      <c r="I843" s="4" t="str">
        <f>IF(J843&lt;&gt;"Complete","Not Active",IF(H843&gt;=75,"Good",IF(H843&gt;=50,"Satisfactory",IF(H843&gt;=25,"Need Attention","Intervention"))))</f>
        <v>Not Active</v>
      </c>
      <c r="J843" s="4" t="str">
        <f>IF(COUNTIF(E843:G843,"#N/A")=3,"Not Attempted",IF(OR(ISNA(E843),ISNA(F843),ISNA(G843)),"NotCompleted","Complete"))</f>
        <v>NotCompleted</v>
      </c>
    </row>
    <row r="844" spans="1:10" ht="15" customHeight="1" x14ac:dyDescent="0.3">
      <c r="A844" s="17" t="s">
        <v>5490</v>
      </c>
      <c r="B844" s="20" t="s">
        <v>1248</v>
      </c>
      <c r="C844" s="22" t="s">
        <v>7104</v>
      </c>
      <c r="D844" s="2" t="s">
        <v>25</v>
      </c>
      <c r="E844" s="6" t="str">
        <f>LOOKUP(2,1/(MCQ!C:C=B844),MCQ!H:H)</f>
        <v>25.00</v>
      </c>
      <c r="F844" s="6" t="str">
        <f>LOOKUP(2,1/(Debugging!C:C=B844),Debugging!H:H)</f>
        <v>46.00</v>
      </c>
      <c r="G844" s="6" t="e">
        <f>LOOKUP(2,1/(Coding!C:C=B844),Coding!H:H)</f>
        <v>#N/A</v>
      </c>
      <c r="H844" s="8" t="e">
        <f>E844+F844+G844</f>
        <v>#N/A</v>
      </c>
      <c r="I844" s="4" t="str">
        <f>IF(J844&lt;&gt;"Complete","Not Active",IF(H844&gt;=75,"Good",IF(H844&gt;=50,"Satisfactory",IF(H844&gt;=25,"Need Attention","Intervention"))))</f>
        <v>Not Active</v>
      </c>
      <c r="J844" s="4" t="str">
        <f>IF(COUNTIF(E844:G844,"#N/A")=3,"Not Attempted",IF(OR(ISNA(E844),ISNA(F844),ISNA(G844)),"NotCompleted","Complete"))</f>
        <v>NotCompleted</v>
      </c>
    </row>
    <row r="845" spans="1:10" ht="15" customHeight="1" x14ac:dyDescent="0.3">
      <c r="A845" s="17" t="s">
        <v>5490</v>
      </c>
      <c r="B845" s="20" t="s">
        <v>1250</v>
      </c>
      <c r="C845" s="22" t="s">
        <v>7105</v>
      </c>
      <c r="D845" s="2" t="s">
        <v>8</v>
      </c>
      <c r="E845" s="6" t="str">
        <f>LOOKUP(2,1/(MCQ!C:C=B845),MCQ!H:H)</f>
        <v>24.00</v>
      </c>
      <c r="F845" s="6" t="str">
        <f>LOOKUP(2,1/(Debugging!C:C=B845),Debugging!H:H)</f>
        <v>45.00</v>
      </c>
      <c r="G845" s="6" t="str">
        <f>LOOKUP(2,1/(Coding!C:C=B845),Coding!H:H)</f>
        <v>22.00</v>
      </c>
      <c r="H845" s="8">
        <f>E845+F845+G845</f>
        <v>91</v>
      </c>
      <c r="I845" s="4" t="str">
        <f>IF(J845&lt;&gt;"Complete","Not Active",IF(H845&gt;=75,"Good",IF(H845&gt;=50,"Satisfactory",IF(H845&gt;=25,"Need Attention","Intervention"))))</f>
        <v>Good</v>
      </c>
      <c r="J845" s="4" t="str">
        <f>IF(COUNTIF(E845:G845,"#N/A")=3,"Not Attempted",IF(OR(ISNA(E845),ISNA(F845),ISNA(G845)),"NotCompleted","Complete"))</f>
        <v>Complete</v>
      </c>
    </row>
    <row r="846" spans="1:10" ht="15" customHeight="1" x14ac:dyDescent="0.3">
      <c r="A846" s="17" t="s">
        <v>5490</v>
      </c>
      <c r="B846" s="20" t="s">
        <v>1252</v>
      </c>
      <c r="C846" s="22" t="s">
        <v>7106</v>
      </c>
      <c r="D846" s="2" t="s">
        <v>25</v>
      </c>
      <c r="E846" s="6" t="str">
        <f>LOOKUP(2,1/(MCQ!C:C=B846),MCQ!H:H)</f>
        <v>25.00</v>
      </c>
      <c r="F846" s="6" t="str">
        <f>LOOKUP(2,1/(Debugging!C:C=B846),Debugging!H:H)</f>
        <v>37.00</v>
      </c>
      <c r="G846" s="6" t="e">
        <f>LOOKUP(2,1/(Coding!C:C=B846),Coding!H:H)</f>
        <v>#N/A</v>
      </c>
      <c r="H846" s="8" t="e">
        <f>E846+F846+G846</f>
        <v>#N/A</v>
      </c>
      <c r="I846" s="4" t="str">
        <f>IF(J846&lt;&gt;"Complete","Not Active",IF(H846&gt;=75,"Good",IF(H846&gt;=50,"Satisfactory",IF(H846&gt;=25,"Need Attention","Intervention"))))</f>
        <v>Not Active</v>
      </c>
      <c r="J846" s="4" t="str">
        <f>IF(COUNTIF(E846:G846,"#N/A")=3,"Not Attempted",IF(OR(ISNA(E846),ISNA(F846),ISNA(G846)),"NotCompleted","Complete"))</f>
        <v>NotCompleted</v>
      </c>
    </row>
    <row r="847" spans="1:10" ht="15" customHeight="1" x14ac:dyDescent="0.3">
      <c r="A847" s="17" t="s">
        <v>5490</v>
      </c>
      <c r="B847" s="20" t="s">
        <v>1253</v>
      </c>
      <c r="C847" s="22" t="s">
        <v>6796</v>
      </c>
      <c r="D847" s="2" t="s">
        <v>49</v>
      </c>
      <c r="E847" s="6" t="e">
        <f>LOOKUP(2,1/(Debugging!B:B=A847),Debugging!G:G)</f>
        <v>#N/A</v>
      </c>
      <c r="F847" s="6" t="str">
        <f>LOOKUP(2,1/(Debugging!C:C=B847),Debugging!H:H)</f>
        <v>43.00</v>
      </c>
      <c r="G847" s="6" t="str">
        <f>LOOKUP(2,1/(Coding!C:C=B847),Coding!H:H)</f>
        <v>25.00</v>
      </c>
      <c r="H847" s="8" t="e">
        <f>E847+F847+G847</f>
        <v>#N/A</v>
      </c>
      <c r="I847" s="4" t="str">
        <f>IF(J847&lt;&gt;"Complete","Not Active",IF(H847&gt;=75,"Good",IF(H847&gt;=50,"Satisfactory",IF(H847&gt;=25,"Need Attention","Intervention"))))</f>
        <v>Not Active</v>
      </c>
      <c r="J847" s="4" t="str">
        <f>IF(COUNTIF(E847:G847,"#N/A")=3,"Not Attempted",IF(OR(ISNA(E847),ISNA(F847),ISNA(G847)),"NotCompleted","Complete"))</f>
        <v>NotCompleted</v>
      </c>
    </row>
    <row r="848" spans="1:10" ht="15" customHeight="1" x14ac:dyDescent="0.3">
      <c r="A848" s="17" t="s">
        <v>5490</v>
      </c>
      <c r="B848" s="20" t="s">
        <v>1254</v>
      </c>
      <c r="C848" s="22" t="s">
        <v>7107</v>
      </c>
      <c r="D848" s="2" t="s">
        <v>16</v>
      </c>
      <c r="E848" s="6" t="str">
        <f>LOOKUP(2,1/(MCQ!C:C=B848),MCQ!H:H)</f>
        <v>25.00</v>
      </c>
      <c r="F848" s="6" t="str">
        <f>LOOKUP(2,1/(Debugging!C:C=B848),Debugging!H:H)</f>
        <v>49.00</v>
      </c>
      <c r="G848" s="6" t="str">
        <f>LOOKUP(2,1/(Coding!C:C=B848),Coding!H:H)</f>
        <v>25.00</v>
      </c>
      <c r="H848" s="8">
        <f>E848+F848+G848</f>
        <v>99</v>
      </c>
      <c r="I848" s="4" t="str">
        <f>IF(J848&lt;&gt;"Complete","Not Active",IF(H848&gt;=75,"Good",IF(H848&gt;=50,"Satisfactory",IF(H848&gt;=25,"Need Attention","Intervention"))))</f>
        <v>Good</v>
      </c>
      <c r="J848" s="4" t="str">
        <f>IF(COUNTIF(E848:G848,"#N/A")=3,"Not Attempted",IF(OR(ISNA(E848),ISNA(F848),ISNA(G848)),"NotCompleted","Complete"))</f>
        <v>Complete</v>
      </c>
    </row>
    <row r="849" spans="1:10" ht="15" customHeight="1" x14ac:dyDescent="0.3">
      <c r="A849" s="17" t="s">
        <v>5490</v>
      </c>
      <c r="B849" s="20" t="s">
        <v>1256</v>
      </c>
      <c r="C849" s="22" t="s">
        <v>7108</v>
      </c>
      <c r="D849" s="2" t="s">
        <v>8</v>
      </c>
      <c r="E849" s="6" t="str">
        <f>LOOKUP(2,1/(MCQ!C:C=B849),MCQ!H:H)</f>
        <v>22.00</v>
      </c>
      <c r="F849" s="6" t="str">
        <f>LOOKUP(2,1/(Debugging!C:C=B849),Debugging!H:H)</f>
        <v>41.00</v>
      </c>
      <c r="G849" s="6" t="str">
        <f>LOOKUP(2,1/(Coding!C:C=B849),Coding!H:H)</f>
        <v>25.00</v>
      </c>
      <c r="H849" s="8">
        <f>E849+F849+G849</f>
        <v>88</v>
      </c>
      <c r="I849" s="4" t="str">
        <f>IF(J849&lt;&gt;"Complete","Not Active",IF(H849&gt;=75,"Good",IF(H849&gt;=50,"Satisfactory",IF(H849&gt;=25,"Need Attention","Intervention"))))</f>
        <v>Good</v>
      </c>
      <c r="J849" s="4" t="str">
        <f>IF(COUNTIF(E849:G849,"#N/A")=3,"Not Attempted",IF(OR(ISNA(E849),ISNA(F849),ISNA(G849)),"NotCompleted","Complete"))</f>
        <v>Complete</v>
      </c>
    </row>
    <row r="850" spans="1:10" ht="15" customHeight="1" x14ac:dyDescent="0.3">
      <c r="A850" s="17" t="s">
        <v>5490</v>
      </c>
      <c r="B850" s="20" t="s">
        <v>1258</v>
      </c>
      <c r="C850" s="22" t="s">
        <v>7109</v>
      </c>
      <c r="D850" s="2" t="s">
        <v>19</v>
      </c>
      <c r="E850" s="6" t="str">
        <f>LOOKUP(2,1/(MCQ!C:C=B850),MCQ!H:H)</f>
        <v>22.00</v>
      </c>
      <c r="F850" s="6" t="str">
        <f>LOOKUP(2,1/(Debugging!C:C=B850),Debugging!H:H)</f>
        <v>43.00</v>
      </c>
      <c r="G850" s="6" t="str">
        <f>LOOKUP(2,1/(Coding!C:C=B850),Coding!H:H)</f>
        <v>25.00</v>
      </c>
      <c r="H850" s="8">
        <f>E850+F850+G850</f>
        <v>90</v>
      </c>
      <c r="I850" s="4" t="str">
        <f>IF(J850&lt;&gt;"Complete","Not Active",IF(H850&gt;=75,"Good",IF(H850&gt;=50,"Satisfactory",IF(H850&gt;=25,"Need Attention","Intervention"))))</f>
        <v>Good</v>
      </c>
      <c r="J850" s="4" t="str">
        <f>IF(COUNTIF(E850:G850,"#N/A")=3,"Not Attempted",IF(OR(ISNA(E850),ISNA(F850),ISNA(G850)),"NotCompleted","Complete"))</f>
        <v>Complete</v>
      </c>
    </row>
    <row r="851" spans="1:10" ht="15" customHeight="1" x14ac:dyDescent="0.3">
      <c r="A851" s="17" t="s">
        <v>5490</v>
      </c>
      <c r="B851" s="20" t="s">
        <v>5940</v>
      </c>
      <c r="C851" s="22" t="s">
        <v>7110</v>
      </c>
      <c r="D851" s="2" t="s">
        <v>49</v>
      </c>
      <c r="E851" s="6" t="str">
        <f>LOOKUP(2,1/(MCQ!C:C=B851),MCQ!H:H)</f>
        <v>22.00</v>
      </c>
      <c r="F851" s="6" t="str">
        <f>LOOKUP(2,1/(Debugging!C:C=B851),Debugging!H:H)</f>
        <v>28.00</v>
      </c>
      <c r="G851" s="6" t="e">
        <f>LOOKUP(2,1/(Coding!C:C=B851),Coding!H:H)</f>
        <v>#N/A</v>
      </c>
      <c r="H851" s="8" t="e">
        <f>E851+F851+G851</f>
        <v>#N/A</v>
      </c>
      <c r="I851" s="4" t="str">
        <f>IF(J851&lt;&gt;"Complete","Not Active",IF(H851&gt;=75,"Good",IF(H851&gt;=50,"Satisfactory",IF(H851&gt;=25,"Need Attention","Intervention"))))</f>
        <v>Not Active</v>
      </c>
      <c r="J851" s="4" t="str">
        <f>IF(COUNTIF(E851:G851,"#N/A")=3,"Not Attempted",IF(OR(ISNA(E851),ISNA(F851),ISNA(G851)),"NotCompleted","Complete"))</f>
        <v>NotCompleted</v>
      </c>
    </row>
    <row r="852" spans="1:10" ht="15" customHeight="1" x14ac:dyDescent="0.3">
      <c r="A852" s="17" t="s">
        <v>5490</v>
      </c>
      <c r="B852" s="20" t="s">
        <v>1260</v>
      </c>
      <c r="C852" s="22" t="s">
        <v>7111</v>
      </c>
      <c r="D852" s="2" t="s">
        <v>31</v>
      </c>
      <c r="E852" s="6" t="str">
        <f>LOOKUP(2,1/(MCQ!C:C=B852),MCQ!H:H)</f>
        <v>25.00</v>
      </c>
      <c r="F852" s="6" t="str">
        <f>LOOKUP(2,1/(Debugging!C:C=B852),Debugging!H:H)</f>
        <v>34.00</v>
      </c>
      <c r="G852" s="6" t="str">
        <f>LOOKUP(2,1/(Coding!C:C=B852),Coding!H:H)</f>
        <v>14.50</v>
      </c>
      <c r="H852" s="8">
        <f>E852+F852+G852</f>
        <v>73.5</v>
      </c>
      <c r="I852" s="4" t="str">
        <f>IF(J852&lt;&gt;"Complete","Not Active",IF(H852&gt;=75,"Good",IF(H852&gt;=50,"Satisfactory",IF(H852&gt;=25,"Need Attention","Intervention"))))</f>
        <v>Satisfactory</v>
      </c>
      <c r="J852" s="4" t="str">
        <f>IF(COUNTIF(E852:G852,"#N/A")=3,"Not Attempted",IF(OR(ISNA(E852),ISNA(F852),ISNA(G852)),"NotCompleted","Complete"))</f>
        <v>Complete</v>
      </c>
    </row>
    <row r="853" spans="1:10" ht="15" customHeight="1" x14ac:dyDescent="0.3">
      <c r="A853" s="17" t="s">
        <v>5490</v>
      </c>
      <c r="B853" s="20" t="s">
        <v>1262</v>
      </c>
      <c r="C853" s="22" t="s">
        <v>7112</v>
      </c>
      <c r="D853" s="2" t="s">
        <v>123</v>
      </c>
      <c r="E853" s="6" t="str">
        <f>LOOKUP(2,1/(MCQ!C:C=B853),MCQ!H:H)</f>
        <v>20.00</v>
      </c>
      <c r="F853" s="6" t="e">
        <f>LOOKUP(2,1/(Coding!B:B=A853),Coding!G:G)</f>
        <v>#N/A</v>
      </c>
      <c r="G853" s="6" t="e">
        <f>LOOKUP(2,1/(Coding!C:C=B853),Coding!H:H)</f>
        <v>#N/A</v>
      </c>
      <c r="H853" s="8" t="e">
        <f>E853+F853+G853</f>
        <v>#N/A</v>
      </c>
      <c r="I853" s="4" t="str">
        <f>IF(J853&lt;&gt;"Complete","Not Active",IF(H853&gt;=75,"Good",IF(H853&gt;=50,"Satisfactory",IF(H853&gt;=25,"Need Attention","Intervention"))))</f>
        <v>Not Active</v>
      </c>
      <c r="J853" s="4" t="str">
        <f>IF(COUNTIF(E853:G853,"#N/A")=3,"Not Attempted",IF(OR(ISNA(E853),ISNA(F853),ISNA(G853)),"NotCompleted","Complete"))</f>
        <v>NotCompleted</v>
      </c>
    </row>
    <row r="854" spans="1:10" ht="15" customHeight="1" x14ac:dyDescent="0.3">
      <c r="A854" s="17" t="s">
        <v>5490</v>
      </c>
      <c r="B854" s="20" t="s">
        <v>1264</v>
      </c>
      <c r="C854" s="22" t="s">
        <v>7113</v>
      </c>
      <c r="D854" s="2" t="s">
        <v>1059</v>
      </c>
      <c r="E854" s="6" t="str">
        <f>LOOKUP(2,1/(MCQ!C:C=B854),MCQ!H:H)</f>
        <v>24.00</v>
      </c>
      <c r="F854" s="6" t="str">
        <f>LOOKUP(2,1/(Debugging!C:C=B854),Debugging!H:H)</f>
        <v>40.00</v>
      </c>
      <c r="G854" s="6" t="str">
        <f>LOOKUP(2,1/(Coding!C:C=B854),Coding!H:H)</f>
        <v>12.50</v>
      </c>
      <c r="H854" s="8">
        <f>E854+F854+G854</f>
        <v>76.5</v>
      </c>
      <c r="I854" s="4" t="str">
        <f>IF(J854&lt;&gt;"Complete","Not Active",IF(H854&gt;=75,"Good",IF(H854&gt;=50,"Satisfactory",IF(H854&gt;=25,"Need Attention","Intervention"))))</f>
        <v>Good</v>
      </c>
      <c r="J854" s="4" t="str">
        <f>IF(COUNTIF(E854:G854,"#N/A")=3,"Not Attempted",IF(OR(ISNA(E854),ISNA(F854),ISNA(G854)),"NotCompleted","Complete"))</f>
        <v>Complete</v>
      </c>
    </row>
    <row r="855" spans="1:10" ht="15" customHeight="1" x14ac:dyDescent="0.3">
      <c r="A855" s="17" t="s">
        <v>5490</v>
      </c>
      <c r="B855" s="20" t="s">
        <v>1266</v>
      </c>
      <c r="C855" s="22" t="s">
        <v>6811</v>
      </c>
      <c r="D855" s="2" t="s">
        <v>8</v>
      </c>
      <c r="E855" s="6" t="str">
        <f>LOOKUP(2,1/(MCQ!C:C=B855),MCQ!H:H)</f>
        <v>21.00</v>
      </c>
      <c r="F855" s="6" t="str">
        <f>LOOKUP(2,1/(Debugging!C:C=B855),Debugging!H:H)</f>
        <v>44.00</v>
      </c>
      <c r="G855" s="6" t="str">
        <f>LOOKUP(2,1/(Coding!C:C=B855),Coding!H:H)</f>
        <v>25.00</v>
      </c>
      <c r="H855" s="8">
        <f>E855+F855+G855</f>
        <v>90</v>
      </c>
      <c r="I855" s="4" t="str">
        <f>IF(J855&lt;&gt;"Complete","Not Active",IF(H855&gt;=75,"Good",IF(H855&gt;=50,"Satisfactory",IF(H855&gt;=25,"Need Attention","Intervention"))))</f>
        <v>Good</v>
      </c>
      <c r="J855" s="4" t="str">
        <f>IF(COUNTIF(E855:G855,"#N/A")=3,"Not Attempted",IF(OR(ISNA(E855),ISNA(F855),ISNA(G855)),"NotCompleted","Complete"))</f>
        <v>Complete</v>
      </c>
    </row>
    <row r="856" spans="1:10" ht="15" customHeight="1" x14ac:dyDescent="0.3">
      <c r="A856" s="17" t="s">
        <v>5490</v>
      </c>
      <c r="B856" s="20" t="s">
        <v>5957</v>
      </c>
      <c r="C856" s="22" t="s">
        <v>7114</v>
      </c>
      <c r="D856" s="2" t="s">
        <v>49</v>
      </c>
      <c r="E856" s="6" t="str">
        <f>LOOKUP(2,1/(MCQ!C:C=B856),MCQ!H:H)</f>
        <v>18.00</v>
      </c>
      <c r="F856" s="6" t="str">
        <f>LOOKUP(2,1/(Debugging!C:C=B856),Debugging!H:H)</f>
        <v>39.00</v>
      </c>
      <c r="G856" s="6" t="e">
        <f>LOOKUP(2,1/(Coding!C:C=B856),Coding!H:H)</f>
        <v>#N/A</v>
      </c>
      <c r="H856" s="8" t="e">
        <f>E856+F856+G856</f>
        <v>#N/A</v>
      </c>
      <c r="I856" s="4" t="str">
        <f>IF(J856&lt;&gt;"Complete","Not Active",IF(H856&gt;=75,"Good",IF(H856&gt;=50,"Satisfactory",IF(H856&gt;=25,"Need Attention","Intervention"))))</f>
        <v>Not Active</v>
      </c>
      <c r="J856" s="4" t="str">
        <f>IF(COUNTIF(E856:G856,"#N/A")=3,"Not Attempted",IF(OR(ISNA(E856),ISNA(F856),ISNA(G856)),"NotCompleted","Complete"))</f>
        <v>NotCompleted</v>
      </c>
    </row>
    <row r="857" spans="1:10" ht="15" customHeight="1" x14ac:dyDescent="0.3">
      <c r="A857" s="17" t="s">
        <v>5490</v>
      </c>
      <c r="B857" s="20" t="s">
        <v>5962</v>
      </c>
      <c r="C857" s="22" t="s">
        <v>7115</v>
      </c>
      <c r="D857" s="2" t="s">
        <v>31</v>
      </c>
      <c r="E857" s="6" t="str">
        <f>LOOKUP(2,1/(MCQ!C:C=B857),MCQ!H:H)</f>
        <v>20.00</v>
      </c>
      <c r="F857" s="6" t="e">
        <f>LOOKUP(2,1/(Coding!B:B=A857),Coding!G:G)</f>
        <v>#N/A</v>
      </c>
      <c r="G857" s="6" t="e">
        <f>LOOKUP(2,1/(Coding!C:C=B857),Coding!H:H)</f>
        <v>#N/A</v>
      </c>
      <c r="H857" s="8" t="e">
        <f>E857+F857+G857</f>
        <v>#N/A</v>
      </c>
      <c r="I857" s="4" t="str">
        <f>IF(J857&lt;&gt;"Complete","Not Active",IF(H857&gt;=75,"Good",IF(H857&gt;=50,"Satisfactory",IF(H857&gt;=25,"Need Attention","Intervention"))))</f>
        <v>Not Active</v>
      </c>
      <c r="J857" s="4" t="str">
        <f>IF(COUNTIF(E857:G857,"#N/A")=3,"Not Attempted",IF(OR(ISNA(E857),ISNA(F857),ISNA(G857)),"NotCompleted","Complete"))</f>
        <v>NotCompleted</v>
      </c>
    </row>
    <row r="858" spans="1:10" ht="15" customHeight="1" x14ac:dyDescent="0.3">
      <c r="A858" s="17" t="s">
        <v>5490</v>
      </c>
      <c r="B858" s="20" t="s">
        <v>1267</v>
      </c>
      <c r="C858" s="22" t="s">
        <v>7116</v>
      </c>
      <c r="D858" s="2" t="s">
        <v>42</v>
      </c>
      <c r="E858" s="6" t="str">
        <f>LOOKUP(2,1/(MCQ!C:C=B858),MCQ!H:H)</f>
        <v>21.00</v>
      </c>
      <c r="F858" s="6" t="str">
        <f>LOOKUP(2,1/(Debugging!C:C=B858),Debugging!H:H)</f>
        <v>45.00</v>
      </c>
      <c r="G858" s="6" t="str">
        <f>LOOKUP(2,1/(Coding!C:C=B858),Coding!H:H)</f>
        <v>25.00</v>
      </c>
      <c r="H858" s="8">
        <f>E858+F858+G858</f>
        <v>91</v>
      </c>
      <c r="I858" s="4" t="str">
        <f>IF(J858&lt;&gt;"Complete","Not Active",IF(H858&gt;=75,"Good",IF(H858&gt;=50,"Satisfactory",IF(H858&gt;=25,"Need Attention","Intervention"))))</f>
        <v>Good</v>
      </c>
      <c r="J858" s="4" t="str">
        <f>IF(COUNTIF(E858:G858,"#N/A")=3,"Not Attempted",IF(OR(ISNA(E858),ISNA(F858),ISNA(G858)),"NotCompleted","Complete"))</f>
        <v>Complete</v>
      </c>
    </row>
    <row r="859" spans="1:10" ht="15" customHeight="1" x14ac:dyDescent="0.3">
      <c r="A859" s="17" t="s">
        <v>5490</v>
      </c>
      <c r="B859" s="20" t="s">
        <v>5967</v>
      </c>
      <c r="C859" s="22" t="s">
        <v>7117</v>
      </c>
      <c r="D859" s="2" t="s">
        <v>1070</v>
      </c>
      <c r="E859" s="6" t="str">
        <f>LOOKUP(2,1/(MCQ!C:C=B859),MCQ!H:H)</f>
        <v>24.00</v>
      </c>
      <c r="F859" s="6" t="str">
        <f>LOOKUP(2,1/(Debugging!C:C=B859),Debugging!H:H)</f>
        <v>49.00</v>
      </c>
      <c r="G859" s="6" t="e">
        <f>LOOKUP(2,1/(Coding!C:C=B859),Coding!H:H)</f>
        <v>#N/A</v>
      </c>
      <c r="H859" s="8" t="e">
        <f>E859+F859+G859</f>
        <v>#N/A</v>
      </c>
      <c r="I859" s="4" t="str">
        <f>IF(J859&lt;&gt;"Complete","Not Active",IF(H859&gt;=75,"Good",IF(H859&gt;=50,"Satisfactory",IF(H859&gt;=25,"Need Attention","Intervention"))))</f>
        <v>Not Active</v>
      </c>
      <c r="J859" s="4" t="str">
        <f>IF(COUNTIF(E859:G859,"#N/A")=3,"Not Attempted",IF(OR(ISNA(E859),ISNA(F859),ISNA(G859)),"NotCompleted","Complete"))</f>
        <v>NotCompleted</v>
      </c>
    </row>
    <row r="860" spans="1:10" ht="15" customHeight="1" x14ac:dyDescent="0.3">
      <c r="A860" s="17" t="s">
        <v>5490</v>
      </c>
      <c r="B860" s="20" t="s">
        <v>1269</v>
      </c>
      <c r="C860" s="22" t="s">
        <v>7118</v>
      </c>
      <c r="D860" s="2" t="s">
        <v>8</v>
      </c>
      <c r="E860" s="6" t="str">
        <f>LOOKUP(2,1/(MCQ!C:C=B860),MCQ!H:H)</f>
        <v>23.00</v>
      </c>
      <c r="F860" s="6" t="str">
        <f>LOOKUP(2,1/(Debugging!C:C=B860),Debugging!H:H)</f>
        <v>42.00</v>
      </c>
      <c r="G860" s="6" t="str">
        <f>LOOKUP(2,1/(Coding!C:C=B860),Coding!H:H)</f>
        <v>24.00</v>
      </c>
      <c r="H860" s="8">
        <f>E860+F860+G860</f>
        <v>89</v>
      </c>
      <c r="I860" s="4" t="str">
        <f>IF(J860&lt;&gt;"Complete","Not Active",IF(H860&gt;=75,"Good",IF(H860&gt;=50,"Satisfactory",IF(H860&gt;=25,"Need Attention","Intervention"))))</f>
        <v>Good</v>
      </c>
      <c r="J860" s="4" t="str">
        <f>IF(COUNTIF(E860:G860,"#N/A")=3,"Not Attempted",IF(OR(ISNA(E860),ISNA(F860),ISNA(G860)),"NotCompleted","Complete"))</f>
        <v>Complete</v>
      </c>
    </row>
    <row r="861" spans="1:10" ht="15" customHeight="1" x14ac:dyDescent="0.3">
      <c r="A861" s="17" t="s">
        <v>5490</v>
      </c>
      <c r="B861" s="20" t="s">
        <v>1271</v>
      </c>
      <c r="C861" s="22" t="s">
        <v>7119</v>
      </c>
      <c r="D861" s="2" t="s">
        <v>25</v>
      </c>
      <c r="E861" s="6" t="str">
        <f>LOOKUP(2,1/(MCQ!C:C=B861),MCQ!H:H)</f>
        <v>20.00</v>
      </c>
      <c r="F861" s="6" t="str">
        <f>LOOKUP(2,1/(Debugging!C:C=B861),Debugging!H:H)</f>
        <v>37.00</v>
      </c>
      <c r="G861" s="6" t="e">
        <f>LOOKUP(2,1/(Coding!C:C=B861),Coding!H:H)</f>
        <v>#N/A</v>
      </c>
      <c r="H861" s="8" t="e">
        <f>E861+F861+G861</f>
        <v>#N/A</v>
      </c>
      <c r="I861" s="4" t="str">
        <f>IF(J861&lt;&gt;"Complete","Not Active",IF(H861&gt;=75,"Good",IF(H861&gt;=50,"Satisfactory",IF(H861&gt;=25,"Need Attention","Intervention"))))</f>
        <v>Not Active</v>
      </c>
      <c r="J861" s="4" t="str">
        <f>IF(COUNTIF(E861:G861,"#N/A")=3,"Not Attempted",IF(OR(ISNA(E861),ISNA(F861),ISNA(G861)),"NotCompleted","Complete"))</f>
        <v>NotCompleted</v>
      </c>
    </row>
    <row r="862" spans="1:10" ht="15" customHeight="1" x14ac:dyDescent="0.3">
      <c r="A862" s="17" t="s">
        <v>5490</v>
      </c>
      <c r="B862" s="20" t="s">
        <v>5975</v>
      </c>
      <c r="C862" s="22" t="s">
        <v>7001</v>
      </c>
      <c r="D862" s="2" t="s">
        <v>1077</v>
      </c>
      <c r="E862" s="6" t="str">
        <f>LOOKUP(2,1/(MCQ!C:C=B862),MCQ!H:H)</f>
        <v>22.00</v>
      </c>
      <c r="F862" s="6" t="str">
        <f>LOOKUP(2,1/(Debugging!C:C=B862),Debugging!H:H)</f>
        <v>35.00</v>
      </c>
      <c r="G862" s="6" t="e">
        <f>LOOKUP(2,1/(Coding!C:C=B862),Coding!H:H)</f>
        <v>#N/A</v>
      </c>
      <c r="H862" s="8" t="e">
        <f>E862+F862+G862</f>
        <v>#N/A</v>
      </c>
      <c r="I862" s="4" t="str">
        <f>IF(J862&lt;&gt;"Complete","Not Active",IF(H862&gt;=75,"Good",IF(H862&gt;=50,"Satisfactory",IF(H862&gt;=25,"Need Attention","Intervention"))))</f>
        <v>Not Active</v>
      </c>
      <c r="J862" s="4" t="str">
        <f>IF(COUNTIF(E862:G862,"#N/A")=3,"Not Attempted",IF(OR(ISNA(E862),ISNA(F862),ISNA(G862)),"NotCompleted","Complete"))</f>
        <v>NotCompleted</v>
      </c>
    </row>
    <row r="863" spans="1:10" ht="15" customHeight="1" x14ac:dyDescent="0.3">
      <c r="A863" s="17" t="s">
        <v>5490</v>
      </c>
      <c r="B863" s="20" t="s">
        <v>1273</v>
      </c>
      <c r="C863" s="22" t="s">
        <v>7120</v>
      </c>
      <c r="D863" s="2" t="s">
        <v>995</v>
      </c>
      <c r="E863" s="6" t="str">
        <f>LOOKUP(2,1/(MCQ!C:C=B863),MCQ!H:H)</f>
        <v>24.00</v>
      </c>
      <c r="F863" s="6" t="str">
        <f>LOOKUP(2,1/(Debugging!C:C=B863),Debugging!H:H)</f>
        <v>50.00</v>
      </c>
      <c r="G863" s="6" t="str">
        <f>LOOKUP(2,1/(Coding!C:C=B863),Coding!H:H)</f>
        <v>24.00</v>
      </c>
      <c r="H863" s="8">
        <f>E863+F863+G863</f>
        <v>98</v>
      </c>
      <c r="I863" s="4" t="str">
        <f>IF(J863&lt;&gt;"Complete","Not Active",IF(H863&gt;=75,"Good",IF(H863&gt;=50,"Satisfactory",IF(H863&gt;=25,"Need Attention","Intervention"))))</f>
        <v>Good</v>
      </c>
      <c r="J863" s="4" t="str">
        <f>IF(COUNTIF(E863:G863,"#N/A")=3,"Not Attempted",IF(OR(ISNA(E863),ISNA(F863),ISNA(G863)),"NotCompleted","Complete"))</f>
        <v>Complete</v>
      </c>
    </row>
    <row r="864" spans="1:10" ht="15" customHeight="1" x14ac:dyDescent="0.3">
      <c r="A864" s="17" t="s">
        <v>5490</v>
      </c>
      <c r="B864" s="20" t="s">
        <v>1275</v>
      </c>
      <c r="C864" s="22" t="s">
        <v>7121</v>
      </c>
      <c r="D864" s="2" t="s">
        <v>49</v>
      </c>
      <c r="E864" s="6" t="str">
        <f>LOOKUP(2,1/(MCQ!C:C=B864),MCQ!H:H)</f>
        <v>24.00</v>
      </c>
      <c r="F864" s="6" t="str">
        <f>LOOKUP(2,1/(Debugging!C:C=B864),Debugging!H:H)</f>
        <v>25.00</v>
      </c>
      <c r="G864" s="6" t="e">
        <f>LOOKUP(2,1/(Coding!C:C=B864),Coding!H:H)</f>
        <v>#N/A</v>
      </c>
      <c r="H864" s="8" t="e">
        <f>E864+F864+G864</f>
        <v>#N/A</v>
      </c>
      <c r="I864" s="4" t="str">
        <f>IF(J864&lt;&gt;"Complete","Not Active",IF(H864&gt;=75,"Good",IF(H864&gt;=50,"Satisfactory",IF(H864&gt;=25,"Need Attention","Intervention"))))</f>
        <v>Not Active</v>
      </c>
      <c r="J864" s="4" t="str">
        <f>IF(COUNTIF(E864:G864,"#N/A")=3,"Not Attempted",IF(OR(ISNA(E864),ISNA(F864),ISNA(G864)),"NotCompleted","Complete"))</f>
        <v>NotCompleted</v>
      </c>
    </row>
    <row r="865" spans="1:10" ht="15" customHeight="1" x14ac:dyDescent="0.3">
      <c r="A865" s="17" t="s">
        <v>5490</v>
      </c>
      <c r="B865" s="20" t="s">
        <v>1277</v>
      </c>
      <c r="C865" s="22" t="s">
        <v>7122</v>
      </c>
      <c r="D865" s="2" t="s">
        <v>8</v>
      </c>
      <c r="E865" s="6" t="str">
        <f>LOOKUP(2,1/(MCQ!C:C=B865),MCQ!H:H)</f>
        <v>21.00</v>
      </c>
      <c r="F865" s="6" t="str">
        <f>LOOKUP(2,1/(Debugging!C:C=B865),Debugging!H:H)</f>
        <v>47.00</v>
      </c>
      <c r="G865" s="6" t="e">
        <f>LOOKUP(2,1/(Coding!C:C=B865),Coding!H:H)</f>
        <v>#N/A</v>
      </c>
      <c r="H865" s="8" t="e">
        <f>E865+F865+G865</f>
        <v>#N/A</v>
      </c>
      <c r="I865" s="4" t="str">
        <f>IF(J865&lt;&gt;"Complete","Not Active",IF(H865&gt;=75,"Good",IF(H865&gt;=50,"Satisfactory",IF(H865&gt;=25,"Need Attention","Intervention"))))</f>
        <v>Not Active</v>
      </c>
      <c r="J865" s="4" t="str">
        <f>IF(COUNTIF(E865:G865,"#N/A")=3,"Not Attempted",IF(OR(ISNA(E865),ISNA(F865),ISNA(G865)),"NotCompleted","Complete"))</f>
        <v>NotCompleted</v>
      </c>
    </row>
    <row r="866" spans="1:10" ht="15" customHeight="1" x14ac:dyDescent="0.3">
      <c r="A866" s="17" t="s">
        <v>5490</v>
      </c>
      <c r="B866" s="20" t="s">
        <v>5990</v>
      </c>
      <c r="C866" s="22" t="s">
        <v>7123</v>
      </c>
      <c r="D866" s="2" t="s">
        <v>1085</v>
      </c>
      <c r="E866" s="6" t="str">
        <f>LOOKUP(2,1/(MCQ!C:C=B866),MCQ!H:H)</f>
        <v>24.00</v>
      </c>
      <c r="F866" s="6" t="str">
        <f>LOOKUP(2,1/(Debugging!C:C=B866),Debugging!H:H)</f>
        <v>32.00</v>
      </c>
      <c r="G866" s="6" t="e">
        <f>LOOKUP(2,1/(Coding!C:C=B866),Coding!H:H)</f>
        <v>#N/A</v>
      </c>
      <c r="H866" s="8" t="e">
        <f>E866+F866+G866</f>
        <v>#N/A</v>
      </c>
      <c r="I866" s="4" t="str">
        <f>IF(J866&lt;&gt;"Complete","Not Active",IF(H866&gt;=75,"Good",IF(H866&gt;=50,"Satisfactory",IF(H866&gt;=25,"Need Attention","Intervention"))))</f>
        <v>Not Active</v>
      </c>
      <c r="J866" s="4" t="str">
        <f>IF(COUNTIF(E866:G866,"#N/A")=3,"Not Attempted",IF(OR(ISNA(E866),ISNA(F866),ISNA(G866)),"NotCompleted","Complete"))</f>
        <v>NotCompleted</v>
      </c>
    </row>
    <row r="867" spans="1:10" ht="15" customHeight="1" x14ac:dyDescent="0.3">
      <c r="A867" s="17" t="s">
        <v>5490</v>
      </c>
      <c r="B867" s="20" t="s">
        <v>1279</v>
      </c>
      <c r="C867" s="22" t="s">
        <v>7124</v>
      </c>
      <c r="D867" s="2" t="s">
        <v>123</v>
      </c>
      <c r="E867" s="6" t="str">
        <f>LOOKUP(2,1/(MCQ!C:C=B867),MCQ!H:H)</f>
        <v>20.00</v>
      </c>
      <c r="F867" s="6" t="str">
        <f>LOOKUP(2,1/(Debugging!C:C=B867),Debugging!H:H)</f>
        <v>44.00</v>
      </c>
      <c r="G867" s="6" t="str">
        <f>LOOKUP(2,1/(Coding!C:C=B867),Coding!H:H)</f>
        <v>25.00</v>
      </c>
      <c r="H867" s="8">
        <f>E867+F867+G867</f>
        <v>89</v>
      </c>
      <c r="I867" s="4" t="str">
        <f>IF(J867&lt;&gt;"Complete","Not Active",IF(H867&gt;=75,"Good",IF(H867&gt;=50,"Satisfactory",IF(H867&gt;=25,"Need Attention","Intervention"))))</f>
        <v>Good</v>
      </c>
      <c r="J867" s="4" t="str">
        <f>IF(COUNTIF(E867:G867,"#N/A")=3,"Not Attempted",IF(OR(ISNA(E867),ISNA(F867),ISNA(G867)),"NotCompleted","Complete"))</f>
        <v>Complete</v>
      </c>
    </row>
    <row r="868" spans="1:10" ht="15" customHeight="1" x14ac:dyDescent="0.3">
      <c r="A868" s="17" t="s">
        <v>5490</v>
      </c>
      <c r="B868" s="20" t="s">
        <v>6000</v>
      </c>
      <c r="C868" s="22" t="s">
        <v>7125</v>
      </c>
      <c r="D868" s="2" t="s">
        <v>31</v>
      </c>
      <c r="E868" s="6" t="str">
        <f>LOOKUP(2,1/(MCQ!C:C=B868),MCQ!H:H)</f>
        <v>12.00</v>
      </c>
      <c r="F868" s="6" t="str">
        <f>LOOKUP(2,1/(Debugging!C:C=B868),Debugging!H:H)</f>
        <v>49.00</v>
      </c>
      <c r="G868" s="6" t="e">
        <f>LOOKUP(2,1/(Coding!C:C=B868),Coding!H:H)</f>
        <v>#N/A</v>
      </c>
      <c r="H868" s="8" t="e">
        <f>E868+F868+G868</f>
        <v>#N/A</v>
      </c>
      <c r="I868" s="4" t="str">
        <f>IF(J868&lt;&gt;"Complete","Not Active",IF(H868&gt;=75,"Good",IF(H868&gt;=50,"Satisfactory",IF(H868&gt;=25,"Need Attention","Intervention"))))</f>
        <v>Not Active</v>
      </c>
      <c r="J868" s="4" t="str">
        <f>IF(COUNTIF(E868:G868,"#N/A")=3,"Not Attempted",IF(OR(ISNA(E868),ISNA(F868),ISNA(G868)),"NotCompleted","Complete"))</f>
        <v>NotCompleted</v>
      </c>
    </row>
    <row r="869" spans="1:10" ht="15" customHeight="1" x14ac:dyDescent="0.3">
      <c r="A869" s="17" t="s">
        <v>5490</v>
      </c>
      <c r="B869" s="20" t="s">
        <v>6004</v>
      </c>
      <c r="C869" s="22" t="s">
        <v>7126</v>
      </c>
      <c r="D869" s="2" t="s">
        <v>49</v>
      </c>
      <c r="E869" s="6" t="str">
        <f>LOOKUP(2,1/(MCQ!C:C=B869),MCQ!H:H)</f>
        <v>24.00</v>
      </c>
      <c r="F869" s="6" t="str">
        <f>LOOKUP(2,1/(Debugging!C:C=B869),Debugging!H:H)</f>
        <v>33.00</v>
      </c>
      <c r="G869" s="6" t="e">
        <f>LOOKUP(2,1/(Coding!C:C=B869),Coding!H:H)</f>
        <v>#N/A</v>
      </c>
      <c r="H869" s="8" t="e">
        <f>E869+F869+G869</f>
        <v>#N/A</v>
      </c>
      <c r="I869" s="4" t="str">
        <f>IF(J869&lt;&gt;"Complete","Not Active",IF(H869&gt;=75,"Good",IF(H869&gt;=50,"Satisfactory",IF(H869&gt;=25,"Need Attention","Intervention"))))</f>
        <v>Not Active</v>
      </c>
      <c r="J869" s="4" t="str">
        <f>IF(COUNTIF(E869:G869,"#N/A")=3,"Not Attempted",IF(OR(ISNA(E869),ISNA(F869),ISNA(G869)),"NotCompleted","Complete"))</f>
        <v>NotCompleted</v>
      </c>
    </row>
    <row r="870" spans="1:10" ht="15" customHeight="1" x14ac:dyDescent="0.3">
      <c r="A870" s="17" t="s">
        <v>5490</v>
      </c>
      <c r="B870" s="20" t="s">
        <v>1281</v>
      </c>
      <c r="C870" s="22" t="s">
        <v>7127</v>
      </c>
      <c r="D870" s="2" t="s">
        <v>55</v>
      </c>
      <c r="E870" s="6" t="str">
        <f>LOOKUP(2,1/(MCQ!C:C=B870),MCQ!H:H)</f>
        <v>23.00</v>
      </c>
      <c r="F870" s="6" t="str">
        <f>LOOKUP(2,1/(Debugging!C:C=B870),Debugging!H:H)</f>
        <v>36.00</v>
      </c>
      <c r="G870" s="6" t="str">
        <f>LOOKUP(2,1/(Coding!C:C=B870),Coding!H:H)</f>
        <v>25.00</v>
      </c>
      <c r="H870" s="8">
        <f>E870+F870+G870</f>
        <v>84</v>
      </c>
      <c r="I870" s="4" t="str">
        <f>IF(J870&lt;&gt;"Complete","Not Active",IF(H870&gt;=75,"Good",IF(H870&gt;=50,"Satisfactory",IF(H870&gt;=25,"Need Attention","Intervention"))))</f>
        <v>Good</v>
      </c>
      <c r="J870" s="4" t="str">
        <f>IF(COUNTIF(E870:G870,"#N/A")=3,"Not Attempted",IF(OR(ISNA(E870),ISNA(F870),ISNA(G870)),"NotCompleted","Complete"))</f>
        <v>Complete</v>
      </c>
    </row>
    <row r="871" spans="1:10" ht="15" customHeight="1" x14ac:dyDescent="0.3">
      <c r="A871" s="17" t="s">
        <v>5490</v>
      </c>
      <c r="B871" s="20" t="s">
        <v>1283</v>
      </c>
      <c r="C871" s="22" t="s">
        <v>7128</v>
      </c>
      <c r="D871" s="2" t="s">
        <v>31</v>
      </c>
      <c r="E871" s="6" t="str">
        <f>LOOKUP(2,1/(MCQ!C:C=B871),MCQ!H:H)</f>
        <v>25.00</v>
      </c>
      <c r="F871" s="6" t="e">
        <f>LOOKUP(2,1/(Coding!B:B=A871),Coding!G:G)</f>
        <v>#N/A</v>
      </c>
      <c r="G871" s="6" t="str">
        <f>LOOKUP(2,1/(Coding!C:C=B871),Coding!H:H)</f>
        <v>25.00</v>
      </c>
      <c r="H871" s="8" t="e">
        <f>E871+F871+G871</f>
        <v>#N/A</v>
      </c>
      <c r="I871" s="4" t="str">
        <f>IF(J871&lt;&gt;"Complete","Not Active",IF(H871&gt;=75,"Good",IF(H871&gt;=50,"Satisfactory",IF(H871&gt;=25,"Need Attention","Intervention"))))</f>
        <v>Not Active</v>
      </c>
      <c r="J871" s="4" t="str">
        <f>IF(COUNTIF(E871:G871,"#N/A")=3,"Not Attempted",IF(OR(ISNA(E871),ISNA(F871),ISNA(G871)),"NotCompleted","Complete"))</f>
        <v>NotCompleted</v>
      </c>
    </row>
    <row r="872" spans="1:10" ht="15" customHeight="1" x14ac:dyDescent="0.3">
      <c r="A872" s="17" t="s">
        <v>5490</v>
      </c>
      <c r="B872" s="20" t="s">
        <v>6016</v>
      </c>
      <c r="C872" s="22" t="s">
        <v>7554</v>
      </c>
      <c r="D872" s="23"/>
      <c r="E872" s="6" t="str">
        <f>LOOKUP(2,1/(MCQ!C:C=B872),MCQ!H:H)</f>
        <v>25.00</v>
      </c>
      <c r="F872" s="6" t="str">
        <f>LOOKUP(2,1/(Debugging!C:C=B872),Debugging!H:H)</f>
        <v>36.00</v>
      </c>
      <c r="G872" s="6" t="e">
        <f>LOOKUP(2,1/(Coding!C:C=B872),Coding!H:H)</f>
        <v>#N/A</v>
      </c>
      <c r="H872" s="8" t="e">
        <f>E872+F872+G872</f>
        <v>#N/A</v>
      </c>
      <c r="I872" s="4" t="str">
        <f>IF(J872&lt;&gt;"Complete","Not Active",IF(H872&gt;=75,"Good",IF(H872&gt;=50,"Satisfactory",IF(H872&gt;=25,"Need Attention","Intervention"))))</f>
        <v>Not Active</v>
      </c>
      <c r="J872" s="4" t="str">
        <f>IF(COUNTIF(E872:G872,"#N/A")=3,"Not Attempted",IF(OR(ISNA(E872),ISNA(F872),ISNA(G872)),"NotCompleted","Complete"))</f>
        <v>NotCompleted</v>
      </c>
    </row>
    <row r="873" spans="1:10" ht="15" customHeight="1" x14ac:dyDescent="0.3">
      <c r="A873" s="17" t="s">
        <v>5490</v>
      </c>
      <c r="B873" s="20" t="s">
        <v>6033</v>
      </c>
      <c r="C873" s="22" t="s">
        <v>7555</v>
      </c>
      <c r="D873" s="23"/>
      <c r="E873" s="6" t="e">
        <f>LOOKUP(2,1/(Debugging!B:B=A873),Debugging!G:G)</f>
        <v>#N/A</v>
      </c>
      <c r="F873" s="6" t="e">
        <f>LOOKUP(2,1/(Debugging!C:C=B873),Debugging!H:H)</f>
        <v>#N/A</v>
      </c>
      <c r="G873" s="6" t="e">
        <f>LOOKUP(2,1/(Coding!C:C=B873),Coding!H:H)</f>
        <v>#N/A</v>
      </c>
      <c r="H873" s="8" t="e">
        <f>E873+F873+G873</f>
        <v>#N/A</v>
      </c>
      <c r="I873" s="4" t="str">
        <f>IF(J873&lt;&gt;"Complete","Not Active",IF(H873&gt;=75,"Good",IF(H873&gt;=50,"Satisfactory",IF(H873&gt;=25,"Need Attention","Intervention"))))</f>
        <v>Not Active</v>
      </c>
      <c r="J873" s="4" t="str">
        <f>IF(COUNTIF(E873:G873,"#N/A")=3,"Not Attempted",IF(OR(ISNA(E873),ISNA(F873),ISNA(G873)),"NotCompleted","Complete"))</f>
        <v>Not Attempted</v>
      </c>
    </row>
    <row r="874" spans="1:10" ht="15" customHeight="1" x14ac:dyDescent="0.3">
      <c r="A874" s="17" t="s">
        <v>5490</v>
      </c>
      <c r="B874" s="20" t="s">
        <v>6048</v>
      </c>
      <c r="C874" s="22" t="s">
        <v>7556</v>
      </c>
      <c r="D874" s="23"/>
      <c r="E874" s="6" t="str">
        <f>LOOKUP(2,1/(MCQ!C:C=B874),MCQ!H:H)</f>
        <v>20.00</v>
      </c>
      <c r="F874" s="6" t="str">
        <f>LOOKUP(2,1/(Debugging!C:C=B874),Debugging!H:H)</f>
        <v>4.00</v>
      </c>
      <c r="G874" s="6" t="e">
        <f>LOOKUP(2,1/(Coding!C:C=B874),Coding!H:H)</f>
        <v>#N/A</v>
      </c>
      <c r="H874" s="8" t="e">
        <f>E874+F874+G874</f>
        <v>#N/A</v>
      </c>
      <c r="I874" s="4" t="str">
        <f>IF(J874&lt;&gt;"Complete","Not Active",IF(H874&gt;=75,"Good",IF(H874&gt;=50,"Satisfactory",IF(H874&gt;=25,"Need Attention","Intervention"))))</f>
        <v>Not Active</v>
      </c>
      <c r="J874" s="4" t="str">
        <f>IF(COUNTIF(E874:G874,"#N/A")=3,"Not Attempted",IF(OR(ISNA(E874),ISNA(F874),ISNA(G874)),"NotCompleted","Complete"))</f>
        <v>NotCompleted</v>
      </c>
    </row>
    <row r="875" spans="1:10" ht="15" customHeight="1" x14ac:dyDescent="0.3">
      <c r="A875" s="17" t="s">
        <v>5490</v>
      </c>
      <c r="B875" s="20" t="s">
        <v>1285</v>
      </c>
      <c r="C875" s="22" t="s">
        <v>7557</v>
      </c>
      <c r="D875" s="23"/>
      <c r="E875" s="6" t="str">
        <f>LOOKUP(2,1/(MCQ!C:C=B875),MCQ!H:H)</f>
        <v>24.00</v>
      </c>
      <c r="F875" s="6" t="str">
        <f>LOOKUP(2,1/(Debugging!C:C=B875),Debugging!H:H)</f>
        <v>41.00</v>
      </c>
      <c r="G875" s="6" t="str">
        <f>LOOKUP(2,1/(Coding!C:C=B875),Coding!H:H)</f>
        <v>25.00</v>
      </c>
      <c r="H875" s="8">
        <f>E875+F875+G875</f>
        <v>90</v>
      </c>
      <c r="I875" s="4" t="str">
        <f>IF(J875&lt;&gt;"Complete","Not Active",IF(H875&gt;=75,"Good",IF(H875&gt;=50,"Satisfactory",IF(H875&gt;=25,"Need Attention","Intervention"))))</f>
        <v>Good</v>
      </c>
      <c r="J875" s="4" t="str">
        <f>IF(COUNTIF(E875:G875,"#N/A")=3,"Not Attempted",IF(OR(ISNA(E875),ISNA(F875),ISNA(G875)),"NotCompleted","Complete"))</f>
        <v>Complete</v>
      </c>
    </row>
    <row r="876" spans="1:10" ht="15" customHeight="1" x14ac:dyDescent="0.3">
      <c r="A876" s="18" t="s">
        <v>5490</v>
      </c>
      <c r="B876" s="20" t="s">
        <v>5884</v>
      </c>
      <c r="C876" s="21" t="s">
        <v>7558</v>
      </c>
      <c r="D876" s="23"/>
      <c r="E876" s="6" t="str">
        <f>LOOKUP(2,1/(MCQ!C:C=B876),MCQ!H:H)</f>
        <v>21.00</v>
      </c>
      <c r="F876" s="6" t="str">
        <f>LOOKUP(2,1/(Debugging!C:C=B876),Debugging!H:H)</f>
        <v>45.00</v>
      </c>
      <c r="G876" s="6" t="e">
        <f>LOOKUP(2,1/(Coding!C:C=B876),Coding!H:H)</f>
        <v>#N/A</v>
      </c>
      <c r="H876" s="8" t="e">
        <f>E876+F876+G876</f>
        <v>#N/A</v>
      </c>
      <c r="I876" s="4" t="str">
        <f>IF(J876&lt;&gt;"Complete","Not Active",IF(H876&gt;=75,"Good",IF(H876&gt;=50,"Satisfactory",IF(H876&gt;=25,"Need Attention","Intervention"))))</f>
        <v>Not Active</v>
      </c>
      <c r="J876" s="4" t="str">
        <f>IF(COUNTIF(E876:G876,"#N/A")=3,"Not Attempted",IF(OR(ISNA(E876),ISNA(F876),ISNA(G876)),"NotCompleted","Complete"))</f>
        <v>NotCompleted</v>
      </c>
    </row>
    <row r="877" spans="1:10" ht="15" customHeight="1" x14ac:dyDescent="0.3">
      <c r="A877" s="18" t="s">
        <v>5490</v>
      </c>
      <c r="B877" s="20" t="s">
        <v>5921</v>
      </c>
      <c r="C877" s="21" t="s">
        <v>7559</v>
      </c>
      <c r="D877" s="23"/>
      <c r="E877" s="6" t="str">
        <f>LOOKUP(2,1/(MCQ!C:C=B877),MCQ!H:H)</f>
        <v>18.00</v>
      </c>
      <c r="F877" s="6" t="str">
        <f>LOOKUP(2,1/(Debugging!C:C=B877),Debugging!H:H)</f>
        <v>23.00</v>
      </c>
      <c r="G877" s="6" t="e">
        <f>LOOKUP(2,1/(Coding!C:C=B877),Coding!H:H)</f>
        <v>#N/A</v>
      </c>
      <c r="H877" s="8" t="e">
        <f>E877+F877+G877</f>
        <v>#N/A</v>
      </c>
      <c r="I877" s="4" t="str">
        <f>IF(J877&lt;&gt;"Complete","Not Active",IF(H877&gt;=75,"Good",IF(H877&gt;=50,"Satisfactory",IF(H877&gt;=25,"Need Attention","Intervention"))))</f>
        <v>Not Active</v>
      </c>
      <c r="J877" s="4" t="str">
        <f>IF(COUNTIF(E877:G877,"#N/A")=3,"Not Attempted",IF(OR(ISNA(E877),ISNA(F877),ISNA(G877)),"NotCompleted","Complete"))</f>
        <v>NotCompleted</v>
      </c>
    </row>
    <row r="878" spans="1:10" ht="15" customHeight="1" x14ac:dyDescent="0.3">
      <c r="A878" s="18" t="s">
        <v>5490</v>
      </c>
      <c r="B878" s="20" t="s">
        <v>5934</v>
      </c>
      <c r="C878" s="21" t="s">
        <v>7560</v>
      </c>
      <c r="D878" s="23"/>
      <c r="E878" s="6" t="str">
        <f>LOOKUP(2,1/(MCQ!C:C=B878),MCQ!H:H)</f>
        <v>21.00</v>
      </c>
      <c r="F878" s="6" t="str">
        <f>LOOKUP(2,1/(Debugging!C:C=B878),Debugging!H:H)</f>
        <v>0.00</v>
      </c>
      <c r="G878" s="6" t="e">
        <f>LOOKUP(2,1/(Coding!C:C=B878),Coding!H:H)</f>
        <v>#N/A</v>
      </c>
      <c r="H878" s="8" t="e">
        <f>E878+F878+G878</f>
        <v>#N/A</v>
      </c>
      <c r="I878" s="4" t="str">
        <f>IF(J878&lt;&gt;"Complete","Not Active",IF(H878&gt;=75,"Good",IF(H878&gt;=50,"Satisfactory",IF(H878&gt;=25,"Need Attention","Intervention"))))</f>
        <v>Not Active</v>
      </c>
      <c r="J878" s="4" t="str">
        <f>IF(COUNTIF(E878:G878,"#N/A")=3,"Not Attempted",IF(OR(ISNA(E878),ISNA(F878),ISNA(G878)),"NotCompleted","Complete"))</f>
        <v>NotCompleted</v>
      </c>
    </row>
    <row r="879" spans="1:10" ht="15" customHeight="1" x14ac:dyDescent="0.3">
      <c r="A879" s="18" t="s">
        <v>5490</v>
      </c>
      <c r="B879" s="20" t="s">
        <v>5985</v>
      </c>
      <c r="C879" s="21" t="s">
        <v>7561</v>
      </c>
      <c r="D879" s="23"/>
      <c r="E879" s="6" t="str">
        <f>LOOKUP(2,1/(MCQ!C:C=B879),MCQ!H:H)</f>
        <v>3.00</v>
      </c>
      <c r="F879" s="6" t="str">
        <f>LOOKUP(2,1/(Debugging!C:C=B879),Debugging!H:H)</f>
        <v>0.00</v>
      </c>
      <c r="G879" s="6" t="e">
        <f>LOOKUP(2,1/(Coding!C:C=B879),Coding!H:H)</f>
        <v>#N/A</v>
      </c>
      <c r="H879" s="8" t="e">
        <f>E879+F879+G879</f>
        <v>#N/A</v>
      </c>
      <c r="I879" s="4" t="str">
        <f>IF(J879&lt;&gt;"Complete","Not Active",IF(H879&gt;=75,"Good",IF(H879&gt;=50,"Satisfactory",IF(H879&gt;=25,"Need Attention","Intervention"))))</f>
        <v>Not Active</v>
      </c>
      <c r="J879" s="4" t="str">
        <f>IF(COUNTIF(E879:G879,"#N/A")=3,"Not Attempted",IF(OR(ISNA(E879),ISNA(F879),ISNA(G879)),"NotCompleted","Complete"))</f>
        <v>NotCompleted</v>
      </c>
    </row>
    <row r="880" spans="1:10" ht="15" customHeight="1" x14ac:dyDescent="0.3">
      <c r="A880" s="18" t="s">
        <v>7588</v>
      </c>
      <c r="B880" s="20" t="s">
        <v>1287</v>
      </c>
      <c r="C880" s="20" t="s">
        <v>7394</v>
      </c>
      <c r="D880" s="23"/>
      <c r="E880" s="6" t="str">
        <f>LOOKUP(2,1/(MCQ!C:C=B880),MCQ!H:H)</f>
        <v>25.00</v>
      </c>
      <c r="F880" s="6" t="e">
        <f>LOOKUP(2,1/(Debugging!C:C=B880),Debugging!H:H)</f>
        <v>#N/A</v>
      </c>
      <c r="G880" s="6" t="e">
        <f>LOOKUP(2,1/(Coding!C:C=B880),Coding!H:H)</f>
        <v>#N/A</v>
      </c>
      <c r="H880" s="8" t="e">
        <f>E880+F880+G880</f>
        <v>#N/A</v>
      </c>
      <c r="I880" s="4" t="str">
        <f>IF(J880&lt;&gt;"Complete","Not Active",IF(H880&gt;=75,"Good",IF(H880&gt;=50,"Satisfactory",IF(H880&gt;=25,"Need Attention","Intervention"))))</f>
        <v>Not Active</v>
      </c>
      <c r="J880" s="4" t="str">
        <f>IF(COUNTIF(E880:G880,"#N/A")=3,"Not Attempted",IF(OR(ISNA(E880),ISNA(F880),ISNA(G880)),"NotCompleted","Complete"))</f>
        <v>NotCompleted</v>
      </c>
    </row>
    <row r="881" spans="1:10" ht="15" customHeight="1" x14ac:dyDescent="0.3">
      <c r="A881" s="18" t="s">
        <v>7588</v>
      </c>
      <c r="B881" s="20" t="s">
        <v>6512</v>
      </c>
      <c r="C881" s="20" t="s">
        <v>7395</v>
      </c>
      <c r="D881" s="23"/>
      <c r="E881" s="6" t="e">
        <f>LOOKUP(2,1/(MCQ!C:C=B881),MCQ!H:H)</f>
        <v>#N/A</v>
      </c>
      <c r="F881" s="6" t="e">
        <f>LOOKUP(2,1/(Debugging!C:C=B881),Debugging!H:H)</f>
        <v>#N/A</v>
      </c>
      <c r="G881" s="6" t="e">
        <f>LOOKUP(2,1/(Coding!C:C=B881),Coding!H:H)</f>
        <v>#N/A</v>
      </c>
      <c r="H881" s="8" t="e">
        <f>E881+F881+G881</f>
        <v>#N/A</v>
      </c>
      <c r="I881" s="4" t="str">
        <f>IF(J881&lt;&gt;"Complete","Not Active",IF(H881&gt;=75,"Good",IF(H881&gt;=50,"Satisfactory",IF(H881&gt;=25,"Need Attention","Intervention"))))</f>
        <v>Not Active</v>
      </c>
      <c r="J881" s="4" t="str">
        <f>IF(COUNTIF(E881:G881,"#N/A")=3,"Not Attempted",IF(OR(ISNA(E881),ISNA(F881),ISNA(G881)),"NotCompleted","Complete"))</f>
        <v>Not Attempted</v>
      </c>
    </row>
    <row r="882" spans="1:10" ht="15" customHeight="1" x14ac:dyDescent="0.3">
      <c r="A882" s="18" t="s">
        <v>7588</v>
      </c>
      <c r="B882" s="20" t="s">
        <v>1289</v>
      </c>
      <c r="C882" s="20" t="s">
        <v>7396</v>
      </c>
      <c r="D882" s="23"/>
      <c r="E882" s="6" t="str">
        <f>LOOKUP(2,1/(MCQ!C:C=B882),MCQ!H:H)</f>
        <v>20.00</v>
      </c>
      <c r="F882" s="6" t="str">
        <f>LOOKUP(2,1/(Debugging!C:C=B882),Debugging!H:H)</f>
        <v>45.00</v>
      </c>
      <c r="G882" s="6" t="str">
        <f>LOOKUP(2,1/(Coding!C:C=B882),Coding!H:H)</f>
        <v>0.00</v>
      </c>
      <c r="H882" s="8">
        <f>E882+F882+G882</f>
        <v>65</v>
      </c>
      <c r="I882" s="4" t="str">
        <f>IF(J882&lt;&gt;"Complete","Not Active",IF(H882&gt;=75,"Good",IF(H882&gt;=50,"Satisfactory",IF(H882&gt;=25,"Need Attention","Intervention"))))</f>
        <v>Satisfactory</v>
      </c>
      <c r="J882" s="4" t="str">
        <f>IF(COUNTIF(E882:G882,"#N/A")=3,"Not Attempted",IF(OR(ISNA(E882),ISNA(F882),ISNA(G882)),"NotCompleted","Complete"))</f>
        <v>Complete</v>
      </c>
    </row>
    <row r="883" spans="1:10" ht="15" customHeight="1" x14ac:dyDescent="0.3">
      <c r="A883" s="18" t="s">
        <v>7588</v>
      </c>
      <c r="B883" s="20" t="s">
        <v>6513</v>
      </c>
      <c r="C883" s="20" t="s">
        <v>7397</v>
      </c>
      <c r="D883" s="23"/>
      <c r="E883" s="6" t="e">
        <f>LOOKUP(2,1/(MCQ!C:C=B883),MCQ!H:H)</f>
        <v>#N/A</v>
      </c>
      <c r="F883" s="6" t="e">
        <f>LOOKUP(2,1/(Debugging!C:C=B883),Debugging!H:H)</f>
        <v>#N/A</v>
      </c>
      <c r="G883" s="6" t="e">
        <f>LOOKUP(2,1/(Coding!C:C=B883),Coding!H:H)</f>
        <v>#N/A</v>
      </c>
      <c r="H883" s="8" t="e">
        <f>E883+F883+G883</f>
        <v>#N/A</v>
      </c>
      <c r="I883" s="4" t="str">
        <f>IF(J883&lt;&gt;"Complete","Not Active",IF(H883&gt;=75,"Good",IF(H883&gt;=50,"Satisfactory",IF(H883&gt;=25,"Need Attention","Intervention"))))</f>
        <v>Not Active</v>
      </c>
      <c r="J883" s="4" t="str">
        <f>IF(COUNTIF(E883:G883,"#N/A")=3,"Not Attempted",IF(OR(ISNA(E883),ISNA(F883),ISNA(G883)),"NotCompleted","Complete"))</f>
        <v>Not Attempted</v>
      </c>
    </row>
    <row r="884" spans="1:10" ht="15" customHeight="1" x14ac:dyDescent="0.3">
      <c r="A884" s="18" t="s">
        <v>7588</v>
      </c>
      <c r="B884" s="20" t="s">
        <v>6514</v>
      </c>
      <c r="C884" s="20" t="s">
        <v>7398</v>
      </c>
      <c r="D884" s="23"/>
      <c r="E884" s="6" t="e">
        <f>LOOKUP(2,1/(MCQ!C:C=B884),MCQ!H:H)</f>
        <v>#N/A</v>
      </c>
      <c r="F884" s="6" t="e">
        <f>LOOKUP(2,1/(Debugging!C:C=B884),Debugging!H:H)</f>
        <v>#N/A</v>
      </c>
      <c r="G884" s="6" t="e">
        <f>LOOKUP(2,1/(Coding!C:C=B884),Coding!H:H)</f>
        <v>#N/A</v>
      </c>
      <c r="H884" s="8" t="e">
        <f>E884+F884+G884</f>
        <v>#N/A</v>
      </c>
      <c r="I884" s="4" t="str">
        <f>IF(J884&lt;&gt;"Complete","Not Active",IF(H884&gt;=75,"Good",IF(H884&gt;=50,"Satisfactory",IF(H884&gt;=25,"Need Attention","Intervention"))))</f>
        <v>Not Active</v>
      </c>
      <c r="J884" s="4" t="str">
        <f>IF(COUNTIF(E884:G884,"#N/A")=3,"Not Attempted",IF(OR(ISNA(E884),ISNA(F884),ISNA(G884)),"NotCompleted","Complete"))</f>
        <v>Not Attempted</v>
      </c>
    </row>
    <row r="885" spans="1:10" ht="15" customHeight="1" x14ac:dyDescent="0.3">
      <c r="A885" s="18" t="s">
        <v>7588</v>
      </c>
      <c r="B885" s="20" t="s">
        <v>6515</v>
      </c>
      <c r="C885" s="20" t="s">
        <v>7399</v>
      </c>
      <c r="D885" s="23"/>
      <c r="E885" s="6" t="e">
        <f>LOOKUP(2,1/(MCQ!C:C=B885),MCQ!H:H)</f>
        <v>#N/A</v>
      </c>
      <c r="F885" s="6" t="e">
        <f>LOOKUP(2,1/(Debugging!C:C=B885),Debugging!H:H)</f>
        <v>#N/A</v>
      </c>
      <c r="G885" s="6" t="e">
        <f>LOOKUP(2,1/(Coding!C:C=B885),Coding!H:H)</f>
        <v>#N/A</v>
      </c>
      <c r="H885" s="8" t="e">
        <f>E885+F885+G885</f>
        <v>#N/A</v>
      </c>
      <c r="I885" s="4" t="str">
        <f>IF(J885&lt;&gt;"Complete","Not Active",IF(H885&gt;=75,"Good",IF(H885&gt;=50,"Satisfactory",IF(H885&gt;=25,"Need Attention","Intervention"))))</f>
        <v>Not Active</v>
      </c>
      <c r="J885" s="4" t="str">
        <f>IF(COUNTIF(E885:G885,"#N/A")=3,"Not Attempted",IF(OR(ISNA(E885),ISNA(F885),ISNA(G885)),"NotCompleted","Complete"))</f>
        <v>Not Attempted</v>
      </c>
    </row>
    <row r="886" spans="1:10" ht="15" customHeight="1" x14ac:dyDescent="0.3">
      <c r="A886" s="18" t="s">
        <v>7588</v>
      </c>
      <c r="B886" s="20" t="s">
        <v>6516</v>
      </c>
      <c r="C886" s="20" t="s">
        <v>7400</v>
      </c>
      <c r="D886" s="23"/>
      <c r="E886" s="6" t="e">
        <f>LOOKUP(2,1/(MCQ!C:C=B886),MCQ!H:H)</f>
        <v>#N/A</v>
      </c>
      <c r="F886" s="6" t="e">
        <f>LOOKUP(2,1/(Debugging!C:C=B886),Debugging!H:H)</f>
        <v>#N/A</v>
      </c>
      <c r="G886" s="6" t="e">
        <f>LOOKUP(2,1/(Coding!C:C=B886),Coding!H:H)</f>
        <v>#N/A</v>
      </c>
      <c r="H886" s="8" t="e">
        <f>E886+F886+G886</f>
        <v>#N/A</v>
      </c>
      <c r="I886" s="4" t="str">
        <f>IF(J886&lt;&gt;"Complete","Not Active",IF(H886&gt;=75,"Good",IF(H886&gt;=50,"Satisfactory",IF(H886&gt;=25,"Need Attention","Intervention"))))</f>
        <v>Not Active</v>
      </c>
      <c r="J886" s="4" t="str">
        <f>IF(COUNTIF(E886:G886,"#N/A")=3,"Not Attempted",IF(OR(ISNA(E886),ISNA(F886),ISNA(G886)),"NotCompleted","Complete"))</f>
        <v>Not Attempted</v>
      </c>
    </row>
    <row r="887" spans="1:10" ht="15" customHeight="1" x14ac:dyDescent="0.3">
      <c r="A887" s="18" t="s">
        <v>7588</v>
      </c>
      <c r="B887" s="20" t="s">
        <v>1291</v>
      </c>
      <c r="C887" s="20" t="s">
        <v>7401</v>
      </c>
      <c r="D887" s="23"/>
      <c r="E887" s="6" t="str">
        <f>LOOKUP(2,1/(MCQ!C:C=B887),MCQ!H:H)</f>
        <v>24.00</v>
      </c>
      <c r="F887" s="6" t="e">
        <f>LOOKUP(2,1/(Debugging!C:C=B887),Debugging!H:H)</f>
        <v>#N/A</v>
      </c>
      <c r="G887" s="6" t="e">
        <f>LOOKUP(2,1/(Coding!C:C=B887),Coding!H:H)</f>
        <v>#N/A</v>
      </c>
      <c r="H887" s="8" t="e">
        <f>E887+F887+G887</f>
        <v>#N/A</v>
      </c>
      <c r="I887" s="4" t="str">
        <f>IF(J887&lt;&gt;"Complete","Not Active",IF(H887&gt;=75,"Good",IF(H887&gt;=50,"Satisfactory",IF(H887&gt;=25,"Need Attention","Intervention"))))</f>
        <v>Not Active</v>
      </c>
      <c r="J887" s="4" t="str">
        <f>IF(COUNTIF(E887:G887,"#N/A")=3,"Not Attempted",IF(OR(ISNA(E887),ISNA(F887),ISNA(G887)),"NotCompleted","Complete"))</f>
        <v>NotCompleted</v>
      </c>
    </row>
    <row r="888" spans="1:10" ht="15" customHeight="1" x14ac:dyDescent="0.3">
      <c r="A888" s="18" t="s">
        <v>7588</v>
      </c>
      <c r="B888" s="20" t="s">
        <v>6517</v>
      </c>
      <c r="C888" s="20" t="s">
        <v>7402</v>
      </c>
      <c r="D888" s="23"/>
      <c r="E888" s="6" t="e">
        <f>LOOKUP(2,1/(MCQ!C:C=B888),MCQ!H:H)</f>
        <v>#N/A</v>
      </c>
      <c r="F888" s="6" t="e">
        <f>LOOKUP(2,1/(Debugging!C:C=B888),Debugging!H:H)</f>
        <v>#N/A</v>
      </c>
      <c r="G888" s="6" t="e">
        <f>LOOKUP(2,1/(Coding!C:C=B888),Coding!H:H)</f>
        <v>#N/A</v>
      </c>
      <c r="H888" s="8" t="e">
        <f>E888+F888+G888</f>
        <v>#N/A</v>
      </c>
      <c r="I888" s="4" t="str">
        <f>IF(J888&lt;&gt;"Complete","Not Active",IF(H888&gt;=75,"Good",IF(H888&gt;=50,"Satisfactory",IF(H888&gt;=25,"Need Attention","Intervention"))))</f>
        <v>Not Active</v>
      </c>
      <c r="J888" s="4" t="str">
        <f>IF(COUNTIF(E888:G888,"#N/A")=3,"Not Attempted",IF(OR(ISNA(E888),ISNA(F888),ISNA(G888)),"NotCompleted","Complete"))</f>
        <v>Not Attempted</v>
      </c>
    </row>
    <row r="889" spans="1:10" ht="15" customHeight="1" x14ac:dyDescent="0.3">
      <c r="A889" s="18" t="s">
        <v>7588</v>
      </c>
      <c r="B889" s="20" t="s">
        <v>6518</v>
      </c>
      <c r="C889" s="20" t="s">
        <v>7403</v>
      </c>
      <c r="D889" s="23"/>
      <c r="E889" s="6" t="e">
        <f>LOOKUP(2,1/(MCQ!C:C=B889),MCQ!H:H)</f>
        <v>#N/A</v>
      </c>
      <c r="F889" s="6" t="e">
        <f>LOOKUP(2,1/(Debugging!C:C=B889),Debugging!H:H)</f>
        <v>#N/A</v>
      </c>
      <c r="G889" s="6" t="e">
        <f>LOOKUP(2,1/(Coding!C:C=B889),Coding!H:H)</f>
        <v>#N/A</v>
      </c>
      <c r="H889" s="8" t="e">
        <f>E889+F889+G889</f>
        <v>#N/A</v>
      </c>
      <c r="I889" s="4" t="str">
        <f>IF(J889&lt;&gt;"Complete","Not Active",IF(H889&gt;=75,"Good",IF(H889&gt;=50,"Satisfactory",IF(H889&gt;=25,"Need Attention","Intervention"))))</f>
        <v>Not Active</v>
      </c>
      <c r="J889" s="4" t="str">
        <f>IF(COUNTIF(E889:G889,"#N/A")=3,"Not Attempted",IF(OR(ISNA(E889),ISNA(F889),ISNA(G889)),"NotCompleted","Complete"))</f>
        <v>Not Attempted</v>
      </c>
    </row>
    <row r="890" spans="1:10" ht="15" customHeight="1" x14ac:dyDescent="0.3">
      <c r="A890" s="18" t="s">
        <v>7588</v>
      </c>
      <c r="B890" s="20" t="s">
        <v>6519</v>
      </c>
      <c r="C890" s="20" t="s">
        <v>7287</v>
      </c>
      <c r="D890" s="23"/>
      <c r="E890" s="6" t="e">
        <f>LOOKUP(2,1/(MCQ!C:C=B890),MCQ!H:H)</f>
        <v>#N/A</v>
      </c>
      <c r="F890" s="6" t="e">
        <f>LOOKUP(2,1/(Debugging!C:C=B890),Debugging!H:H)</f>
        <v>#N/A</v>
      </c>
      <c r="G890" s="6" t="e">
        <f>LOOKUP(2,1/(Coding!C:C=B890),Coding!H:H)</f>
        <v>#N/A</v>
      </c>
      <c r="H890" s="8" t="e">
        <f>E890+F890+G890</f>
        <v>#N/A</v>
      </c>
      <c r="I890" s="4" t="str">
        <f>IF(J890&lt;&gt;"Complete","Not Active",IF(H890&gt;=75,"Good",IF(H890&gt;=50,"Satisfactory",IF(H890&gt;=25,"Need Attention","Intervention"))))</f>
        <v>Not Active</v>
      </c>
      <c r="J890" s="4" t="str">
        <f>IF(COUNTIF(E890:G890,"#N/A")=3,"Not Attempted",IF(OR(ISNA(E890),ISNA(F890),ISNA(G890)),"NotCompleted","Complete"))</f>
        <v>Not Attempted</v>
      </c>
    </row>
    <row r="891" spans="1:10" ht="15" customHeight="1" x14ac:dyDescent="0.3">
      <c r="A891" s="18" t="s">
        <v>7588</v>
      </c>
      <c r="B891" s="20" t="s">
        <v>1293</v>
      </c>
      <c r="C891" s="20" t="s">
        <v>7404</v>
      </c>
      <c r="D891" s="23"/>
      <c r="E891" s="6" t="str">
        <f>LOOKUP(2,1/(MCQ!C:C=B891),MCQ!H:H)</f>
        <v>21.00</v>
      </c>
      <c r="F891" s="6" t="str">
        <f>LOOKUP(2,1/(Debugging!C:C=B891),Debugging!H:H)</f>
        <v>36.00</v>
      </c>
      <c r="G891" s="6" t="str">
        <f>LOOKUP(2,1/(Coding!C:C=B891),Coding!H:H)</f>
        <v>25.00</v>
      </c>
      <c r="H891" s="8">
        <f>E891+F891+G891</f>
        <v>82</v>
      </c>
      <c r="I891" s="4" t="str">
        <f>IF(J891&lt;&gt;"Complete","Not Active",IF(H891&gt;=75,"Good",IF(H891&gt;=50,"Satisfactory",IF(H891&gt;=25,"Need Attention","Intervention"))))</f>
        <v>Good</v>
      </c>
      <c r="J891" s="4" t="str">
        <f>IF(COUNTIF(E891:G891,"#N/A")=3,"Not Attempted",IF(OR(ISNA(E891),ISNA(F891),ISNA(G891)),"NotCompleted","Complete"))</f>
        <v>Complete</v>
      </c>
    </row>
    <row r="892" spans="1:10" ht="15" customHeight="1" x14ac:dyDescent="0.3">
      <c r="A892" s="18" t="s">
        <v>7588</v>
      </c>
      <c r="B892" s="20" t="s">
        <v>6520</v>
      </c>
      <c r="C892" s="20" t="s">
        <v>7405</v>
      </c>
      <c r="D892" s="23"/>
      <c r="E892" s="6" t="e">
        <f>LOOKUP(2,1/(MCQ!C:C=B892),MCQ!H:H)</f>
        <v>#N/A</v>
      </c>
      <c r="F892" s="6" t="e">
        <f>LOOKUP(2,1/(Debugging!C:C=B892),Debugging!H:H)</f>
        <v>#N/A</v>
      </c>
      <c r="G892" s="6" t="e">
        <f>LOOKUP(2,1/(Coding!C:C=B892),Coding!H:H)</f>
        <v>#N/A</v>
      </c>
      <c r="H892" s="8" t="e">
        <f>E892+F892+G892</f>
        <v>#N/A</v>
      </c>
      <c r="I892" s="4" t="str">
        <f>IF(J892&lt;&gt;"Complete","Not Active",IF(H892&gt;=75,"Good",IF(H892&gt;=50,"Satisfactory",IF(H892&gt;=25,"Need Attention","Intervention"))))</f>
        <v>Not Active</v>
      </c>
      <c r="J892" s="4" t="str">
        <f>IF(COUNTIF(E892:G892,"#N/A")=3,"Not Attempted",IF(OR(ISNA(E892),ISNA(F892),ISNA(G892)),"NotCompleted","Complete"))</f>
        <v>Not Attempted</v>
      </c>
    </row>
    <row r="893" spans="1:10" ht="15" customHeight="1" x14ac:dyDescent="0.3">
      <c r="A893" s="18" t="s">
        <v>7588</v>
      </c>
      <c r="B893" s="20" t="s">
        <v>1295</v>
      </c>
      <c r="C893" s="20" t="s">
        <v>7406</v>
      </c>
      <c r="D893" s="23"/>
      <c r="E893" s="6" t="str">
        <f>LOOKUP(2,1/(MCQ!C:C=B893),MCQ!H:H)</f>
        <v>21.00</v>
      </c>
      <c r="F893" s="6" t="e">
        <f>LOOKUP(2,1/(Debugging!C:C=B893),Debugging!H:H)</f>
        <v>#N/A</v>
      </c>
      <c r="G893" s="6" t="e">
        <f>LOOKUP(2,1/(Coding!C:C=B893),Coding!H:H)</f>
        <v>#N/A</v>
      </c>
      <c r="H893" s="8" t="e">
        <f>E893+F893+G893</f>
        <v>#N/A</v>
      </c>
      <c r="I893" s="4" t="str">
        <f>IF(J893&lt;&gt;"Complete","Not Active",IF(H893&gt;=75,"Good",IF(H893&gt;=50,"Satisfactory",IF(H893&gt;=25,"Need Attention","Intervention"))))</f>
        <v>Not Active</v>
      </c>
      <c r="J893" s="4" t="str">
        <f>IF(COUNTIF(E893:G893,"#N/A")=3,"Not Attempted",IF(OR(ISNA(E893),ISNA(F893),ISNA(G893)),"NotCompleted","Complete"))</f>
        <v>NotCompleted</v>
      </c>
    </row>
    <row r="894" spans="1:10" ht="15" customHeight="1" x14ac:dyDescent="0.3">
      <c r="A894" s="18" t="s">
        <v>7588</v>
      </c>
      <c r="B894" s="20" t="s">
        <v>1297</v>
      </c>
      <c r="C894" s="20" t="s">
        <v>7407</v>
      </c>
      <c r="D894" s="23"/>
      <c r="E894" s="6" t="str">
        <f>LOOKUP(2,1/(MCQ!C:C=B894),MCQ!H:H)</f>
        <v>23.00</v>
      </c>
      <c r="F894" s="6" t="e">
        <f>LOOKUP(2,1/(Debugging!C:C=B894),Debugging!H:H)</f>
        <v>#N/A</v>
      </c>
      <c r="G894" s="6" t="str">
        <f>LOOKUP(2,1/(Coding!C:C=B894),Coding!H:H)</f>
        <v>25.00</v>
      </c>
      <c r="H894" s="8" t="e">
        <f>E894+F894+G894</f>
        <v>#N/A</v>
      </c>
      <c r="I894" s="4" t="str">
        <f>IF(J894&lt;&gt;"Complete","Not Active",IF(H894&gt;=75,"Good",IF(H894&gt;=50,"Satisfactory",IF(H894&gt;=25,"Need Attention","Intervention"))))</f>
        <v>Not Active</v>
      </c>
      <c r="J894" s="4" t="str">
        <f>IF(COUNTIF(E894:G894,"#N/A")=3,"Not Attempted",IF(OR(ISNA(E894),ISNA(F894),ISNA(G894)),"NotCompleted","Complete"))</f>
        <v>NotCompleted</v>
      </c>
    </row>
    <row r="895" spans="1:10" ht="15" customHeight="1" x14ac:dyDescent="0.3">
      <c r="A895" s="18" t="s">
        <v>7588</v>
      </c>
      <c r="B895" s="20" t="s">
        <v>1299</v>
      </c>
      <c r="C895" s="20" t="s">
        <v>7408</v>
      </c>
      <c r="D895" s="23"/>
      <c r="E895" s="6" t="str">
        <f>LOOKUP(2,1/(MCQ!C:C=B895),MCQ!H:H)</f>
        <v>17.00</v>
      </c>
      <c r="F895" s="6" t="e">
        <f>LOOKUP(2,1/(Debugging!C:C=B895),Debugging!H:H)</f>
        <v>#N/A</v>
      </c>
      <c r="G895" s="6" t="e">
        <f>LOOKUP(2,1/(Coding!C:C=B895),Coding!H:H)</f>
        <v>#N/A</v>
      </c>
      <c r="H895" s="8" t="e">
        <f>E895+F895+G895</f>
        <v>#N/A</v>
      </c>
      <c r="I895" s="4" t="str">
        <f>IF(J895&lt;&gt;"Complete","Not Active",IF(H895&gt;=75,"Good",IF(H895&gt;=50,"Satisfactory",IF(H895&gt;=25,"Need Attention","Intervention"))))</f>
        <v>Not Active</v>
      </c>
      <c r="J895" s="4" t="str">
        <f>IF(COUNTIF(E895:G895,"#N/A")=3,"Not Attempted",IF(OR(ISNA(E895),ISNA(F895),ISNA(G895)),"NotCompleted","Complete"))</f>
        <v>NotCompleted</v>
      </c>
    </row>
    <row r="896" spans="1:10" ht="15" customHeight="1" x14ac:dyDescent="0.3">
      <c r="A896" s="18" t="s">
        <v>7588</v>
      </c>
      <c r="B896" s="20" t="s">
        <v>1301</v>
      </c>
      <c r="C896" s="20" t="s">
        <v>6879</v>
      </c>
      <c r="D896" s="23"/>
      <c r="E896" s="6" t="str">
        <f>LOOKUP(2,1/(MCQ!C:C=B896),MCQ!H:H)</f>
        <v>23.00</v>
      </c>
      <c r="F896" s="6" t="e">
        <f>LOOKUP(2,1/(Debugging!C:C=B896),Debugging!H:H)</f>
        <v>#N/A</v>
      </c>
      <c r="G896" s="6" t="e">
        <f>LOOKUP(2,1/(Coding!C:C=B896),Coding!H:H)</f>
        <v>#N/A</v>
      </c>
      <c r="H896" s="8" t="e">
        <f>E896+F896+G896</f>
        <v>#N/A</v>
      </c>
      <c r="I896" s="4" t="str">
        <f>IF(J896&lt;&gt;"Complete","Not Active",IF(H896&gt;=75,"Good",IF(H896&gt;=50,"Satisfactory",IF(H896&gt;=25,"Need Attention","Intervention"))))</f>
        <v>Not Active</v>
      </c>
      <c r="J896" s="4" t="str">
        <f>IF(COUNTIF(E896:G896,"#N/A")=3,"Not Attempted",IF(OR(ISNA(E896),ISNA(F896),ISNA(G896)),"NotCompleted","Complete"))</f>
        <v>NotCompleted</v>
      </c>
    </row>
    <row r="897" spans="1:10" ht="15" customHeight="1" x14ac:dyDescent="0.3">
      <c r="A897" s="18" t="s">
        <v>7588</v>
      </c>
      <c r="B897" s="20" t="s">
        <v>1303</v>
      </c>
      <c r="C897" s="20" t="s">
        <v>7409</v>
      </c>
      <c r="D897" s="23"/>
      <c r="E897" s="6" t="str">
        <f>LOOKUP(2,1/(MCQ!C:C=B897),MCQ!H:H)</f>
        <v>21.00</v>
      </c>
      <c r="F897" s="6" t="e">
        <f>LOOKUP(2,1/(Debugging!C:C=B897),Debugging!H:H)</f>
        <v>#N/A</v>
      </c>
      <c r="G897" s="6" t="str">
        <f>LOOKUP(2,1/(Coding!C:C=B897),Coding!H:H)</f>
        <v>15.00</v>
      </c>
      <c r="H897" s="8" t="e">
        <f>E897+F897+G897</f>
        <v>#N/A</v>
      </c>
      <c r="I897" s="4" t="str">
        <f>IF(J897&lt;&gt;"Complete","Not Active",IF(H897&gt;=75,"Good",IF(H897&gt;=50,"Satisfactory",IF(H897&gt;=25,"Need Attention","Intervention"))))</f>
        <v>Not Active</v>
      </c>
      <c r="J897" s="4" t="str">
        <f>IF(COUNTIF(E897:G897,"#N/A")=3,"Not Attempted",IF(OR(ISNA(E897),ISNA(F897),ISNA(G897)),"NotCompleted","Complete"))</f>
        <v>NotCompleted</v>
      </c>
    </row>
    <row r="898" spans="1:10" ht="15" customHeight="1" x14ac:dyDescent="0.3">
      <c r="A898" s="18" t="s">
        <v>7588</v>
      </c>
      <c r="B898" s="20" t="s">
        <v>1305</v>
      </c>
      <c r="C898" s="20" t="s">
        <v>7410</v>
      </c>
      <c r="D898" s="23"/>
      <c r="E898" s="6" t="str">
        <f>LOOKUP(2,1/(MCQ!C:C=B898),MCQ!H:H)</f>
        <v>23.00</v>
      </c>
      <c r="F898" s="6" t="e">
        <f>LOOKUP(2,1/(Debugging!C:C=B898),Debugging!H:H)</f>
        <v>#N/A</v>
      </c>
      <c r="G898" s="6" t="e">
        <f>LOOKUP(2,1/(Coding!C:C=B898),Coding!H:H)</f>
        <v>#N/A</v>
      </c>
      <c r="H898" s="8" t="e">
        <f>E898+F898+G898</f>
        <v>#N/A</v>
      </c>
      <c r="I898" s="4" t="str">
        <f>IF(J898&lt;&gt;"Complete","Not Active",IF(H898&gt;=75,"Good",IF(H898&gt;=50,"Satisfactory",IF(H898&gt;=25,"Need Attention","Intervention"))))</f>
        <v>Not Active</v>
      </c>
      <c r="J898" s="4" t="str">
        <f>IF(COUNTIF(E898:G898,"#N/A")=3,"Not Attempted",IF(OR(ISNA(E898),ISNA(F898),ISNA(G898)),"NotCompleted","Complete"))</f>
        <v>NotCompleted</v>
      </c>
    </row>
    <row r="899" spans="1:10" ht="15" customHeight="1" x14ac:dyDescent="0.3">
      <c r="A899" s="18" t="s">
        <v>7588</v>
      </c>
      <c r="B899" s="20" t="s">
        <v>1306</v>
      </c>
      <c r="C899" s="20" t="s">
        <v>7411</v>
      </c>
      <c r="D899" s="23"/>
      <c r="E899" s="6" t="str">
        <f>LOOKUP(2,1/(MCQ!C:C=B899),MCQ!H:H)</f>
        <v>24.00</v>
      </c>
      <c r="F899" s="6" t="str">
        <f>LOOKUP(2,1/(Debugging!C:C=B899),Debugging!H:H)</f>
        <v>46.00</v>
      </c>
      <c r="G899" s="6" t="str">
        <f>LOOKUP(2,1/(Coding!C:C=B899),Coding!H:H)</f>
        <v>25.00</v>
      </c>
      <c r="H899" s="8">
        <f>E899+F899+G899</f>
        <v>95</v>
      </c>
      <c r="I899" s="4" t="str">
        <f>IF(J899&lt;&gt;"Complete","Not Active",IF(H899&gt;=75,"Good",IF(H899&gt;=50,"Satisfactory",IF(H899&gt;=25,"Need Attention","Intervention"))))</f>
        <v>Good</v>
      </c>
      <c r="J899" s="4" t="str">
        <f>IF(COUNTIF(E899:G899,"#N/A")=3,"Not Attempted",IF(OR(ISNA(E899),ISNA(F899),ISNA(G899)),"NotCompleted","Complete"))</f>
        <v>Complete</v>
      </c>
    </row>
    <row r="900" spans="1:10" ht="15" customHeight="1" x14ac:dyDescent="0.3">
      <c r="A900" s="18" t="s">
        <v>7588</v>
      </c>
      <c r="B900" s="20" t="s">
        <v>1308</v>
      </c>
      <c r="C900" s="20" t="s">
        <v>7034</v>
      </c>
      <c r="D900" s="23"/>
      <c r="E900" s="6" t="str">
        <f>LOOKUP(2,1/(MCQ!C:C=B900),MCQ!H:H)</f>
        <v>25.00</v>
      </c>
      <c r="F900" s="6" t="e">
        <f>LOOKUP(2,1/(Debugging!C:C=B900),Debugging!H:H)</f>
        <v>#N/A</v>
      </c>
      <c r="G900" s="6" t="e">
        <f>LOOKUP(2,1/(Coding!C:C=B900),Coding!H:H)</f>
        <v>#N/A</v>
      </c>
      <c r="H900" s="8" t="e">
        <f>E900+F900+G900</f>
        <v>#N/A</v>
      </c>
      <c r="I900" s="4" t="str">
        <f>IF(J900&lt;&gt;"Complete","Not Active",IF(H900&gt;=75,"Good",IF(H900&gt;=50,"Satisfactory",IF(H900&gt;=25,"Need Attention","Intervention"))))</f>
        <v>Not Active</v>
      </c>
      <c r="J900" s="4" t="str">
        <f>IF(COUNTIF(E900:G900,"#N/A")=3,"Not Attempted",IF(OR(ISNA(E900),ISNA(F900),ISNA(G900)),"NotCompleted","Complete"))</f>
        <v>NotCompleted</v>
      </c>
    </row>
    <row r="901" spans="1:10" ht="15" customHeight="1" x14ac:dyDescent="0.3">
      <c r="A901" s="18" t="s">
        <v>7588</v>
      </c>
      <c r="B901" s="20" t="s">
        <v>1309</v>
      </c>
      <c r="C901" s="20" t="s">
        <v>7412</v>
      </c>
      <c r="D901" s="23"/>
      <c r="E901" s="6" t="str">
        <f>LOOKUP(2,1/(MCQ!C:C=B901),MCQ!H:H)</f>
        <v>24.00</v>
      </c>
      <c r="F901" s="6" t="str">
        <f>LOOKUP(2,1/(Debugging!C:C=B901),Debugging!H:H)</f>
        <v>30.00</v>
      </c>
      <c r="G901" s="6" t="str">
        <f>LOOKUP(2,1/(Coding!C:C=B901),Coding!H:H)</f>
        <v>25.00</v>
      </c>
      <c r="H901" s="8">
        <f>E901+F901+G901</f>
        <v>79</v>
      </c>
      <c r="I901" s="4" t="str">
        <f>IF(J901&lt;&gt;"Complete","Not Active",IF(H901&gt;=75,"Good",IF(H901&gt;=50,"Satisfactory",IF(H901&gt;=25,"Need Attention","Intervention"))))</f>
        <v>Good</v>
      </c>
      <c r="J901" s="4" t="str">
        <f>IF(COUNTIF(E901:G901,"#N/A")=3,"Not Attempted",IF(OR(ISNA(E901),ISNA(F901),ISNA(G901)),"NotCompleted","Complete"))</f>
        <v>Complete</v>
      </c>
    </row>
    <row r="902" spans="1:10" ht="15" customHeight="1" x14ac:dyDescent="0.3">
      <c r="A902" s="18" t="s">
        <v>7588</v>
      </c>
      <c r="B902" s="20" t="s">
        <v>1310</v>
      </c>
      <c r="C902" s="20" t="s">
        <v>7413</v>
      </c>
      <c r="D902" s="23"/>
      <c r="E902" s="6" t="str">
        <f>LOOKUP(2,1/(MCQ!C:C=B902),MCQ!H:H)</f>
        <v>24.00</v>
      </c>
      <c r="F902" s="6" t="e">
        <f>LOOKUP(2,1/(Debugging!C:C=B902),Debugging!H:H)</f>
        <v>#N/A</v>
      </c>
      <c r="G902" s="6" t="e">
        <f>LOOKUP(2,1/(Coding!C:C=B902),Coding!H:H)</f>
        <v>#N/A</v>
      </c>
      <c r="H902" s="8" t="e">
        <f>E902+F902+G902</f>
        <v>#N/A</v>
      </c>
      <c r="I902" s="4" t="str">
        <f>IF(J902&lt;&gt;"Complete","Not Active",IF(H902&gt;=75,"Good",IF(H902&gt;=50,"Satisfactory",IF(H902&gt;=25,"Need Attention","Intervention"))))</f>
        <v>Not Active</v>
      </c>
      <c r="J902" s="4" t="str">
        <f>IF(COUNTIF(E902:G902,"#N/A")=3,"Not Attempted",IF(OR(ISNA(E902),ISNA(F902),ISNA(G902)),"NotCompleted","Complete"))</f>
        <v>NotCompleted</v>
      </c>
    </row>
    <row r="903" spans="1:10" ht="15" customHeight="1" x14ac:dyDescent="0.3">
      <c r="A903" s="18" t="s">
        <v>7588</v>
      </c>
      <c r="B903" s="20" t="s">
        <v>1311</v>
      </c>
      <c r="C903" s="20" t="s">
        <v>7414</v>
      </c>
      <c r="D903" s="23"/>
      <c r="E903" s="6" t="e">
        <f>LOOKUP(2,1/(Debugging!B:B=A903),Debugging!G:G)</f>
        <v>#N/A</v>
      </c>
      <c r="F903" s="6" t="e">
        <f>LOOKUP(2,1/(Debugging!C:C=B903),Debugging!H:H)</f>
        <v>#N/A</v>
      </c>
      <c r="G903" s="6" t="e">
        <f>LOOKUP(2,1/(Coding!C:C=B903),Coding!H:H)</f>
        <v>#N/A</v>
      </c>
      <c r="H903" s="8" t="e">
        <f>E903+F903+G903</f>
        <v>#N/A</v>
      </c>
      <c r="I903" s="4" t="str">
        <f>IF(J903&lt;&gt;"Complete","Not Active",IF(H903&gt;=75,"Good",IF(H903&gt;=50,"Satisfactory",IF(H903&gt;=25,"Need Attention","Intervention"))))</f>
        <v>Not Active</v>
      </c>
      <c r="J903" s="4" t="str">
        <f>IF(COUNTIF(E903:G903,"#N/A")=3,"Not Attempted",IF(OR(ISNA(E903),ISNA(F903),ISNA(G903)),"NotCompleted","Complete"))</f>
        <v>Not Attempted</v>
      </c>
    </row>
    <row r="904" spans="1:10" ht="15" customHeight="1" x14ac:dyDescent="0.3">
      <c r="A904" s="18" t="s">
        <v>7588</v>
      </c>
      <c r="B904" s="20" t="s">
        <v>6521</v>
      </c>
      <c r="C904" s="20" t="s">
        <v>7415</v>
      </c>
      <c r="D904" s="23"/>
      <c r="E904" s="6" t="e">
        <f>LOOKUP(2,1/(MCQ!C:C=B904),MCQ!H:H)</f>
        <v>#N/A</v>
      </c>
      <c r="F904" s="6" t="e">
        <f>LOOKUP(2,1/(Debugging!C:C=B904),Debugging!H:H)</f>
        <v>#N/A</v>
      </c>
      <c r="G904" s="6" t="e">
        <f>LOOKUP(2,1/(Coding!C:C=B904),Coding!H:H)</f>
        <v>#N/A</v>
      </c>
      <c r="H904" s="8" t="e">
        <f>E904+F904+G904</f>
        <v>#N/A</v>
      </c>
      <c r="I904" s="4" t="str">
        <f>IF(J904&lt;&gt;"Complete","Not Active",IF(H904&gt;=75,"Good",IF(H904&gt;=50,"Satisfactory",IF(H904&gt;=25,"Need Attention","Intervention"))))</f>
        <v>Not Active</v>
      </c>
      <c r="J904" s="4" t="str">
        <f>IF(COUNTIF(E904:G904,"#N/A")=3,"Not Attempted",IF(OR(ISNA(E904),ISNA(F904),ISNA(G904)),"NotCompleted","Complete"))</f>
        <v>Not Attempted</v>
      </c>
    </row>
    <row r="905" spans="1:10" ht="15" customHeight="1" x14ac:dyDescent="0.3">
      <c r="A905" s="18" t="s">
        <v>7588</v>
      </c>
      <c r="B905" s="20" t="s">
        <v>6522</v>
      </c>
      <c r="C905" s="20" t="s">
        <v>7416</v>
      </c>
      <c r="D905" s="23"/>
      <c r="E905" s="6" t="e">
        <f>LOOKUP(2,1/(MCQ!C:C=B905),MCQ!H:H)</f>
        <v>#N/A</v>
      </c>
      <c r="F905" s="6" t="e">
        <f>LOOKUP(2,1/(Debugging!C:C=B905),Debugging!H:H)</f>
        <v>#N/A</v>
      </c>
      <c r="G905" s="6" t="e">
        <f>LOOKUP(2,1/(Coding!C:C=B905),Coding!H:H)</f>
        <v>#N/A</v>
      </c>
      <c r="H905" s="8" t="e">
        <f>E905+F905+G905</f>
        <v>#N/A</v>
      </c>
      <c r="I905" s="4" t="str">
        <f>IF(J905&lt;&gt;"Complete","Not Active",IF(H905&gt;=75,"Good",IF(H905&gt;=50,"Satisfactory",IF(H905&gt;=25,"Need Attention","Intervention"))))</f>
        <v>Not Active</v>
      </c>
      <c r="J905" s="4" t="str">
        <f>IF(COUNTIF(E905:G905,"#N/A")=3,"Not Attempted",IF(OR(ISNA(E905),ISNA(F905),ISNA(G905)),"NotCompleted","Complete"))</f>
        <v>Not Attempted</v>
      </c>
    </row>
    <row r="906" spans="1:10" ht="15" customHeight="1" x14ac:dyDescent="0.3">
      <c r="A906" s="18" t="s">
        <v>7588</v>
      </c>
      <c r="B906" s="20" t="s">
        <v>1313</v>
      </c>
      <c r="C906" s="20" t="s">
        <v>6735</v>
      </c>
      <c r="D906" s="23"/>
      <c r="E906" s="6" t="str">
        <f>LOOKUP(2,1/(MCQ!C:C=B906),MCQ!H:H)</f>
        <v>5.00</v>
      </c>
      <c r="F906" s="6" t="e">
        <f>LOOKUP(2,1/(Debugging!C:C=B906),Debugging!H:H)</f>
        <v>#N/A</v>
      </c>
      <c r="G906" s="6" t="e">
        <f>LOOKUP(2,1/(Coding!C:C=B906),Coding!H:H)</f>
        <v>#N/A</v>
      </c>
      <c r="H906" s="8" t="e">
        <f>E906+F906+G906</f>
        <v>#N/A</v>
      </c>
      <c r="I906" s="4" t="str">
        <f>IF(J906&lt;&gt;"Complete","Not Active",IF(H906&gt;=75,"Good",IF(H906&gt;=50,"Satisfactory",IF(H906&gt;=25,"Need Attention","Intervention"))))</f>
        <v>Not Active</v>
      </c>
      <c r="J906" s="4" t="str">
        <f>IF(COUNTIF(E906:G906,"#N/A")=3,"Not Attempted",IF(OR(ISNA(E906),ISNA(F906),ISNA(G906)),"NotCompleted","Complete"))</f>
        <v>NotCompleted</v>
      </c>
    </row>
    <row r="907" spans="1:10" ht="15" customHeight="1" x14ac:dyDescent="0.3">
      <c r="A907" s="18" t="s">
        <v>7588</v>
      </c>
      <c r="B907" s="20" t="s">
        <v>1315</v>
      </c>
      <c r="C907" s="20" t="s">
        <v>7417</v>
      </c>
      <c r="D907" s="23"/>
      <c r="E907" s="6" t="str">
        <f>LOOKUP(2,1/(MCQ!C:C=B907),MCQ!H:H)</f>
        <v>24.00</v>
      </c>
      <c r="F907" s="6" t="e">
        <f>LOOKUP(2,1/(Debugging!C:C=B907),Debugging!H:H)</f>
        <v>#N/A</v>
      </c>
      <c r="G907" s="6" t="str">
        <f>LOOKUP(2,1/(Coding!C:C=B907),Coding!H:H)</f>
        <v>23.50</v>
      </c>
      <c r="H907" s="8" t="e">
        <f>E907+F907+G907</f>
        <v>#N/A</v>
      </c>
      <c r="I907" s="4" t="str">
        <f>IF(J907&lt;&gt;"Complete","Not Active",IF(H907&gt;=75,"Good",IF(H907&gt;=50,"Satisfactory",IF(H907&gt;=25,"Need Attention","Intervention"))))</f>
        <v>Not Active</v>
      </c>
      <c r="J907" s="4" t="str">
        <f>IF(COUNTIF(E907:G907,"#N/A")=3,"Not Attempted",IF(OR(ISNA(E907),ISNA(F907),ISNA(G907)),"NotCompleted","Complete"))</f>
        <v>NotCompleted</v>
      </c>
    </row>
    <row r="908" spans="1:10" ht="15" customHeight="1" x14ac:dyDescent="0.3">
      <c r="A908" s="18" t="s">
        <v>7588</v>
      </c>
      <c r="B908" s="20" t="s">
        <v>1317</v>
      </c>
      <c r="C908" s="20" t="s">
        <v>7418</v>
      </c>
      <c r="D908" s="23"/>
      <c r="E908" s="6" t="str">
        <f>LOOKUP(2,1/(MCQ!C:C=B908),MCQ!H:H)</f>
        <v>22.00</v>
      </c>
      <c r="F908" s="6" t="e">
        <f>LOOKUP(2,1/(Debugging!C:C=B908),Debugging!H:H)</f>
        <v>#N/A</v>
      </c>
      <c r="G908" s="6" t="str">
        <f>LOOKUP(2,1/(Coding!C:C=B908),Coding!H:H)</f>
        <v>25.00</v>
      </c>
      <c r="H908" s="8" t="e">
        <f>E908+F908+G908</f>
        <v>#N/A</v>
      </c>
      <c r="I908" s="4" t="str">
        <f>IF(J908&lt;&gt;"Complete","Not Active",IF(H908&gt;=75,"Good",IF(H908&gt;=50,"Satisfactory",IF(H908&gt;=25,"Need Attention","Intervention"))))</f>
        <v>Not Active</v>
      </c>
      <c r="J908" s="4" t="str">
        <f>IF(COUNTIF(E908:G908,"#N/A")=3,"Not Attempted",IF(OR(ISNA(E908),ISNA(F908),ISNA(G908)),"NotCompleted","Complete"))</f>
        <v>NotCompleted</v>
      </c>
    </row>
    <row r="909" spans="1:10" ht="15" customHeight="1" x14ac:dyDescent="0.3">
      <c r="A909" s="18" t="s">
        <v>7588</v>
      </c>
      <c r="B909" s="20" t="s">
        <v>1319</v>
      </c>
      <c r="C909" s="20" t="s">
        <v>7419</v>
      </c>
      <c r="D909" s="23"/>
      <c r="E909" s="6" t="str">
        <f>LOOKUP(2,1/(MCQ!C:C=B909),MCQ!H:H)</f>
        <v>24.00</v>
      </c>
      <c r="F909" s="6" t="str">
        <f>LOOKUP(2,1/(Debugging!C:C=B909),Debugging!H:H)</f>
        <v>17.00</v>
      </c>
      <c r="G909" s="6" t="str">
        <f>LOOKUP(2,1/(Coding!C:C=B909),Coding!H:H)</f>
        <v>23.50</v>
      </c>
      <c r="H909" s="8">
        <f>E909+F909+G909</f>
        <v>64.5</v>
      </c>
      <c r="I909" s="4" t="str">
        <f>IF(J909&lt;&gt;"Complete","Not Active",IF(H909&gt;=75,"Good",IF(H909&gt;=50,"Satisfactory",IF(H909&gt;=25,"Need Attention","Intervention"))))</f>
        <v>Satisfactory</v>
      </c>
      <c r="J909" s="4" t="str">
        <f>IF(COUNTIF(E909:G909,"#N/A")=3,"Not Attempted",IF(OR(ISNA(E909),ISNA(F909),ISNA(G909)),"NotCompleted","Complete"))</f>
        <v>Complete</v>
      </c>
    </row>
    <row r="910" spans="1:10" ht="15" customHeight="1" x14ac:dyDescent="0.3">
      <c r="A910" s="18" t="s">
        <v>7588</v>
      </c>
      <c r="B910" s="20" t="s">
        <v>1321</v>
      </c>
      <c r="C910" s="20" t="s">
        <v>7420</v>
      </c>
      <c r="D910" s="23"/>
      <c r="E910" s="6" t="str">
        <f>LOOKUP(2,1/(MCQ!C:C=B910),MCQ!H:H)</f>
        <v>22.00</v>
      </c>
      <c r="F910" s="6" t="e">
        <v>#N/A</v>
      </c>
      <c r="G910" s="6" t="str">
        <f>LOOKUP(2,1/(Coding!C:C=B910),Coding!H:H)</f>
        <v>10.00</v>
      </c>
      <c r="H910" s="8" t="e">
        <f>E910+F910+G910</f>
        <v>#N/A</v>
      </c>
      <c r="I910" s="4" t="str">
        <f>IF(J910&lt;&gt;"Complete","Not Active",IF(H910&gt;=75,"Good",IF(H910&gt;=50,"Satisfactory",IF(H910&gt;=25,"Need Attention","Intervention"))))</f>
        <v>Not Active</v>
      </c>
      <c r="J910" s="4" t="str">
        <f>IF(COUNTIF(E910:G910,"#N/A")=3,"Not Attempted",IF(OR(ISNA(E910),ISNA(F910),ISNA(G910)),"NotCompleted","Complete"))</f>
        <v>NotCompleted</v>
      </c>
    </row>
    <row r="911" spans="1:10" ht="15" customHeight="1" x14ac:dyDescent="0.3">
      <c r="A911" s="18" t="s">
        <v>7588</v>
      </c>
      <c r="B911" s="20" t="s">
        <v>1323</v>
      </c>
      <c r="C911" s="20" t="s">
        <v>7421</v>
      </c>
      <c r="D911" s="23"/>
      <c r="E911" s="6" t="str">
        <f>LOOKUP(2,1/(MCQ!C:C=B911),MCQ!H:H)</f>
        <v>21.00</v>
      </c>
      <c r="F911" s="6" t="str">
        <f>LOOKUP(2,1/(Debugging!C:C=B911),Debugging!H:H)</f>
        <v>42.00</v>
      </c>
      <c r="G911" s="6" t="str">
        <f>LOOKUP(2,1/(Coding!C:C=B911),Coding!H:H)</f>
        <v>22.00</v>
      </c>
      <c r="H911" s="8">
        <f>E911+F911+G911</f>
        <v>85</v>
      </c>
      <c r="I911" s="4" t="str">
        <f>IF(J911&lt;&gt;"Complete","Not Active",IF(H911&gt;=75,"Good",IF(H911&gt;=50,"Satisfactory",IF(H911&gt;=25,"Need Attention","Intervention"))))</f>
        <v>Good</v>
      </c>
      <c r="J911" s="4" t="str">
        <f>IF(COUNTIF(E911:G911,"#N/A")=3,"Not Attempted",IF(OR(ISNA(E911),ISNA(F911),ISNA(G911)),"NotCompleted","Complete"))</f>
        <v>Complete</v>
      </c>
    </row>
    <row r="912" spans="1:10" ht="15" customHeight="1" x14ac:dyDescent="0.3">
      <c r="A912" s="18" t="s">
        <v>7588</v>
      </c>
      <c r="B912" s="20" t="s">
        <v>1325</v>
      </c>
      <c r="C912" s="20" t="s">
        <v>7422</v>
      </c>
      <c r="D912" s="23"/>
      <c r="E912" s="6" t="str">
        <f>LOOKUP(2,1/(MCQ!C:C=B912),MCQ!H:H)</f>
        <v>21.00</v>
      </c>
      <c r="F912" s="6" t="e">
        <f>LOOKUP(2,1/(Debugging!C:C=B912),Debugging!H:H)</f>
        <v>#N/A</v>
      </c>
      <c r="G912" s="6" t="e">
        <f>LOOKUP(2,1/(Coding!C:C=B912),Coding!H:H)</f>
        <v>#N/A</v>
      </c>
      <c r="H912" s="8" t="e">
        <f>E912+F912+G912</f>
        <v>#N/A</v>
      </c>
      <c r="I912" s="4" t="str">
        <f>IF(J912&lt;&gt;"Complete","Not Active",IF(H912&gt;=75,"Good",IF(H912&gt;=50,"Satisfactory",IF(H912&gt;=25,"Need Attention","Intervention"))))</f>
        <v>Not Active</v>
      </c>
      <c r="J912" s="4" t="str">
        <f>IF(COUNTIF(E912:G912,"#N/A")=3,"Not Attempted",IF(OR(ISNA(E912),ISNA(F912),ISNA(G912)),"NotCompleted","Complete"))</f>
        <v>NotCompleted</v>
      </c>
    </row>
    <row r="913" spans="1:10" ht="15" customHeight="1" x14ac:dyDescent="0.3">
      <c r="A913" s="18" t="s">
        <v>7588</v>
      </c>
      <c r="B913" s="20" t="s">
        <v>6523</v>
      </c>
      <c r="C913" s="20" t="s">
        <v>7423</v>
      </c>
      <c r="D913" s="23"/>
      <c r="E913" s="6" t="e">
        <f>LOOKUP(2,1/(MCQ!C:C=B913),MCQ!H:H)</f>
        <v>#N/A</v>
      </c>
      <c r="F913" s="6" t="e">
        <f>LOOKUP(2,1/(Debugging!C:C=B913),Debugging!H:H)</f>
        <v>#N/A</v>
      </c>
      <c r="G913" s="6" t="e">
        <f>LOOKUP(2,1/(Coding!C:C=B913),Coding!H:H)</f>
        <v>#N/A</v>
      </c>
      <c r="H913" s="8" t="e">
        <f>E913+F913+G913</f>
        <v>#N/A</v>
      </c>
      <c r="I913" s="4" t="str">
        <f>IF(J913&lt;&gt;"Complete","Not Active",IF(H913&gt;=75,"Good",IF(H913&gt;=50,"Satisfactory",IF(H913&gt;=25,"Need Attention","Intervention"))))</f>
        <v>Not Active</v>
      </c>
      <c r="J913" s="4" t="str">
        <f>IF(COUNTIF(E913:G913,"#N/A")=3,"Not Attempted",IF(OR(ISNA(E913),ISNA(F913),ISNA(G913)),"NotCompleted","Complete"))</f>
        <v>Not Attempted</v>
      </c>
    </row>
    <row r="914" spans="1:10" ht="15" customHeight="1" x14ac:dyDescent="0.3">
      <c r="A914" s="18" t="s">
        <v>7588</v>
      </c>
      <c r="B914" s="20" t="s">
        <v>1327</v>
      </c>
      <c r="C914" s="20" t="s">
        <v>7424</v>
      </c>
      <c r="D914" s="23"/>
      <c r="E914" s="6" t="str">
        <f>LOOKUP(2,1/(MCQ!C:C=B914),MCQ!H:H)</f>
        <v>20.00</v>
      </c>
      <c r="F914" s="6" t="e">
        <f>LOOKUP(2,1/(Debugging!C:C=B914),Debugging!H:H)</f>
        <v>#N/A</v>
      </c>
      <c r="G914" s="6" t="e">
        <f>LOOKUP(2,1/(Coding!C:C=B914),Coding!H:H)</f>
        <v>#N/A</v>
      </c>
      <c r="H914" s="8" t="e">
        <f>E914+F914+G914</f>
        <v>#N/A</v>
      </c>
      <c r="I914" s="4" t="str">
        <f>IF(J914&lt;&gt;"Complete","Not Active",IF(H914&gt;=75,"Good",IF(H914&gt;=50,"Satisfactory",IF(H914&gt;=25,"Need Attention","Intervention"))))</f>
        <v>Not Active</v>
      </c>
      <c r="J914" s="4" t="str">
        <f>IF(COUNTIF(E914:G914,"#N/A")=3,"Not Attempted",IF(OR(ISNA(E914),ISNA(F914),ISNA(G914)),"NotCompleted","Complete"))</f>
        <v>NotCompleted</v>
      </c>
    </row>
    <row r="915" spans="1:10" ht="15" customHeight="1" x14ac:dyDescent="0.3">
      <c r="A915" s="18" t="s">
        <v>7588</v>
      </c>
      <c r="B915" s="20" t="s">
        <v>1329</v>
      </c>
      <c r="C915" s="20" t="s">
        <v>7425</v>
      </c>
      <c r="D915" s="23"/>
      <c r="E915" s="6" t="str">
        <f>LOOKUP(2,1/(MCQ!C:C=B915),MCQ!H:H)</f>
        <v>23.00</v>
      </c>
      <c r="F915" s="6" t="e">
        <f>LOOKUP(2,1/(Debugging!C:C=B915),Debugging!H:H)</f>
        <v>#N/A</v>
      </c>
      <c r="G915" s="6" t="e">
        <f>LOOKUP(2,1/(Coding!C:C=B915),Coding!H:H)</f>
        <v>#N/A</v>
      </c>
      <c r="H915" s="8" t="e">
        <f>E915+F915+G915</f>
        <v>#N/A</v>
      </c>
      <c r="I915" s="4" t="str">
        <f>IF(J915&lt;&gt;"Complete","Not Active",IF(H915&gt;=75,"Good",IF(H915&gt;=50,"Satisfactory",IF(H915&gt;=25,"Need Attention","Intervention"))))</f>
        <v>Not Active</v>
      </c>
      <c r="J915" s="4" t="str">
        <f>IF(COUNTIF(E915:G915,"#N/A")=3,"Not Attempted",IF(OR(ISNA(E915),ISNA(F915),ISNA(G915)),"NotCompleted","Complete"))</f>
        <v>NotCompleted</v>
      </c>
    </row>
    <row r="916" spans="1:10" ht="15" customHeight="1" x14ac:dyDescent="0.3">
      <c r="A916" s="18" t="s">
        <v>7588</v>
      </c>
      <c r="B916" s="20" t="s">
        <v>1331</v>
      </c>
      <c r="C916" s="20" t="s">
        <v>7426</v>
      </c>
      <c r="D916" s="23"/>
      <c r="E916" s="6" t="str">
        <f>LOOKUP(2,1/(MCQ!C:C=B916),MCQ!H:H)</f>
        <v>22.00</v>
      </c>
      <c r="F916" s="6" t="e">
        <f>LOOKUP(2,1/(Debugging!C:C=B916),Debugging!H:H)</f>
        <v>#N/A</v>
      </c>
      <c r="G916" s="6" t="e">
        <f>LOOKUP(2,1/(Coding!C:C=B916),Coding!H:H)</f>
        <v>#N/A</v>
      </c>
      <c r="H916" s="8" t="e">
        <f>E916+F916+G916</f>
        <v>#N/A</v>
      </c>
      <c r="I916" s="4" t="str">
        <f>IF(J916&lt;&gt;"Complete","Not Active",IF(H916&gt;=75,"Good",IF(H916&gt;=50,"Satisfactory",IF(H916&gt;=25,"Need Attention","Intervention"))))</f>
        <v>Not Active</v>
      </c>
      <c r="J916" s="4" t="str">
        <f>IF(COUNTIF(E916:G916,"#N/A")=3,"Not Attempted",IF(OR(ISNA(E916),ISNA(F916),ISNA(G916)),"NotCompleted","Complete"))</f>
        <v>NotCompleted</v>
      </c>
    </row>
    <row r="917" spans="1:10" ht="15" customHeight="1" x14ac:dyDescent="0.3">
      <c r="A917" s="18" t="s">
        <v>7588</v>
      </c>
      <c r="B917" s="20" t="s">
        <v>1333</v>
      </c>
      <c r="C917" s="20" t="s">
        <v>7427</v>
      </c>
      <c r="D917" s="23"/>
      <c r="E917" s="6" t="str">
        <f>LOOKUP(2,1/(MCQ!C:C=B917),MCQ!H:H)</f>
        <v>23.00</v>
      </c>
      <c r="F917" s="6" t="str">
        <f>LOOKUP(2,1/(Debugging!C:C=B917),Debugging!H:H)</f>
        <v>44.00</v>
      </c>
      <c r="G917" s="6" t="str">
        <f>LOOKUP(2,1/(Coding!C:C=B917),Coding!H:H)</f>
        <v>25.00</v>
      </c>
      <c r="H917" s="8">
        <f>E917+F917+G917</f>
        <v>92</v>
      </c>
      <c r="I917" s="4" t="str">
        <f>IF(J917&lt;&gt;"Complete","Not Active",IF(H917&gt;=75,"Good",IF(H917&gt;=50,"Satisfactory",IF(H917&gt;=25,"Need Attention","Intervention"))))</f>
        <v>Good</v>
      </c>
      <c r="J917" s="4" t="str">
        <f>IF(COUNTIF(E917:G917,"#N/A")=3,"Not Attempted",IF(OR(ISNA(E917),ISNA(F917),ISNA(G917)),"NotCompleted","Complete"))</f>
        <v>Complete</v>
      </c>
    </row>
    <row r="918" spans="1:10" ht="15" customHeight="1" x14ac:dyDescent="0.3">
      <c r="A918" s="18" t="s">
        <v>7588</v>
      </c>
      <c r="B918" s="20" t="s">
        <v>1335</v>
      </c>
      <c r="C918" s="20" t="s">
        <v>7428</v>
      </c>
      <c r="D918" s="23"/>
      <c r="E918" s="6" t="str">
        <f>LOOKUP(2,1/(MCQ!C:C=B918),MCQ!H:H)</f>
        <v>23.00</v>
      </c>
      <c r="F918" s="6" t="e">
        <f>LOOKUP(2,1/(Debugging!C:C=B918),Debugging!H:H)</f>
        <v>#N/A</v>
      </c>
      <c r="G918" s="6" t="e">
        <f>LOOKUP(2,1/(Coding!C:C=B918),Coding!H:H)</f>
        <v>#N/A</v>
      </c>
      <c r="H918" s="8" t="e">
        <f>E918+F918+G918</f>
        <v>#N/A</v>
      </c>
      <c r="I918" s="4" t="str">
        <f>IF(J918&lt;&gt;"Complete","Not Active",IF(H918&gt;=75,"Good",IF(H918&gt;=50,"Satisfactory",IF(H918&gt;=25,"Need Attention","Intervention"))))</f>
        <v>Not Active</v>
      </c>
      <c r="J918" s="4" t="str">
        <f>IF(COUNTIF(E918:G918,"#N/A")=3,"Not Attempted",IF(OR(ISNA(E918),ISNA(F918),ISNA(G918)),"NotCompleted","Complete"))</f>
        <v>NotCompleted</v>
      </c>
    </row>
    <row r="919" spans="1:10" ht="15" customHeight="1" x14ac:dyDescent="0.3">
      <c r="A919" s="18" t="s">
        <v>7588</v>
      </c>
      <c r="B919" s="20" t="s">
        <v>6524</v>
      </c>
      <c r="C919" s="20" t="s">
        <v>7429</v>
      </c>
      <c r="D919" s="23"/>
      <c r="E919" s="6" t="e">
        <f>LOOKUP(2,1/(MCQ!C:C=B919),MCQ!H:H)</f>
        <v>#N/A</v>
      </c>
      <c r="F919" s="6" t="e">
        <f>LOOKUP(2,1/(Debugging!C:C=B919),Debugging!H:H)</f>
        <v>#N/A</v>
      </c>
      <c r="G919" s="6" t="e">
        <f>LOOKUP(2,1/(Coding!C:C=B919),Coding!H:H)</f>
        <v>#N/A</v>
      </c>
      <c r="H919" s="8" t="e">
        <f>E919+F919+G919</f>
        <v>#N/A</v>
      </c>
      <c r="I919" s="4" t="str">
        <f>IF(J919&lt;&gt;"Complete","Not Active",IF(H919&gt;=75,"Good",IF(H919&gt;=50,"Satisfactory",IF(H919&gt;=25,"Need Attention","Intervention"))))</f>
        <v>Not Active</v>
      </c>
      <c r="J919" s="4" t="str">
        <f>IF(COUNTIF(E919:G919,"#N/A")=3,"Not Attempted",IF(OR(ISNA(E919),ISNA(F919),ISNA(G919)),"NotCompleted","Complete"))</f>
        <v>Not Attempted</v>
      </c>
    </row>
    <row r="920" spans="1:10" ht="15" customHeight="1" x14ac:dyDescent="0.3">
      <c r="A920" s="18" t="s">
        <v>7588</v>
      </c>
      <c r="B920" s="20" t="s">
        <v>6525</v>
      </c>
      <c r="C920" s="20" t="s">
        <v>7430</v>
      </c>
      <c r="D920" s="23"/>
      <c r="E920" s="6" t="e">
        <f>LOOKUP(2,1/(MCQ!C:C=B920),MCQ!H:H)</f>
        <v>#N/A</v>
      </c>
      <c r="F920" s="6" t="e">
        <f>LOOKUP(2,1/(Debugging!C:C=B920),Debugging!H:H)</f>
        <v>#N/A</v>
      </c>
      <c r="G920" s="6" t="e">
        <f>LOOKUP(2,1/(Coding!C:C=B920),Coding!H:H)</f>
        <v>#N/A</v>
      </c>
      <c r="H920" s="8" t="e">
        <f>E920+F920+G920</f>
        <v>#N/A</v>
      </c>
      <c r="I920" s="4" t="str">
        <f>IF(J920&lt;&gt;"Complete","Not Active",IF(H920&gt;=75,"Good",IF(H920&gt;=50,"Satisfactory",IF(H920&gt;=25,"Need Attention","Intervention"))))</f>
        <v>Not Active</v>
      </c>
      <c r="J920" s="4" t="str">
        <f>IF(COUNTIF(E920:G920,"#N/A")=3,"Not Attempted",IF(OR(ISNA(E920),ISNA(F920),ISNA(G920)),"NotCompleted","Complete"))</f>
        <v>Not Attempted</v>
      </c>
    </row>
    <row r="921" spans="1:10" ht="15" customHeight="1" x14ac:dyDescent="0.3">
      <c r="A921" s="18" t="s">
        <v>7588</v>
      </c>
      <c r="B921" s="20" t="s">
        <v>1337</v>
      </c>
      <c r="C921" s="20" t="s">
        <v>7431</v>
      </c>
      <c r="D921" s="23"/>
      <c r="E921" s="6" t="str">
        <f>LOOKUP(2,1/(MCQ!C:C=B921),MCQ!H:H)</f>
        <v>24.00</v>
      </c>
      <c r="F921" s="6" t="e">
        <f>LOOKUP(2,1/(Debugging!C:C=B921),Debugging!H:H)</f>
        <v>#N/A</v>
      </c>
      <c r="G921" s="6" t="e">
        <v>#N/A</v>
      </c>
      <c r="H921" s="8" t="e">
        <f>E921+F921+G921</f>
        <v>#N/A</v>
      </c>
      <c r="I921" s="4" t="str">
        <f>IF(J921&lt;&gt;"Complete","Not Active",IF(H921&gt;=75,"Good",IF(H921&gt;=50,"Satisfactory",IF(H921&gt;=25,"Need Attention","Intervention"))))</f>
        <v>Not Active</v>
      </c>
      <c r="J921" s="4" t="str">
        <f>IF(COUNTIF(E921:G921,"#N/A")=3,"Not Attempted",IF(OR(ISNA(E921),ISNA(F921),ISNA(G921)),"NotCompleted","Complete"))</f>
        <v>NotCompleted</v>
      </c>
    </row>
    <row r="922" spans="1:10" ht="15" customHeight="1" x14ac:dyDescent="0.3">
      <c r="A922" s="18" t="s">
        <v>7588</v>
      </c>
      <c r="B922" s="20" t="s">
        <v>6526</v>
      </c>
      <c r="C922" s="20" t="s">
        <v>7432</v>
      </c>
      <c r="D922" s="23"/>
      <c r="E922" s="6" t="e">
        <f>LOOKUP(2,1/(MCQ!C:C=B922),MCQ!H:H)</f>
        <v>#N/A</v>
      </c>
      <c r="F922" s="6" t="e">
        <f>LOOKUP(2,1/(Debugging!C:C=B922),Debugging!H:H)</f>
        <v>#N/A</v>
      </c>
      <c r="G922" s="6" t="e">
        <f>LOOKUP(2,1/(Coding!C:C=B922),Coding!H:H)</f>
        <v>#N/A</v>
      </c>
      <c r="H922" s="8" t="e">
        <f>E922+F922+G922</f>
        <v>#N/A</v>
      </c>
      <c r="I922" s="4" t="str">
        <f>IF(J922&lt;&gt;"Complete","Not Active",IF(H922&gt;=75,"Good",IF(H922&gt;=50,"Satisfactory",IF(H922&gt;=25,"Need Attention","Intervention"))))</f>
        <v>Not Active</v>
      </c>
      <c r="J922" s="4" t="str">
        <f>IF(COUNTIF(E922:G922,"#N/A")=3,"Not Attempted",IF(OR(ISNA(E922),ISNA(F922),ISNA(G922)),"NotCompleted","Complete"))</f>
        <v>Not Attempted</v>
      </c>
    </row>
    <row r="923" spans="1:10" ht="15" customHeight="1" x14ac:dyDescent="0.3">
      <c r="A923" s="18" t="s">
        <v>7588</v>
      </c>
      <c r="B923" s="20" t="s">
        <v>1339</v>
      </c>
      <c r="C923" s="20" t="s">
        <v>7433</v>
      </c>
      <c r="D923" s="23"/>
      <c r="E923" s="6" t="str">
        <f>LOOKUP(2,1/(MCQ!C:C=B923),MCQ!H:H)</f>
        <v>24.00</v>
      </c>
      <c r="F923" s="6" t="str">
        <f>LOOKUP(2,1/(Debugging!C:C=B923),Debugging!H:H)</f>
        <v>43.00</v>
      </c>
      <c r="G923" s="6" t="str">
        <f>LOOKUP(2,1/(Coding!C:C=B923),Coding!H:H)</f>
        <v>25.00</v>
      </c>
      <c r="H923" s="8">
        <f>E923+F923+G923</f>
        <v>92</v>
      </c>
      <c r="I923" s="4" t="str">
        <f>IF(J923&lt;&gt;"Complete","Not Active",IF(H923&gt;=75,"Good",IF(H923&gt;=50,"Satisfactory",IF(H923&gt;=25,"Need Attention","Intervention"))))</f>
        <v>Good</v>
      </c>
      <c r="J923" s="4" t="str">
        <f>IF(COUNTIF(E923:G923,"#N/A")=3,"Not Attempted",IF(OR(ISNA(E923),ISNA(F923),ISNA(G923)),"NotCompleted","Complete"))</f>
        <v>Complete</v>
      </c>
    </row>
    <row r="924" spans="1:10" ht="15" customHeight="1" x14ac:dyDescent="0.3">
      <c r="A924" s="18" t="s">
        <v>7588</v>
      </c>
      <c r="B924" s="20" t="s">
        <v>1341</v>
      </c>
      <c r="C924" s="20" t="s">
        <v>7434</v>
      </c>
      <c r="D924" s="23"/>
      <c r="E924" s="6" t="str">
        <f>LOOKUP(2,1/(MCQ!C:C=B924),MCQ!H:H)</f>
        <v>23.00</v>
      </c>
      <c r="F924" s="6" t="str">
        <f>LOOKUP(2,1/(Debugging!C:C=B924),Debugging!H:H)</f>
        <v>38.00</v>
      </c>
      <c r="G924" s="6" t="str">
        <f>LOOKUP(2,1/(Coding!C:C=B924),Coding!H:H)</f>
        <v>25.00</v>
      </c>
      <c r="H924" s="8">
        <f>E924+F924+G924</f>
        <v>86</v>
      </c>
      <c r="I924" s="4" t="str">
        <f>IF(J924&lt;&gt;"Complete","Not Active",IF(H924&gt;=75,"Good",IF(H924&gt;=50,"Satisfactory",IF(H924&gt;=25,"Need Attention","Intervention"))))</f>
        <v>Good</v>
      </c>
      <c r="J924" s="4" t="str">
        <f>IF(COUNTIF(E924:G924,"#N/A")=3,"Not Attempted",IF(OR(ISNA(E924),ISNA(F924),ISNA(G924)),"NotCompleted","Complete"))</f>
        <v>Complete</v>
      </c>
    </row>
    <row r="925" spans="1:10" ht="15" customHeight="1" x14ac:dyDescent="0.3">
      <c r="A925" s="18" t="s">
        <v>7588</v>
      </c>
      <c r="B925" s="20" t="s">
        <v>6527</v>
      </c>
      <c r="C925" s="20" t="s">
        <v>6693</v>
      </c>
      <c r="D925" s="23"/>
      <c r="E925" s="6" t="e">
        <f>LOOKUP(2,1/(MCQ!C:C=B925),MCQ!H:H)</f>
        <v>#N/A</v>
      </c>
      <c r="F925" s="6" t="e">
        <f>LOOKUP(2,1/(Debugging!C:C=B925),Debugging!H:H)</f>
        <v>#N/A</v>
      </c>
      <c r="G925" s="6" t="e">
        <f>LOOKUP(2,1/(Coding!C:C=B925),Coding!H:H)</f>
        <v>#N/A</v>
      </c>
      <c r="H925" s="8" t="e">
        <f>E925+F925+G925</f>
        <v>#N/A</v>
      </c>
      <c r="I925" s="4" t="str">
        <f>IF(J925&lt;&gt;"Complete","Not Active",IF(H925&gt;=75,"Good",IF(H925&gt;=50,"Satisfactory",IF(H925&gt;=25,"Need Attention","Intervention"))))</f>
        <v>Not Active</v>
      </c>
      <c r="J925" s="4" t="str">
        <f>IF(COUNTIF(E925:G925,"#N/A")=3,"Not Attempted",IF(OR(ISNA(E925),ISNA(F925),ISNA(G925)),"NotCompleted","Complete"))</f>
        <v>Not Attempted</v>
      </c>
    </row>
    <row r="926" spans="1:10" ht="15" customHeight="1" x14ac:dyDescent="0.3">
      <c r="A926" s="18" t="s">
        <v>7588</v>
      </c>
      <c r="B926" s="20" t="s">
        <v>1343</v>
      </c>
      <c r="C926" s="20" t="s">
        <v>7435</v>
      </c>
      <c r="D926" s="23"/>
      <c r="E926" s="6" t="str">
        <f>LOOKUP(2,1/(MCQ!C:C=B926),MCQ!H:H)</f>
        <v>18.00</v>
      </c>
      <c r="F926" s="6" t="e">
        <f>LOOKUP(2,1/(Debugging!C:C=B926),Debugging!H:H)</f>
        <v>#N/A</v>
      </c>
      <c r="G926" s="6" t="str">
        <f>LOOKUP(2,1/(Coding!C:C=B926),Coding!H:H)</f>
        <v>25.00</v>
      </c>
      <c r="H926" s="8" t="e">
        <f>E926+F926+G926</f>
        <v>#N/A</v>
      </c>
      <c r="I926" s="4" t="str">
        <f>IF(J926&lt;&gt;"Complete","Not Active",IF(H926&gt;=75,"Good",IF(H926&gt;=50,"Satisfactory",IF(H926&gt;=25,"Need Attention","Intervention"))))</f>
        <v>Not Active</v>
      </c>
      <c r="J926" s="4" t="str">
        <f>IF(COUNTIF(E926:G926,"#N/A")=3,"Not Attempted",IF(OR(ISNA(E926),ISNA(F926),ISNA(G926)),"NotCompleted","Complete"))</f>
        <v>NotCompleted</v>
      </c>
    </row>
    <row r="927" spans="1:10" ht="15" customHeight="1" x14ac:dyDescent="0.3">
      <c r="A927" s="18" t="s">
        <v>7588</v>
      </c>
      <c r="B927" s="20" t="s">
        <v>1345</v>
      </c>
      <c r="C927" s="20" t="s">
        <v>7436</v>
      </c>
      <c r="D927" s="23"/>
      <c r="E927" s="6" t="str">
        <f>LOOKUP(2,1/(MCQ!C:C=B927),MCQ!H:H)</f>
        <v>25.00</v>
      </c>
      <c r="F927" s="6" t="e">
        <f>LOOKUP(2,1/(Debugging!C:C=B927),Debugging!H:H)</f>
        <v>#N/A</v>
      </c>
      <c r="G927" s="6" t="str">
        <f>LOOKUP(2,1/(Coding!C:C=B927),Coding!H:H)</f>
        <v>22.50</v>
      </c>
      <c r="H927" s="8" t="e">
        <f>E927+F927+G927</f>
        <v>#N/A</v>
      </c>
      <c r="I927" s="4" t="str">
        <f>IF(J927&lt;&gt;"Complete","Not Active",IF(H927&gt;=75,"Good",IF(H927&gt;=50,"Satisfactory",IF(H927&gt;=25,"Need Attention","Intervention"))))</f>
        <v>Not Active</v>
      </c>
      <c r="J927" s="4" t="str">
        <f>IF(COUNTIF(E927:G927,"#N/A")=3,"Not Attempted",IF(OR(ISNA(E927),ISNA(F927),ISNA(G927)),"NotCompleted","Complete"))</f>
        <v>NotCompleted</v>
      </c>
    </row>
    <row r="928" spans="1:10" ht="15" customHeight="1" x14ac:dyDescent="0.3">
      <c r="A928" s="18" t="s">
        <v>7588</v>
      </c>
      <c r="B928" s="20" t="s">
        <v>1347</v>
      </c>
      <c r="C928" s="20" t="s">
        <v>7437</v>
      </c>
      <c r="D928" s="23"/>
      <c r="E928" s="6" t="str">
        <f>LOOKUP(2,1/(MCQ!C:C=B928),MCQ!H:H)</f>
        <v>25.00</v>
      </c>
      <c r="F928" s="6" t="e">
        <f>LOOKUP(2,1/(Debugging!C:C=B928),Debugging!H:H)</f>
        <v>#N/A</v>
      </c>
      <c r="G928" s="6" t="str">
        <f>LOOKUP(2,1/(Coding!C:C=B928),Coding!H:H)</f>
        <v>21.00</v>
      </c>
      <c r="H928" s="8" t="e">
        <f>E928+F928+G928</f>
        <v>#N/A</v>
      </c>
      <c r="I928" s="4" t="str">
        <f>IF(J928&lt;&gt;"Complete","Not Active",IF(H928&gt;=75,"Good",IF(H928&gt;=50,"Satisfactory",IF(H928&gt;=25,"Need Attention","Intervention"))))</f>
        <v>Not Active</v>
      </c>
      <c r="J928" s="4" t="str">
        <f>IF(COUNTIF(E928:G928,"#N/A")=3,"Not Attempted",IF(OR(ISNA(E928),ISNA(F928),ISNA(G928)),"NotCompleted","Complete"))</f>
        <v>NotCompleted</v>
      </c>
    </row>
    <row r="929" spans="1:10" ht="15" customHeight="1" x14ac:dyDescent="0.3">
      <c r="A929" s="18" t="s">
        <v>7588</v>
      </c>
      <c r="B929" s="20" t="s">
        <v>1349</v>
      </c>
      <c r="C929" s="20" t="s">
        <v>7438</v>
      </c>
      <c r="D929" s="23"/>
      <c r="E929" s="6" t="str">
        <f>LOOKUP(2,1/(MCQ!C:C=B929),MCQ!H:H)</f>
        <v>19.00</v>
      </c>
      <c r="F929" s="6" t="str">
        <f>LOOKUP(2,1/(Debugging!C:C=B929),Debugging!H:H)</f>
        <v>45.00</v>
      </c>
      <c r="G929" s="6" t="e">
        <f>LOOKUP(2,1/(Coding!C:C=B929),Coding!H:H)</f>
        <v>#N/A</v>
      </c>
      <c r="H929" s="8" t="e">
        <f>E929+F929+G929</f>
        <v>#N/A</v>
      </c>
      <c r="I929" s="4" t="str">
        <f>IF(J929&lt;&gt;"Complete","Not Active",IF(H929&gt;=75,"Good",IF(H929&gt;=50,"Satisfactory",IF(H929&gt;=25,"Need Attention","Intervention"))))</f>
        <v>Not Active</v>
      </c>
      <c r="J929" s="4" t="str">
        <f>IF(COUNTIF(E929:G929,"#N/A")=3,"Not Attempted",IF(OR(ISNA(E929),ISNA(F929),ISNA(G929)),"NotCompleted","Complete"))</f>
        <v>NotCompleted</v>
      </c>
    </row>
    <row r="930" spans="1:10" ht="15" customHeight="1" x14ac:dyDescent="0.3">
      <c r="A930" s="18" t="s">
        <v>7588</v>
      </c>
      <c r="B930" s="20" t="s">
        <v>6528</v>
      </c>
      <c r="C930" s="20" t="s">
        <v>6710</v>
      </c>
      <c r="D930" s="23"/>
      <c r="E930" s="6" t="e">
        <f>LOOKUP(2,1/(MCQ!C:C=B930),MCQ!H:H)</f>
        <v>#N/A</v>
      </c>
      <c r="F930" s="6" t="e">
        <f>LOOKUP(2,1/(Debugging!C:C=B930),Debugging!H:H)</f>
        <v>#N/A</v>
      </c>
      <c r="G930" s="6" t="e">
        <f>LOOKUP(2,1/(Coding!C:C=B930),Coding!H:H)</f>
        <v>#N/A</v>
      </c>
      <c r="H930" s="8" t="e">
        <f>E930+F930+G930</f>
        <v>#N/A</v>
      </c>
      <c r="I930" s="4" t="str">
        <f>IF(J930&lt;&gt;"Complete","Not Active",IF(H930&gt;=75,"Good",IF(H930&gt;=50,"Satisfactory",IF(H930&gt;=25,"Need Attention","Intervention"))))</f>
        <v>Not Active</v>
      </c>
      <c r="J930" s="4" t="str">
        <f>IF(COUNTIF(E930:G930,"#N/A")=3,"Not Attempted",IF(OR(ISNA(E930),ISNA(F930),ISNA(G930)),"NotCompleted","Complete"))</f>
        <v>Not Attempted</v>
      </c>
    </row>
    <row r="931" spans="1:10" ht="15" customHeight="1" x14ac:dyDescent="0.3">
      <c r="A931" s="18" t="s">
        <v>7588</v>
      </c>
      <c r="B931" s="20" t="s">
        <v>1351</v>
      </c>
      <c r="C931" s="20" t="s">
        <v>7439</v>
      </c>
      <c r="D931" s="23"/>
      <c r="E931" s="6" t="str">
        <f>LOOKUP(2,1/(MCQ!C:C=B931),MCQ!H:H)</f>
        <v>23.00</v>
      </c>
      <c r="F931" s="6" t="str">
        <f>LOOKUP(2,1/(Debugging!C:C=B931),Debugging!H:H)</f>
        <v>5.00</v>
      </c>
      <c r="G931" s="6" t="str">
        <f>LOOKUP(2,1/(Coding!C:C=B931),Coding!H:H)</f>
        <v>25.00</v>
      </c>
      <c r="H931" s="8">
        <f>E931+F931+G931</f>
        <v>53</v>
      </c>
      <c r="I931" s="4" t="str">
        <f>IF(J931&lt;&gt;"Complete","Not Active",IF(H931&gt;=75,"Good",IF(H931&gt;=50,"Satisfactory",IF(H931&gt;=25,"Need Attention","Intervention"))))</f>
        <v>Satisfactory</v>
      </c>
      <c r="J931" s="4" t="str">
        <f>IF(COUNTIF(E931:G931,"#N/A")=3,"Not Attempted",IF(OR(ISNA(E931),ISNA(F931),ISNA(G931)),"NotCompleted","Complete"))</f>
        <v>Complete</v>
      </c>
    </row>
    <row r="932" spans="1:10" ht="15" customHeight="1" x14ac:dyDescent="0.3">
      <c r="A932" s="18" t="s">
        <v>7588</v>
      </c>
      <c r="B932" s="20" t="s">
        <v>1353</v>
      </c>
      <c r="C932" s="20" t="s">
        <v>7440</v>
      </c>
      <c r="D932" s="23"/>
      <c r="E932" s="6" t="str">
        <f>LOOKUP(2,1/(MCQ!C:C=B932),MCQ!H:H)</f>
        <v>21.00</v>
      </c>
      <c r="F932" s="6" t="e">
        <f>LOOKUP(2,1/(Debugging!C:C=B932),Debugging!H:H)</f>
        <v>#N/A</v>
      </c>
      <c r="G932" s="6" t="e">
        <f>LOOKUP(2,1/(Coding!C:C=B932),Coding!H:H)</f>
        <v>#N/A</v>
      </c>
      <c r="H932" s="8" t="e">
        <f>E932+F932+G932</f>
        <v>#N/A</v>
      </c>
      <c r="I932" s="4" t="str">
        <f>IF(J932&lt;&gt;"Complete","Not Active",IF(H932&gt;=75,"Good",IF(H932&gt;=50,"Satisfactory",IF(H932&gt;=25,"Need Attention","Intervention"))))</f>
        <v>Not Active</v>
      </c>
      <c r="J932" s="4" t="str">
        <f>IF(COUNTIF(E932:G932,"#N/A")=3,"Not Attempted",IF(OR(ISNA(E932),ISNA(F932),ISNA(G932)),"NotCompleted","Complete"))</f>
        <v>NotCompleted</v>
      </c>
    </row>
    <row r="933" spans="1:10" ht="15" customHeight="1" x14ac:dyDescent="0.3">
      <c r="A933" s="18" t="s">
        <v>7588</v>
      </c>
      <c r="B933" s="20" t="s">
        <v>1355</v>
      </c>
      <c r="C933" s="20" t="s">
        <v>7441</v>
      </c>
      <c r="D933" s="23"/>
      <c r="E933" s="6" t="str">
        <f>LOOKUP(2,1/(MCQ!C:C=B933),MCQ!H:H)</f>
        <v>25.00</v>
      </c>
      <c r="F933" s="6" t="e">
        <f>LOOKUP(2,1/(Debugging!C:C=B933),Debugging!H:H)</f>
        <v>#N/A</v>
      </c>
      <c r="G933" s="6" t="e">
        <f>LOOKUP(2,1/(Coding!C:C=B933),Coding!H:H)</f>
        <v>#N/A</v>
      </c>
      <c r="H933" s="8" t="e">
        <f>E933+F933+G933</f>
        <v>#N/A</v>
      </c>
      <c r="I933" s="4" t="str">
        <f>IF(J933&lt;&gt;"Complete","Not Active",IF(H933&gt;=75,"Good",IF(H933&gt;=50,"Satisfactory",IF(H933&gt;=25,"Need Attention","Intervention"))))</f>
        <v>Not Active</v>
      </c>
      <c r="J933" s="4" t="str">
        <f>IF(COUNTIF(E933:G933,"#N/A")=3,"Not Attempted",IF(OR(ISNA(E933),ISNA(F933),ISNA(G933)),"NotCompleted","Complete"))</f>
        <v>NotCompleted</v>
      </c>
    </row>
    <row r="934" spans="1:10" ht="15" customHeight="1" x14ac:dyDescent="0.3">
      <c r="A934" s="18" t="s">
        <v>7588</v>
      </c>
      <c r="B934" s="20" t="s">
        <v>1357</v>
      </c>
      <c r="C934" s="20" t="s">
        <v>7442</v>
      </c>
      <c r="D934" s="23"/>
      <c r="E934" s="6" t="str">
        <f>LOOKUP(2,1/(MCQ!C:C=B934),MCQ!H:H)</f>
        <v>19.00</v>
      </c>
      <c r="F934" s="6" t="str">
        <f>LOOKUP(2,1/(Debugging!C:C=B934),Debugging!H:H)</f>
        <v>46.00</v>
      </c>
      <c r="G934" s="6" t="str">
        <f>LOOKUP(2,1/(Coding!C:C=B934),Coding!H:H)</f>
        <v>25.00</v>
      </c>
      <c r="H934" s="8">
        <f>E934+F934+G934</f>
        <v>90</v>
      </c>
      <c r="I934" s="4" t="str">
        <f>IF(J934&lt;&gt;"Complete","Not Active",IF(H934&gt;=75,"Good",IF(H934&gt;=50,"Satisfactory",IF(H934&gt;=25,"Need Attention","Intervention"))))</f>
        <v>Good</v>
      </c>
      <c r="J934" s="4" t="str">
        <f>IF(COUNTIF(E934:G934,"#N/A")=3,"Not Attempted",IF(OR(ISNA(E934),ISNA(F934),ISNA(G934)),"NotCompleted","Complete"))</f>
        <v>Complete</v>
      </c>
    </row>
    <row r="935" spans="1:10" ht="15" customHeight="1" x14ac:dyDescent="0.3">
      <c r="A935" s="18" t="s">
        <v>7588</v>
      </c>
      <c r="B935" s="24" t="s">
        <v>6529</v>
      </c>
      <c r="C935" s="21" t="s">
        <v>7443</v>
      </c>
      <c r="D935" s="23"/>
      <c r="E935" s="6" t="e">
        <f>LOOKUP(2,1/(MCQ!C:C=B935),MCQ!H:H)</f>
        <v>#N/A</v>
      </c>
      <c r="F935" s="6" t="e">
        <f>LOOKUP(2,1/(Debugging!C:C=B935),Debugging!H:H)</f>
        <v>#N/A</v>
      </c>
      <c r="G935" s="6" t="e">
        <f>LOOKUP(2,1/(Coding!C:C=B935),Coding!H:H)</f>
        <v>#N/A</v>
      </c>
      <c r="H935" s="8" t="e">
        <f>E935+F935+G935</f>
        <v>#N/A</v>
      </c>
      <c r="I935" s="4" t="str">
        <f>IF(J935&lt;&gt;"Complete","Not Active",IF(H935&gt;=75,"Good",IF(H935&gt;=50,"Satisfactory",IF(H935&gt;=25,"Need Attention","Intervention"))))</f>
        <v>Not Active</v>
      </c>
      <c r="J935" s="4" t="str">
        <f>IF(COUNTIF(E935:G935,"#N/A")=3,"Not Attempted",IF(OR(ISNA(E935),ISNA(F935),ISNA(G935)),"NotCompleted","Complete"))</f>
        <v>Not Attempted</v>
      </c>
    </row>
    <row r="936" spans="1:10" ht="15" customHeight="1" x14ac:dyDescent="0.3">
      <c r="A936" s="18" t="s">
        <v>7588</v>
      </c>
      <c r="B936" s="24" t="s">
        <v>1371</v>
      </c>
      <c r="C936" s="21" t="s">
        <v>6878</v>
      </c>
      <c r="D936" s="23"/>
      <c r="E936" s="6" t="str">
        <f>LOOKUP(2,1/(MCQ!C:C=B936),MCQ!H:H)</f>
        <v>25.00</v>
      </c>
      <c r="F936" s="6" t="e">
        <f>LOOKUP(2,1/(Debugging!C:C=B936),Debugging!H:H)</f>
        <v>#N/A</v>
      </c>
      <c r="G936" s="6" t="e">
        <f>LOOKUP(2,1/(Coding!C:C=B936),Coding!H:H)</f>
        <v>#N/A</v>
      </c>
      <c r="H936" s="8" t="e">
        <f>E936+F936+G936</f>
        <v>#N/A</v>
      </c>
      <c r="I936" s="4" t="str">
        <f>IF(J936&lt;&gt;"Complete","Not Active",IF(H936&gt;=75,"Good",IF(H936&gt;=50,"Satisfactory",IF(H936&gt;=25,"Need Attention","Intervention"))))</f>
        <v>Not Active</v>
      </c>
      <c r="J936" s="4" t="str">
        <f>IF(COUNTIF(E936:G936,"#N/A")=3,"Not Attempted",IF(OR(ISNA(E936),ISNA(F936),ISNA(G936)),"NotCompleted","Complete"))</f>
        <v>NotCompleted</v>
      </c>
    </row>
    <row r="937" spans="1:10" ht="15" customHeight="1" x14ac:dyDescent="0.3">
      <c r="A937" s="18" t="s">
        <v>7588</v>
      </c>
      <c r="B937" s="24" t="s">
        <v>1372</v>
      </c>
      <c r="C937" s="21" t="s">
        <v>7444</v>
      </c>
      <c r="D937" s="23"/>
      <c r="E937" s="6" t="str">
        <f>LOOKUP(2,1/(MCQ!C:C=B937),MCQ!H:H)</f>
        <v>4.00</v>
      </c>
      <c r="F937" s="6" t="e">
        <f>LOOKUP(2,1/(Debugging!C:C=B937),Debugging!H:H)</f>
        <v>#N/A</v>
      </c>
      <c r="G937" s="6" t="str">
        <f>LOOKUP(2,1/(Coding!C:C=B937),Coding!H:H)</f>
        <v>25.00</v>
      </c>
      <c r="H937" s="8" t="e">
        <f>E937+F937+G937</f>
        <v>#N/A</v>
      </c>
      <c r="I937" s="4" t="str">
        <f>IF(J937&lt;&gt;"Complete","Not Active",IF(H937&gt;=75,"Good",IF(H937&gt;=50,"Satisfactory",IF(H937&gt;=25,"Need Attention","Intervention"))))</f>
        <v>Not Active</v>
      </c>
      <c r="J937" s="4" t="str">
        <f>IF(COUNTIF(E937:G937,"#N/A")=3,"Not Attempted",IF(OR(ISNA(E937),ISNA(F937),ISNA(G937)),"NotCompleted","Complete"))</f>
        <v>NotCompleted</v>
      </c>
    </row>
    <row r="938" spans="1:10" ht="15" customHeight="1" x14ac:dyDescent="0.3">
      <c r="A938" s="18" t="s">
        <v>7588</v>
      </c>
      <c r="B938" s="24" t="s">
        <v>6530</v>
      </c>
      <c r="C938" s="21" t="s">
        <v>7445</v>
      </c>
      <c r="D938" s="23"/>
      <c r="E938" s="6" t="e">
        <f>LOOKUP(2,1/(MCQ!C:C=B938),MCQ!H:H)</f>
        <v>#N/A</v>
      </c>
      <c r="F938" s="6" t="e">
        <f>LOOKUP(2,1/(Debugging!C:C=B938),Debugging!H:H)</f>
        <v>#N/A</v>
      </c>
      <c r="G938" s="6" t="e">
        <f>LOOKUP(2,1/(Coding!C:C=B938),Coding!H:H)</f>
        <v>#N/A</v>
      </c>
      <c r="H938" s="8" t="e">
        <f>E938+F938+G938</f>
        <v>#N/A</v>
      </c>
      <c r="I938" s="4" t="str">
        <f>IF(J938&lt;&gt;"Complete","Not Active",IF(H938&gt;=75,"Good",IF(H938&gt;=50,"Satisfactory",IF(H938&gt;=25,"Need Attention","Intervention"))))</f>
        <v>Not Active</v>
      </c>
      <c r="J938" s="4" t="str">
        <f>IF(COUNTIF(E938:G938,"#N/A")=3,"Not Attempted",IF(OR(ISNA(E938),ISNA(F938),ISNA(G938)),"NotCompleted","Complete"))</f>
        <v>Not Attempted</v>
      </c>
    </row>
    <row r="939" spans="1:10" ht="15" customHeight="1" x14ac:dyDescent="0.3">
      <c r="A939" s="18" t="s">
        <v>7588</v>
      </c>
      <c r="B939" s="24" t="s">
        <v>6531</v>
      </c>
      <c r="C939" s="21" t="s">
        <v>7446</v>
      </c>
      <c r="D939" s="23"/>
      <c r="E939" s="6" t="e">
        <f>LOOKUP(2,1/(MCQ!C:C=B939),MCQ!H:H)</f>
        <v>#N/A</v>
      </c>
      <c r="F939" s="6" t="e">
        <f>LOOKUP(2,1/(Debugging!C:C=B939),Debugging!H:H)</f>
        <v>#N/A</v>
      </c>
      <c r="G939" s="6" t="e">
        <f>LOOKUP(2,1/(Coding!C:C=B939),Coding!H:H)</f>
        <v>#N/A</v>
      </c>
      <c r="H939" s="8" t="e">
        <f>E939+F939+G939</f>
        <v>#N/A</v>
      </c>
      <c r="I939" s="4" t="str">
        <f>IF(J939&lt;&gt;"Complete","Not Active",IF(H939&gt;=75,"Good",IF(H939&gt;=50,"Satisfactory",IF(H939&gt;=25,"Need Attention","Intervention"))))</f>
        <v>Not Active</v>
      </c>
      <c r="J939" s="4" t="str">
        <f>IF(COUNTIF(E939:G939,"#N/A")=3,"Not Attempted",IF(OR(ISNA(E939),ISNA(F939),ISNA(G939)),"NotCompleted","Complete"))</f>
        <v>Not Attempted</v>
      </c>
    </row>
    <row r="940" spans="1:10" ht="15" customHeight="1" x14ac:dyDescent="0.3">
      <c r="A940" s="18" t="s">
        <v>7588</v>
      </c>
      <c r="B940" s="24" t="s">
        <v>1374</v>
      </c>
      <c r="C940" s="21" t="s">
        <v>7447</v>
      </c>
      <c r="D940" s="23"/>
      <c r="E940" s="6" t="str">
        <f>LOOKUP(2,1/(MCQ!C:C=B940),MCQ!H:H)</f>
        <v>24.00</v>
      </c>
      <c r="F940" s="6" t="str">
        <f>LOOKUP(2,1/(Debugging!C:C=B940),Debugging!H:H)</f>
        <v>38.00</v>
      </c>
      <c r="G940" s="6" t="e">
        <f>LOOKUP(2,1/(Coding!C:C=B940),Coding!H:H)</f>
        <v>#N/A</v>
      </c>
      <c r="H940" s="8" t="e">
        <f>E940+F940+G940</f>
        <v>#N/A</v>
      </c>
      <c r="I940" s="4" t="str">
        <f>IF(J940&lt;&gt;"Complete","Not Active",IF(H940&gt;=75,"Good",IF(H940&gt;=50,"Satisfactory",IF(H940&gt;=25,"Need Attention","Intervention"))))</f>
        <v>Not Active</v>
      </c>
      <c r="J940" s="4" t="str">
        <f>IF(COUNTIF(E940:G940,"#N/A")=3,"Not Attempted",IF(OR(ISNA(E940),ISNA(F940),ISNA(G940)),"NotCompleted","Complete"))</f>
        <v>NotCompleted</v>
      </c>
    </row>
    <row r="941" spans="1:10" ht="15" customHeight="1" x14ac:dyDescent="0.3">
      <c r="A941" s="18" t="s">
        <v>7588</v>
      </c>
      <c r="B941" s="24" t="s">
        <v>6532</v>
      </c>
      <c r="C941" s="21" t="s">
        <v>7448</v>
      </c>
      <c r="D941" s="23"/>
      <c r="E941" s="6" t="e">
        <f>LOOKUP(2,1/(MCQ!C:C=B941),MCQ!H:H)</f>
        <v>#N/A</v>
      </c>
      <c r="F941" s="6" t="e">
        <f>LOOKUP(2,1/(Debugging!C:C=B941),Debugging!H:H)</f>
        <v>#N/A</v>
      </c>
      <c r="G941" s="6" t="e">
        <f>LOOKUP(2,1/(Coding!C:C=B941),Coding!H:H)</f>
        <v>#N/A</v>
      </c>
      <c r="H941" s="8" t="e">
        <f>E941+F941+G941</f>
        <v>#N/A</v>
      </c>
      <c r="I941" s="4" t="str">
        <f>IF(J941&lt;&gt;"Complete","Not Active",IF(H941&gt;=75,"Good",IF(H941&gt;=50,"Satisfactory",IF(H941&gt;=25,"Need Attention","Intervention"))))</f>
        <v>Not Active</v>
      </c>
      <c r="J941" s="4" t="str">
        <f>IF(COUNTIF(E941:G941,"#N/A")=3,"Not Attempted",IF(OR(ISNA(E941),ISNA(F941),ISNA(G941)),"NotCompleted","Complete"))</f>
        <v>Not Attempted</v>
      </c>
    </row>
    <row r="942" spans="1:10" ht="15" customHeight="1" x14ac:dyDescent="0.3">
      <c r="A942" s="18" t="s">
        <v>7588</v>
      </c>
      <c r="B942" s="24" t="s">
        <v>6533</v>
      </c>
      <c r="C942" s="21" t="s">
        <v>7449</v>
      </c>
      <c r="D942" s="23"/>
      <c r="E942" s="6" t="e">
        <f>LOOKUP(2,1/(MCQ!C:C=B942),MCQ!H:H)</f>
        <v>#N/A</v>
      </c>
      <c r="F942" s="6" t="e">
        <f>LOOKUP(2,1/(Debugging!C:C=B942),Debugging!H:H)</f>
        <v>#N/A</v>
      </c>
      <c r="G942" s="6" t="e">
        <f>LOOKUP(2,1/(Coding!C:C=B942),Coding!H:H)</f>
        <v>#N/A</v>
      </c>
      <c r="H942" s="8" t="e">
        <f>E942+F942+G942</f>
        <v>#N/A</v>
      </c>
      <c r="I942" s="4" t="str">
        <f>IF(J942&lt;&gt;"Complete","Not Active",IF(H942&gt;=75,"Good",IF(H942&gt;=50,"Satisfactory",IF(H942&gt;=25,"Need Attention","Intervention"))))</f>
        <v>Not Active</v>
      </c>
      <c r="J942" s="4" t="str">
        <f>IF(COUNTIF(E942:G942,"#N/A")=3,"Not Attempted",IF(OR(ISNA(E942),ISNA(F942),ISNA(G942)),"NotCompleted","Complete"))</f>
        <v>Not Attempted</v>
      </c>
    </row>
    <row r="943" spans="1:10" ht="15" customHeight="1" x14ac:dyDescent="0.3">
      <c r="A943" s="18" t="s">
        <v>7588</v>
      </c>
      <c r="B943" s="24" t="s">
        <v>6534</v>
      </c>
      <c r="C943" s="21" t="s">
        <v>7450</v>
      </c>
      <c r="D943" s="23"/>
      <c r="E943" s="6" t="e">
        <f>LOOKUP(2,1/(MCQ!C:C=B943),MCQ!H:H)</f>
        <v>#N/A</v>
      </c>
      <c r="F943" s="6" t="e">
        <f>LOOKUP(2,1/(Debugging!C:C=B943),Debugging!H:H)</f>
        <v>#N/A</v>
      </c>
      <c r="G943" s="6" t="e">
        <f>LOOKUP(2,1/(Coding!C:C=B943),Coding!H:H)</f>
        <v>#N/A</v>
      </c>
      <c r="H943" s="8" t="e">
        <f>E943+F943+G943</f>
        <v>#N/A</v>
      </c>
      <c r="I943" s="4" t="str">
        <f>IF(J943&lt;&gt;"Complete","Not Active",IF(H943&gt;=75,"Good",IF(H943&gt;=50,"Satisfactory",IF(H943&gt;=25,"Need Attention","Intervention"))))</f>
        <v>Not Active</v>
      </c>
      <c r="J943" s="4" t="str">
        <f>IF(COUNTIF(E943:G943,"#N/A")=3,"Not Attempted",IF(OR(ISNA(E943),ISNA(F943),ISNA(G943)),"NotCompleted","Complete"))</f>
        <v>Not Attempted</v>
      </c>
    </row>
    <row r="944" spans="1:10" ht="15" customHeight="1" x14ac:dyDescent="0.3">
      <c r="A944" s="18" t="s">
        <v>7588</v>
      </c>
      <c r="B944" s="24" t="s">
        <v>1376</v>
      </c>
      <c r="C944" s="21" t="s">
        <v>7451</v>
      </c>
      <c r="D944" s="23"/>
      <c r="E944" s="6" t="str">
        <f>LOOKUP(2,1/(MCQ!C:C=B944),MCQ!H:H)</f>
        <v>23.00</v>
      </c>
      <c r="F944" s="6" t="e">
        <f>LOOKUP(2,1/(Debugging!C:C=B944),Debugging!H:H)</f>
        <v>#N/A</v>
      </c>
      <c r="G944" s="6" t="e">
        <v>#N/A</v>
      </c>
      <c r="H944" s="8" t="e">
        <f>E944+F944+G944</f>
        <v>#N/A</v>
      </c>
      <c r="I944" s="4" t="str">
        <f>IF(J944&lt;&gt;"Complete","Not Active",IF(H944&gt;=75,"Good",IF(H944&gt;=50,"Satisfactory",IF(H944&gt;=25,"Need Attention","Intervention"))))</f>
        <v>Not Active</v>
      </c>
      <c r="J944" s="4" t="str">
        <f>IF(COUNTIF(E944:G944,"#N/A")=3,"Not Attempted",IF(OR(ISNA(E944),ISNA(F944),ISNA(G944)),"NotCompleted","Complete"))</f>
        <v>NotCompleted</v>
      </c>
    </row>
    <row r="945" spans="1:10" ht="15" customHeight="1" x14ac:dyDescent="0.3">
      <c r="A945" s="18" t="s">
        <v>7588</v>
      </c>
      <c r="B945" s="20" t="s">
        <v>6535</v>
      </c>
      <c r="C945" s="21" t="s">
        <v>7147</v>
      </c>
      <c r="D945" s="23"/>
      <c r="E945" s="6" t="e">
        <f>LOOKUP(2,1/(MCQ!C:C=B945),MCQ!H:H)</f>
        <v>#N/A</v>
      </c>
      <c r="F945" s="6" t="e">
        <f>LOOKUP(2,1/(Debugging!C:C=B945),Debugging!H:H)</f>
        <v>#N/A</v>
      </c>
      <c r="G945" s="6" t="e">
        <f>LOOKUP(2,1/(Coding!C:C=B945),Coding!H:H)</f>
        <v>#N/A</v>
      </c>
      <c r="H945" s="8" t="e">
        <f>E945+F945+G945</f>
        <v>#N/A</v>
      </c>
      <c r="I945" s="4" t="str">
        <f>IF(J945&lt;&gt;"Complete","Not Active",IF(H945&gt;=75,"Good",IF(H945&gt;=50,"Satisfactory",IF(H945&gt;=25,"Need Attention","Intervention"))))</f>
        <v>Not Active</v>
      </c>
      <c r="J945" s="4" t="str">
        <f>IF(COUNTIF(E945:G945,"#N/A")=3,"Not Attempted",IF(OR(ISNA(E945),ISNA(F945),ISNA(G945)),"NotCompleted","Complete"))</f>
        <v>Not Attempted</v>
      </c>
    </row>
    <row r="946" spans="1:10" ht="15" customHeight="1" x14ac:dyDescent="0.3">
      <c r="A946" s="25" t="s">
        <v>7588</v>
      </c>
      <c r="B946" s="26"/>
      <c r="C946" s="21" t="s">
        <v>7452</v>
      </c>
      <c r="D946" s="23"/>
      <c r="E946" s="6">
        <f>LOOKUP(2,1/(MCQ!C:C=B946),MCQ!H:H)</f>
        <v>0</v>
      </c>
      <c r="F946" s="6">
        <f>LOOKUP(2,1/(Debugging!C:C=B946),Debugging!H:H)</f>
        <v>0</v>
      </c>
      <c r="G946" s="6">
        <f>LOOKUP(2,1/(Coding!C:C=B946),Coding!H:H)</f>
        <v>0</v>
      </c>
      <c r="H946" s="8">
        <f>E946+F946+G946</f>
        <v>0</v>
      </c>
      <c r="I946" s="4" t="str">
        <f>IF(J946&lt;&gt;"Complete","Not Active",IF(H946&gt;=75,"Good",IF(H946&gt;=50,"Satisfactory",IF(H946&gt;=25,"Need Attention","Intervention"))))</f>
        <v>Intervention</v>
      </c>
      <c r="J946" s="4" t="str">
        <f>IF(COUNTIF(E946:G946,"#N/A")=3,"Not Attempted",IF(OR(ISNA(E946),ISNA(F946),ISNA(G946)),"NotCompleted","Complete"))</f>
        <v>Complete</v>
      </c>
    </row>
    <row r="947" spans="1:10" ht="15" customHeight="1" x14ac:dyDescent="0.3">
      <c r="A947" s="18" t="s">
        <v>7588</v>
      </c>
      <c r="B947" s="20" t="s">
        <v>6536</v>
      </c>
      <c r="C947" s="20" t="s">
        <v>7453</v>
      </c>
      <c r="D947" s="23"/>
      <c r="E947" s="6" t="e">
        <f>LOOKUP(2,1/(MCQ!C:C=B947),MCQ!H:H)</f>
        <v>#N/A</v>
      </c>
      <c r="F947" s="6" t="e">
        <f>LOOKUP(2,1/(Debugging!C:C=B947),Debugging!H:H)</f>
        <v>#N/A</v>
      </c>
      <c r="G947" s="6" t="e">
        <f>LOOKUP(2,1/(Coding!C:C=B947),Coding!H:H)</f>
        <v>#N/A</v>
      </c>
      <c r="H947" s="8" t="e">
        <f>E947+F947+G947</f>
        <v>#N/A</v>
      </c>
      <c r="I947" s="4" t="str">
        <f>IF(J947&lt;&gt;"Complete","Not Active",IF(H947&gt;=75,"Good",IF(H947&gt;=50,"Satisfactory",IF(H947&gt;=25,"Need Attention","Intervention"))))</f>
        <v>Not Active</v>
      </c>
      <c r="J947" s="4" t="str">
        <f>IF(COUNTIF(E947:G947,"#N/A")=3,"Not Attempted",IF(OR(ISNA(E947),ISNA(F947),ISNA(G947)),"NotCompleted","Complete"))</f>
        <v>Not Attempted</v>
      </c>
    </row>
    <row r="948" spans="1:10" ht="15" customHeight="1" x14ac:dyDescent="0.3">
      <c r="A948" s="18" t="s">
        <v>7588</v>
      </c>
      <c r="B948" s="20" t="s">
        <v>6537</v>
      </c>
      <c r="C948" s="20" t="s">
        <v>7454</v>
      </c>
      <c r="D948" s="23"/>
      <c r="E948" s="6" t="e">
        <f>LOOKUP(2,1/(MCQ!C:C=B948),MCQ!H:H)</f>
        <v>#N/A</v>
      </c>
      <c r="F948" s="6" t="e">
        <f>LOOKUP(2,1/(Debugging!C:C=B948),Debugging!H:H)</f>
        <v>#N/A</v>
      </c>
      <c r="G948" s="6" t="e">
        <f>LOOKUP(2,1/(Coding!C:C=B948),Coding!H:H)</f>
        <v>#N/A</v>
      </c>
      <c r="H948" s="8" t="e">
        <f>E948+F948+G948</f>
        <v>#N/A</v>
      </c>
      <c r="I948" s="4" t="str">
        <f>IF(J948&lt;&gt;"Complete","Not Active",IF(H948&gt;=75,"Good",IF(H948&gt;=50,"Satisfactory",IF(H948&gt;=25,"Need Attention","Intervention"))))</f>
        <v>Not Active</v>
      </c>
      <c r="J948" s="4" t="str">
        <f>IF(COUNTIF(E948:G948,"#N/A")=3,"Not Attempted",IF(OR(ISNA(E948),ISNA(F948),ISNA(G948)),"NotCompleted","Complete"))</f>
        <v>Not Attempted</v>
      </c>
    </row>
    <row r="949" spans="1:10" ht="15" customHeight="1" x14ac:dyDescent="0.3">
      <c r="A949" s="18" t="s">
        <v>7588</v>
      </c>
      <c r="B949" s="20" t="s">
        <v>6538</v>
      </c>
      <c r="C949" s="20" t="s">
        <v>7455</v>
      </c>
      <c r="D949" s="23"/>
      <c r="E949" s="6" t="e">
        <f>LOOKUP(2,1/(MCQ!C:C=B949),MCQ!H:H)</f>
        <v>#N/A</v>
      </c>
      <c r="F949" s="6" t="e">
        <f>LOOKUP(2,1/(Debugging!C:C=B949),Debugging!H:H)</f>
        <v>#N/A</v>
      </c>
      <c r="G949" s="6" t="e">
        <f>LOOKUP(2,1/(Coding!C:C=B949),Coding!H:H)</f>
        <v>#N/A</v>
      </c>
      <c r="H949" s="8" t="e">
        <f>E949+F949+G949</f>
        <v>#N/A</v>
      </c>
      <c r="I949" s="4" t="str">
        <f>IF(J949&lt;&gt;"Complete","Not Active",IF(H949&gt;=75,"Good",IF(H949&gt;=50,"Satisfactory",IF(H949&gt;=25,"Need Attention","Intervention"))))</f>
        <v>Not Active</v>
      </c>
      <c r="J949" s="4" t="str">
        <f>IF(COUNTIF(E949:G949,"#N/A")=3,"Not Attempted",IF(OR(ISNA(E949),ISNA(F949),ISNA(G949)),"NotCompleted","Complete"))</f>
        <v>Not Attempted</v>
      </c>
    </row>
    <row r="950" spans="1:10" ht="15" customHeight="1" x14ac:dyDescent="0.3">
      <c r="A950" s="18" t="s">
        <v>7588</v>
      </c>
      <c r="B950" s="20" t="s">
        <v>6539</v>
      </c>
      <c r="C950" s="20" t="s">
        <v>7456</v>
      </c>
      <c r="D950" s="23"/>
      <c r="E950" s="6" t="e">
        <f>LOOKUP(2,1/(MCQ!C:C=B950),MCQ!H:H)</f>
        <v>#N/A</v>
      </c>
      <c r="F950" s="6" t="e">
        <f>LOOKUP(2,1/(Debugging!C:C=B950),Debugging!H:H)</f>
        <v>#N/A</v>
      </c>
      <c r="G950" s="6" t="e">
        <f>LOOKUP(2,1/(Coding!C:C=B950),Coding!H:H)</f>
        <v>#N/A</v>
      </c>
      <c r="H950" s="8" t="e">
        <f>E950+F950+G950</f>
        <v>#N/A</v>
      </c>
      <c r="I950" s="4" t="str">
        <f>IF(J950&lt;&gt;"Complete","Not Active",IF(H950&gt;=75,"Good",IF(H950&gt;=50,"Satisfactory",IF(H950&gt;=25,"Need Attention","Intervention"))))</f>
        <v>Not Active</v>
      </c>
      <c r="J950" s="4" t="str">
        <f>IF(COUNTIF(E950:G950,"#N/A")=3,"Not Attempted",IF(OR(ISNA(E950),ISNA(F950),ISNA(G950)),"NotCompleted","Complete"))</f>
        <v>Not Attempted</v>
      </c>
    </row>
    <row r="951" spans="1:10" ht="15" customHeight="1" x14ac:dyDescent="0.3">
      <c r="A951" s="18" t="s">
        <v>7588</v>
      </c>
      <c r="B951" s="20" t="s">
        <v>1359</v>
      </c>
      <c r="C951" s="20" t="s">
        <v>7457</v>
      </c>
      <c r="D951" s="23"/>
      <c r="E951" s="6" t="str">
        <f>LOOKUP(2,1/(MCQ!C:C=B951),MCQ!H:H)</f>
        <v>25.00</v>
      </c>
      <c r="F951" s="6" t="e">
        <f>LOOKUP(2,1/(Debugging!C:C=B951),Debugging!H:H)</f>
        <v>#N/A</v>
      </c>
      <c r="G951" s="6" t="str">
        <f>LOOKUP(2,1/(Coding!C:C=B951),Coding!H:H)</f>
        <v>23.50</v>
      </c>
      <c r="H951" s="8" t="e">
        <f>E951+F951+G951</f>
        <v>#N/A</v>
      </c>
      <c r="I951" s="4" t="str">
        <f>IF(J951&lt;&gt;"Complete","Not Active",IF(H951&gt;=75,"Good",IF(H951&gt;=50,"Satisfactory",IF(H951&gt;=25,"Need Attention","Intervention"))))</f>
        <v>Not Active</v>
      </c>
      <c r="J951" s="4" t="str">
        <f>IF(COUNTIF(E951:G951,"#N/A")=3,"Not Attempted",IF(OR(ISNA(E951),ISNA(F951),ISNA(G951)),"NotCompleted","Complete"))</f>
        <v>NotCompleted</v>
      </c>
    </row>
    <row r="952" spans="1:10" ht="15" customHeight="1" x14ac:dyDescent="0.3">
      <c r="A952" s="18" t="s">
        <v>7588</v>
      </c>
      <c r="B952" s="20" t="s">
        <v>6540</v>
      </c>
      <c r="C952" s="20" t="s">
        <v>7458</v>
      </c>
      <c r="D952" s="23"/>
      <c r="E952" s="6" t="e">
        <f>LOOKUP(2,1/(MCQ!C:C=B952),MCQ!H:H)</f>
        <v>#N/A</v>
      </c>
      <c r="F952" s="6" t="e">
        <f>LOOKUP(2,1/(Debugging!C:C=B952),Debugging!H:H)</f>
        <v>#N/A</v>
      </c>
      <c r="G952" s="6" t="e">
        <f>LOOKUP(2,1/(Coding!C:C=B952),Coding!H:H)</f>
        <v>#N/A</v>
      </c>
      <c r="H952" s="8" t="e">
        <f>E952+F952+G952</f>
        <v>#N/A</v>
      </c>
      <c r="I952" s="4" t="str">
        <f>IF(J952&lt;&gt;"Complete","Not Active",IF(H952&gt;=75,"Good",IF(H952&gt;=50,"Satisfactory",IF(H952&gt;=25,"Need Attention","Intervention"))))</f>
        <v>Not Active</v>
      </c>
      <c r="J952" s="4" t="str">
        <f>IF(COUNTIF(E952:G952,"#N/A")=3,"Not Attempted",IF(OR(ISNA(E952),ISNA(F952),ISNA(G952)),"NotCompleted","Complete"))</f>
        <v>Not Attempted</v>
      </c>
    </row>
    <row r="953" spans="1:10" ht="15" customHeight="1" x14ac:dyDescent="0.3">
      <c r="A953" s="18" t="s">
        <v>7588</v>
      </c>
      <c r="B953" s="20" t="s">
        <v>5804</v>
      </c>
      <c r="C953" s="20" t="s">
        <v>7459</v>
      </c>
      <c r="D953" s="23"/>
      <c r="E953" s="6" t="str">
        <f>LOOKUP(2,1/(MCQ!C:C=B953),MCQ!H:H)</f>
        <v>25.00</v>
      </c>
      <c r="F953" s="6" t="e">
        <f>LOOKUP(2,1/(Debugging!C:C=B953),Debugging!H:H)</f>
        <v>#N/A</v>
      </c>
      <c r="G953" s="6" t="e">
        <f>LOOKUP(2,1/(Coding!C:C=B953),Coding!H:H)</f>
        <v>#N/A</v>
      </c>
      <c r="H953" s="8" t="e">
        <f>E953+F953+G953</f>
        <v>#N/A</v>
      </c>
      <c r="I953" s="4" t="str">
        <f>IF(J953&lt;&gt;"Complete","Not Active",IF(H953&gt;=75,"Good",IF(H953&gt;=50,"Satisfactory",IF(H953&gt;=25,"Need Attention","Intervention"))))</f>
        <v>Not Active</v>
      </c>
      <c r="J953" s="4" t="str">
        <f>IF(COUNTIF(E953:G953,"#N/A")=3,"Not Attempted",IF(OR(ISNA(E953),ISNA(F953),ISNA(G953)),"NotCompleted","Complete"))</f>
        <v>NotCompleted</v>
      </c>
    </row>
    <row r="954" spans="1:10" ht="15" customHeight="1" x14ac:dyDescent="0.3">
      <c r="A954" s="18" t="s">
        <v>7588</v>
      </c>
      <c r="B954" s="20" t="s">
        <v>1361</v>
      </c>
      <c r="C954" s="20" t="s">
        <v>7460</v>
      </c>
      <c r="D954" s="23"/>
      <c r="E954" s="6" t="str">
        <f>LOOKUP(2,1/(MCQ!C:C=B954),MCQ!H:H)</f>
        <v>18.00</v>
      </c>
      <c r="F954" s="6" t="e">
        <f>LOOKUP(2,1/(Debugging!C:C=B954),Debugging!H:H)</f>
        <v>#N/A</v>
      </c>
      <c r="G954" s="6" t="e">
        <f>LOOKUP(2,1/(Coding!C:C=B954),Coding!H:H)</f>
        <v>#N/A</v>
      </c>
      <c r="H954" s="8" t="e">
        <f>E954+F954+G954</f>
        <v>#N/A</v>
      </c>
      <c r="I954" s="4" t="str">
        <f>IF(J954&lt;&gt;"Complete","Not Active",IF(H954&gt;=75,"Good",IF(H954&gt;=50,"Satisfactory",IF(H954&gt;=25,"Need Attention","Intervention"))))</f>
        <v>Not Active</v>
      </c>
      <c r="J954" s="4" t="str">
        <f>IF(COUNTIF(E954:G954,"#N/A")=3,"Not Attempted",IF(OR(ISNA(E954),ISNA(F954),ISNA(G954)),"NotCompleted","Complete"))</f>
        <v>NotCompleted</v>
      </c>
    </row>
    <row r="955" spans="1:10" ht="15" customHeight="1" x14ac:dyDescent="0.3">
      <c r="A955" s="18" t="s">
        <v>7588</v>
      </c>
      <c r="B955" s="20" t="s">
        <v>6541</v>
      </c>
      <c r="C955" s="20" t="s">
        <v>7461</v>
      </c>
      <c r="D955" s="23"/>
      <c r="E955" s="6" t="e">
        <f>LOOKUP(2,1/(MCQ!C:C=B955),MCQ!H:H)</f>
        <v>#N/A</v>
      </c>
      <c r="F955" s="6" t="e">
        <f>LOOKUP(2,1/(Debugging!C:C=B955),Debugging!H:H)</f>
        <v>#N/A</v>
      </c>
      <c r="G955" s="6" t="e">
        <f>LOOKUP(2,1/(Coding!C:C=B955),Coding!H:H)</f>
        <v>#N/A</v>
      </c>
      <c r="H955" s="8" t="e">
        <f>E955+F955+G955</f>
        <v>#N/A</v>
      </c>
      <c r="I955" s="4" t="str">
        <f>IF(J955&lt;&gt;"Complete","Not Active",IF(H955&gt;=75,"Good",IF(H955&gt;=50,"Satisfactory",IF(H955&gt;=25,"Need Attention","Intervention"))))</f>
        <v>Not Active</v>
      </c>
      <c r="J955" s="4" t="str">
        <f>IF(COUNTIF(E955:G955,"#N/A")=3,"Not Attempted",IF(OR(ISNA(E955),ISNA(F955),ISNA(G955)),"NotCompleted","Complete"))</f>
        <v>Not Attempted</v>
      </c>
    </row>
    <row r="956" spans="1:10" ht="15" customHeight="1" x14ac:dyDescent="0.3">
      <c r="A956" s="18" t="s">
        <v>7588</v>
      </c>
      <c r="B956" s="20" t="s">
        <v>6542</v>
      </c>
      <c r="C956" s="20" t="s">
        <v>7462</v>
      </c>
      <c r="D956" s="23"/>
      <c r="E956" s="6" t="e">
        <f>LOOKUP(2,1/(MCQ!C:C=B956),MCQ!H:H)</f>
        <v>#N/A</v>
      </c>
      <c r="F956" s="6" t="e">
        <f>LOOKUP(2,1/(Debugging!C:C=B956),Debugging!H:H)</f>
        <v>#N/A</v>
      </c>
      <c r="G956" s="6" t="e">
        <f>LOOKUP(2,1/(Coding!C:C=B956),Coding!H:H)</f>
        <v>#N/A</v>
      </c>
      <c r="H956" s="8" t="e">
        <f>E956+F956+G956</f>
        <v>#N/A</v>
      </c>
      <c r="I956" s="4" t="str">
        <f>IF(J956&lt;&gt;"Complete","Not Active",IF(H956&gt;=75,"Good",IF(H956&gt;=50,"Satisfactory",IF(H956&gt;=25,"Need Attention","Intervention"))))</f>
        <v>Not Active</v>
      </c>
      <c r="J956" s="4" t="str">
        <f>IF(COUNTIF(E956:G956,"#N/A")=3,"Not Attempted",IF(OR(ISNA(E956),ISNA(F956),ISNA(G956)),"NotCompleted","Complete"))</f>
        <v>Not Attempted</v>
      </c>
    </row>
    <row r="957" spans="1:10" ht="15" customHeight="1" x14ac:dyDescent="0.3">
      <c r="A957" s="18" t="s">
        <v>7588</v>
      </c>
      <c r="B957" s="20" t="s">
        <v>6543</v>
      </c>
      <c r="C957" s="20" t="s">
        <v>7463</v>
      </c>
      <c r="D957" s="23"/>
      <c r="E957" s="6" t="e">
        <f>LOOKUP(2,1/(MCQ!C:C=B957),MCQ!H:H)</f>
        <v>#N/A</v>
      </c>
      <c r="F957" s="6" t="e">
        <f>LOOKUP(2,1/(Debugging!C:C=B957),Debugging!H:H)</f>
        <v>#N/A</v>
      </c>
      <c r="G957" s="6" t="e">
        <f>LOOKUP(2,1/(Coding!C:C=B957),Coding!H:H)</f>
        <v>#N/A</v>
      </c>
      <c r="H957" s="8" t="e">
        <f>E957+F957+G957</f>
        <v>#N/A</v>
      </c>
      <c r="I957" s="4" t="str">
        <f>IF(J957&lt;&gt;"Complete","Not Active",IF(H957&gt;=75,"Good",IF(H957&gt;=50,"Satisfactory",IF(H957&gt;=25,"Need Attention","Intervention"))))</f>
        <v>Not Active</v>
      </c>
      <c r="J957" s="4" t="str">
        <f>IF(COUNTIF(E957:G957,"#N/A")=3,"Not Attempted",IF(OR(ISNA(E957),ISNA(F957),ISNA(G957)),"NotCompleted","Complete"))</f>
        <v>Not Attempted</v>
      </c>
    </row>
    <row r="958" spans="1:10" ht="15" customHeight="1" x14ac:dyDescent="0.3">
      <c r="A958" s="18" t="s">
        <v>7588</v>
      </c>
      <c r="B958" s="20" t="s">
        <v>6544</v>
      </c>
      <c r="C958" s="20" t="s">
        <v>7464</v>
      </c>
      <c r="D958" s="23"/>
      <c r="E958" s="6" t="e">
        <f>LOOKUP(2,1/(MCQ!C:C=B958),MCQ!H:H)</f>
        <v>#N/A</v>
      </c>
      <c r="F958" s="6" t="e">
        <f>LOOKUP(2,1/(Debugging!C:C=B958),Debugging!H:H)</f>
        <v>#N/A</v>
      </c>
      <c r="G958" s="6" t="e">
        <f>LOOKUP(2,1/(Coding!C:C=B958),Coding!H:H)</f>
        <v>#N/A</v>
      </c>
      <c r="H958" s="8" t="e">
        <f>E958+F958+G958</f>
        <v>#N/A</v>
      </c>
      <c r="I958" s="4" t="str">
        <f>IF(J958&lt;&gt;"Complete","Not Active",IF(H958&gt;=75,"Good",IF(H958&gt;=50,"Satisfactory",IF(H958&gt;=25,"Need Attention","Intervention"))))</f>
        <v>Not Active</v>
      </c>
      <c r="J958" s="4" t="str">
        <f>IF(COUNTIF(E958:G958,"#N/A")=3,"Not Attempted",IF(OR(ISNA(E958),ISNA(F958),ISNA(G958)),"NotCompleted","Complete"))</f>
        <v>Not Attempted</v>
      </c>
    </row>
    <row r="959" spans="1:10" ht="15" customHeight="1" x14ac:dyDescent="0.3">
      <c r="A959" s="18" t="s">
        <v>7588</v>
      </c>
      <c r="B959" s="20" t="s">
        <v>6545</v>
      </c>
      <c r="C959" s="20" t="s">
        <v>7465</v>
      </c>
      <c r="D959" s="23"/>
      <c r="E959" s="6" t="e">
        <f>LOOKUP(2,1/(MCQ!C:C=B959),MCQ!H:H)</f>
        <v>#N/A</v>
      </c>
      <c r="F959" s="6" t="e">
        <f>LOOKUP(2,1/(Debugging!C:C=B959),Debugging!H:H)</f>
        <v>#N/A</v>
      </c>
      <c r="G959" s="6" t="e">
        <f>LOOKUP(2,1/(Coding!C:C=B959),Coding!H:H)</f>
        <v>#N/A</v>
      </c>
      <c r="H959" s="8" t="e">
        <f>E959+F959+G959</f>
        <v>#N/A</v>
      </c>
      <c r="I959" s="4" t="str">
        <f>IF(J959&lt;&gt;"Complete","Not Active",IF(H959&gt;=75,"Good",IF(H959&gt;=50,"Satisfactory",IF(H959&gt;=25,"Need Attention","Intervention"))))</f>
        <v>Not Active</v>
      </c>
      <c r="J959" s="4" t="str">
        <f>IF(COUNTIF(E959:G959,"#N/A")=3,"Not Attempted",IF(OR(ISNA(E959),ISNA(F959),ISNA(G959)),"NotCompleted","Complete"))</f>
        <v>Not Attempted</v>
      </c>
    </row>
    <row r="960" spans="1:10" ht="15" customHeight="1" x14ac:dyDescent="0.3">
      <c r="A960" s="18" t="s">
        <v>7588</v>
      </c>
      <c r="B960" s="20" t="s">
        <v>6546</v>
      </c>
      <c r="C960" s="20" t="s">
        <v>7466</v>
      </c>
      <c r="D960" s="23"/>
      <c r="E960" s="6" t="e">
        <f>LOOKUP(2,1/(MCQ!C:C=B960),MCQ!H:H)</f>
        <v>#N/A</v>
      </c>
      <c r="F960" s="6" t="e">
        <f>LOOKUP(2,1/(Debugging!C:C=B960),Debugging!H:H)</f>
        <v>#N/A</v>
      </c>
      <c r="G960" s="6" t="e">
        <f>LOOKUP(2,1/(Coding!C:C=B960),Coding!H:H)</f>
        <v>#N/A</v>
      </c>
      <c r="H960" s="8" t="e">
        <f>E960+F960+G960</f>
        <v>#N/A</v>
      </c>
      <c r="I960" s="4" t="str">
        <f>IF(J960&lt;&gt;"Complete","Not Active",IF(H960&gt;=75,"Good",IF(H960&gt;=50,"Satisfactory",IF(H960&gt;=25,"Need Attention","Intervention"))))</f>
        <v>Not Active</v>
      </c>
      <c r="J960" s="4" t="str">
        <f>IF(COUNTIF(E960:G960,"#N/A")=3,"Not Attempted",IF(OR(ISNA(E960),ISNA(F960),ISNA(G960)),"NotCompleted","Complete"))</f>
        <v>Not Attempted</v>
      </c>
    </row>
    <row r="961" spans="1:10" ht="15" customHeight="1" x14ac:dyDescent="0.3">
      <c r="A961" s="18" t="s">
        <v>7588</v>
      </c>
      <c r="B961" s="20" t="s">
        <v>6547</v>
      </c>
      <c r="C961" s="20" t="s">
        <v>7467</v>
      </c>
      <c r="D961" s="23"/>
      <c r="E961" s="6" t="e">
        <f>LOOKUP(2,1/(MCQ!C:C=B961),MCQ!H:H)</f>
        <v>#N/A</v>
      </c>
      <c r="F961" s="6" t="e">
        <f>LOOKUP(2,1/(Debugging!C:C=B961),Debugging!H:H)</f>
        <v>#N/A</v>
      </c>
      <c r="G961" s="6" t="e">
        <f>LOOKUP(2,1/(Coding!C:C=B961),Coding!H:H)</f>
        <v>#N/A</v>
      </c>
      <c r="H961" s="8" t="e">
        <f>E961+F961+G961</f>
        <v>#N/A</v>
      </c>
      <c r="I961" s="4" t="str">
        <f>IF(J961&lt;&gt;"Complete","Not Active",IF(H961&gt;=75,"Good",IF(H961&gt;=50,"Satisfactory",IF(H961&gt;=25,"Need Attention","Intervention"))))</f>
        <v>Not Active</v>
      </c>
      <c r="J961" s="4" t="str">
        <f>IF(COUNTIF(E961:G961,"#N/A")=3,"Not Attempted",IF(OR(ISNA(E961),ISNA(F961),ISNA(G961)),"NotCompleted","Complete"))</f>
        <v>Not Attempted</v>
      </c>
    </row>
    <row r="962" spans="1:10" ht="15" customHeight="1" x14ac:dyDescent="0.3">
      <c r="A962" s="18" t="s">
        <v>7588</v>
      </c>
      <c r="B962" s="20" t="s">
        <v>6548</v>
      </c>
      <c r="C962" s="20" t="s">
        <v>7468</v>
      </c>
      <c r="D962" s="23"/>
      <c r="E962" s="6" t="e">
        <f>LOOKUP(2,1/(MCQ!C:C=B962),MCQ!H:H)</f>
        <v>#N/A</v>
      </c>
      <c r="F962" s="6" t="e">
        <f>LOOKUP(2,1/(Debugging!C:C=B962),Debugging!H:H)</f>
        <v>#N/A</v>
      </c>
      <c r="G962" s="6" t="e">
        <f>LOOKUP(2,1/(Coding!C:C=B962),Coding!H:H)</f>
        <v>#N/A</v>
      </c>
      <c r="H962" s="8" t="e">
        <f>E962+F962+G962</f>
        <v>#N/A</v>
      </c>
      <c r="I962" s="4" t="str">
        <f>IF(J962&lt;&gt;"Complete","Not Active",IF(H962&gt;=75,"Good",IF(H962&gt;=50,"Satisfactory",IF(H962&gt;=25,"Need Attention","Intervention"))))</f>
        <v>Not Active</v>
      </c>
      <c r="J962" s="4" t="str">
        <f>IF(COUNTIF(E962:G962,"#N/A")=3,"Not Attempted",IF(OR(ISNA(E962),ISNA(F962),ISNA(G962)),"NotCompleted","Complete"))</f>
        <v>Not Attempted</v>
      </c>
    </row>
    <row r="963" spans="1:10" ht="15" customHeight="1" x14ac:dyDescent="0.3">
      <c r="A963" s="18" t="s">
        <v>7588</v>
      </c>
      <c r="B963" s="20" t="s">
        <v>1363</v>
      </c>
      <c r="C963" s="20" t="s">
        <v>7469</v>
      </c>
      <c r="D963" s="23"/>
      <c r="E963" s="6" t="str">
        <f>LOOKUP(2,1/(MCQ!C:C=B963),MCQ!H:H)</f>
        <v>24.00</v>
      </c>
      <c r="F963" s="6" t="e">
        <f>LOOKUP(2,1/(Debugging!C:C=B963),Debugging!H:H)</f>
        <v>#N/A</v>
      </c>
      <c r="G963" s="6" t="str">
        <f>LOOKUP(2,1/(Coding!C:C=B963),Coding!H:H)</f>
        <v>21.00</v>
      </c>
      <c r="H963" s="8" t="e">
        <f>E963+F963+G963</f>
        <v>#N/A</v>
      </c>
      <c r="I963" s="4" t="str">
        <f>IF(J963&lt;&gt;"Complete","Not Active",IF(H963&gt;=75,"Good",IF(H963&gt;=50,"Satisfactory",IF(H963&gt;=25,"Need Attention","Intervention"))))</f>
        <v>Not Active</v>
      </c>
      <c r="J963" s="4" t="str">
        <f>IF(COUNTIF(E963:G963,"#N/A")=3,"Not Attempted",IF(OR(ISNA(E963),ISNA(F963),ISNA(G963)),"NotCompleted","Complete"))</f>
        <v>NotCompleted</v>
      </c>
    </row>
    <row r="964" spans="1:10" ht="15" customHeight="1" x14ac:dyDescent="0.3">
      <c r="A964" s="18" t="s">
        <v>7588</v>
      </c>
      <c r="B964" s="20" t="s">
        <v>6549</v>
      </c>
      <c r="C964" s="20" t="s">
        <v>7470</v>
      </c>
      <c r="D964" s="23"/>
      <c r="E964" s="6" t="e">
        <f>LOOKUP(2,1/(MCQ!C:C=B964),MCQ!H:H)</f>
        <v>#N/A</v>
      </c>
      <c r="F964" s="6" t="e">
        <f>LOOKUP(2,1/(Debugging!C:C=B964),Debugging!H:H)</f>
        <v>#N/A</v>
      </c>
      <c r="G964" s="6" t="e">
        <f>LOOKUP(2,1/(Coding!C:C=B964),Coding!H:H)</f>
        <v>#N/A</v>
      </c>
      <c r="H964" s="8" t="e">
        <f>E964+F964+G964</f>
        <v>#N/A</v>
      </c>
      <c r="I964" s="4" t="str">
        <f>IF(J964&lt;&gt;"Complete","Not Active",IF(H964&gt;=75,"Good",IF(H964&gt;=50,"Satisfactory",IF(H964&gt;=25,"Need Attention","Intervention"))))</f>
        <v>Not Active</v>
      </c>
      <c r="J964" s="4" t="str">
        <f>IF(COUNTIF(E964:G964,"#N/A")=3,"Not Attempted",IF(OR(ISNA(E964),ISNA(F964),ISNA(G964)),"NotCompleted","Complete"))</f>
        <v>Not Attempted</v>
      </c>
    </row>
    <row r="965" spans="1:10" ht="15" customHeight="1" x14ac:dyDescent="0.3">
      <c r="A965" s="18" t="s">
        <v>7588</v>
      </c>
      <c r="B965" s="20" t="s">
        <v>6550</v>
      </c>
      <c r="C965" s="20" t="s">
        <v>7471</v>
      </c>
      <c r="D965" s="23"/>
      <c r="E965" s="6" t="e">
        <f>LOOKUP(2,1/(MCQ!C:C=B965),MCQ!H:H)</f>
        <v>#N/A</v>
      </c>
      <c r="F965" s="6" t="e">
        <f>LOOKUP(2,1/(Debugging!C:C=B965),Debugging!H:H)</f>
        <v>#N/A</v>
      </c>
      <c r="G965" s="6" t="e">
        <f>LOOKUP(2,1/(Coding!C:C=B965),Coding!H:H)</f>
        <v>#N/A</v>
      </c>
      <c r="H965" s="8" t="e">
        <f>E965+F965+G965</f>
        <v>#N/A</v>
      </c>
      <c r="I965" s="4" t="str">
        <f>IF(J965&lt;&gt;"Complete","Not Active",IF(H965&gt;=75,"Good",IF(H965&gt;=50,"Satisfactory",IF(H965&gt;=25,"Need Attention","Intervention"))))</f>
        <v>Not Active</v>
      </c>
      <c r="J965" s="4" t="str">
        <f>IF(COUNTIF(E965:G965,"#N/A")=3,"Not Attempted",IF(OR(ISNA(E965),ISNA(F965),ISNA(G965)),"NotCompleted","Complete"))</f>
        <v>Not Attempted</v>
      </c>
    </row>
    <row r="966" spans="1:10" ht="15" customHeight="1" x14ac:dyDescent="0.3">
      <c r="A966" s="18" t="s">
        <v>7588</v>
      </c>
      <c r="B966" s="20" t="s">
        <v>6551</v>
      </c>
      <c r="C966" s="20" t="s">
        <v>7472</v>
      </c>
      <c r="D966" s="23"/>
      <c r="E966" s="6" t="e">
        <f>LOOKUP(2,1/(MCQ!C:C=B966),MCQ!H:H)</f>
        <v>#N/A</v>
      </c>
      <c r="F966" s="6" t="e">
        <f>LOOKUP(2,1/(Debugging!C:C=B966),Debugging!H:H)</f>
        <v>#N/A</v>
      </c>
      <c r="G966" s="6" t="e">
        <f>LOOKUP(2,1/(Coding!C:C=B966),Coding!H:H)</f>
        <v>#N/A</v>
      </c>
      <c r="H966" s="8" t="e">
        <f>E966+F966+G966</f>
        <v>#N/A</v>
      </c>
      <c r="I966" s="4" t="str">
        <f>IF(J966&lt;&gt;"Complete","Not Active",IF(H966&gt;=75,"Good",IF(H966&gt;=50,"Satisfactory",IF(H966&gt;=25,"Need Attention","Intervention"))))</f>
        <v>Not Active</v>
      </c>
      <c r="J966" s="4" t="str">
        <f>IF(COUNTIF(E966:G966,"#N/A")=3,"Not Attempted",IF(OR(ISNA(E966),ISNA(F966),ISNA(G966)),"NotCompleted","Complete"))</f>
        <v>Not Attempted</v>
      </c>
    </row>
    <row r="967" spans="1:10" ht="15" customHeight="1" x14ac:dyDescent="0.3">
      <c r="A967" s="18" t="s">
        <v>7588</v>
      </c>
      <c r="B967" s="20" t="s">
        <v>6552</v>
      </c>
      <c r="C967" s="20" t="s">
        <v>7473</v>
      </c>
      <c r="D967" s="23"/>
      <c r="E967" s="6" t="e">
        <f>LOOKUP(2,1/(MCQ!C:C=B967),MCQ!H:H)</f>
        <v>#N/A</v>
      </c>
      <c r="F967" s="6" t="e">
        <f>LOOKUP(2,1/(Debugging!C:C=B967),Debugging!H:H)</f>
        <v>#N/A</v>
      </c>
      <c r="G967" s="6" t="e">
        <f>LOOKUP(2,1/(Coding!C:C=B967),Coding!H:H)</f>
        <v>#N/A</v>
      </c>
      <c r="H967" s="8" t="e">
        <f>E967+F967+G967</f>
        <v>#N/A</v>
      </c>
      <c r="I967" s="4" t="str">
        <f>IF(J967&lt;&gt;"Complete","Not Active",IF(H967&gt;=75,"Good",IF(H967&gt;=50,"Satisfactory",IF(H967&gt;=25,"Need Attention","Intervention"))))</f>
        <v>Not Active</v>
      </c>
      <c r="J967" s="4" t="str">
        <f>IF(COUNTIF(E967:G967,"#N/A")=3,"Not Attempted",IF(OR(ISNA(E967),ISNA(F967),ISNA(G967)),"NotCompleted","Complete"))</f>
        <v>Not Attempted</v>
      </c>
    </row>
    <row r="968" spans="1:10" ht="15" customHeight="1" x14ac:dyDescent="0.3">
      <c r="A968" s="18" t="s">
        <v>7588</v>
      </c>
      <c r="B968" s="20" t="s">
        <v>6553</v>
      </c>
      <c r="C968" s="20" t="s">
        <v>7474</v>
      </c>
      <c r="D968" s="23"/>
      <c r="E968" s="6" t="e">
        <f>LOOKUP(2,1/(MCQ!C:C=B968),MCQ!H:H)</f>
        <v>#N/A</v>
      </c>
      <c r="F968" s="6" t="e">
        <f>LOOKUP(2,1/(Debugging!C:C=B968),Debugging!H:H)</f>
        <v>#N/A</v>
      </c>
      <c r="G968" s="6" t="e">
        <f>LOOKUP(2,1/(Coding!C:C=B968),Coding!H:H)</f>
        <v>#N/A</v>
      </c>
      <c r="H968" s="8" t="e">
        <f>E968+F968+G968</f>
        <v>#N/A</v>
      </c>
      <c r="I968" s="4" t="str">
        <f>IF(J968&lt;&gt;"Complete","Not Active",IF(H968&gt;=75,"Good",IF(H968&gt;=50,"Satisfactory",IF(H968&gt;=25,"Need Attention","Intervention"))))</f>
        <v>Not Active</v>
      </c>
      <c r="J968" s="4" t="str">
        <f>IF(COUNTIF(E968:G968,"#N/A")=3,"Not Attempted",IF(OR(ISNA(E968),ISNA(F968),ISNA(G968)),"NotCompleted","Complete"))</f>
        <v>Not Attempted</v>
      </c>
    </row>
    <row r="969" spans="1:10" ht="15" customHeight="1" x14ac:dyDescent="0.3">
      <c r="A969" s="18" t="s">
        <v>7588</v>
      </c>
      <c r="B969" s="20" t="s">
        <v>6554</v>
      </c>
      <c r="C969" s="20" t="s">
        <v>7475</v>
      </c>
      <c r="D969" s="23"/>
      <c r="E969" s="6" t="e">
        <f>LOOKUP(2,1/(MCQ!C:C=B969),MCQ!H:H)</f>
        <v>#N/A</v>
      </c>
      <c r="F969" s="6" t="e">
        <f>LOOKUP(2,1/(Debugging!C:C=B969),Debugging!H:H)</f>
        <v>#N/A</v>
      </c>
      <c r="G969" s="6" t="e">
        <f>LOOKUP(2,1/(Coding!C:C=B969),Coding!H:H)</f>
        <v>#N/A</v>
      </c>
      <c r="H969" s="8" t="e">
        <f>E969+F969+G969</f>
        <v>#N/A</v>
      </c>
      <c r="I969" s="4" t="str">
        <f>IF(J969&lt;&gt;"Complete","Not Active",IF(H969&gt;=75,"Good",IF(H969&gt;=50,"Satisfactory",IF(H969&gt;=25,"Need Attention","Intervention"))))</f>
        <v>Not Active</v>
      </c>
      <c r="J969" s="4" t="str">
        <f>IF(COUNTIF(E969:G969,"#N/A")=3,"Not Attempted",IF(OR(ISNA(E969),ISNA(F969),ISNA(G969)),"NotCompleted","Complete"))</f>
        <v>Not Attempted</v>
      </c>
    </row>
    <row r="970" spans="1:10" ht="15" customHeight="1" x14ac:dyDescent="0.3">
      <c r="A970" s="18" t="s">
        <v>7588</v>
      </c>
      <c r="B970" s="20" t="s">
        <v>6555</v>
      </c>
      <c r="C970" s="20" t="s">
        <v>7476</v>
      </c>
      <c r="D970" s="23"/>
      <c r="E970" s="6" t="e">
        <f>LOOKUP(2,1/(MCQ!C:C=B970),MCQ!H:H)</f>
        <v>#N/A</v>
      </c>
      <c r="F970" s="6" t="e">
        <f>LOOKUP(2,1/(Debugging!C:C=B970),Debugging!H:H)</f>
        <v>#N/A</v>
      </c>
      <c r="G970" s="6" t="e">
        <f>LOOKUP(2,1/(Coding!C:C=B970),Coding!H:H)</f>
        <v>#N/A</v>
      </c>
      <c r="H970" s="8" t="e">
        <f>E970+F970+G970</f>
        <v>#N/A</v>
      </c>
      <c r="I970" s="4" t="str">
        <f>IF(J970&lt;&gt;"Complete","Not Active",IF(H970&gt;=75,"Good",IF(H970&gt;=50,"Satisfactory",IF(H970&gt;=25,"Need Attention","Intervention"))))</f>
        <v>Not Active</v>
      </c>
      <c r="J970" s="4" t="str">
        <f>IF(COUNTIF(E970:G970,"#N/A")=3,"Not Attempted",IF(OR(ISNA(E970),ISNA(F970),ISNA(G970)),"NotCompleted","Complete"))</f>
        <v>Not Attempted</v>
      </c>
    </row>
    <row r="971" spans="1:10" ht="15" customHeight="1" x14ac:dyDescent="0.3">
      <c r="A971" s="18" t="s">
        <v>7588</v>
      </c>
      <c r="B971" s="20" t="s">
        <v>6556</v>
      </c>
      <c r="C971" s="20" t="s">
        <v>7477</v>
      </c>
      <c r="D971" s="23"/>
      <c r="E971" s="6" t="e">
        <f>LOOKUP(2,1/(MCQ!C:C=B971),MCQ!H:H)</f>
        <v>#N/A</v>
      </c>
      <c r="F971" s="6" t="e">
        <f>LOOKUP(2,1/(Debugging!C:C=B971),Debugging!H:H)</f>
        <v>#N/A</v>
      </c>
      <c r="G971" s="6" t="e">
        <f>LOOKUP(2,1/(Coding!C:C=B971),Coding!H:H)</f>
        <v>#N/A</v>
      </c>
      <c r="H971" s="8" t="e">
        <f>E971+F971+G971</f>
        <v>#N/A</v>
      </c>
      <c r="I971" s="4" t="str">
        <f>IF(J971&lt;&gt;"Complete","Not Active",IF(H971&gt;=75,"Good",IF(H971&gt;=50,"Satisfactory",IF(H971&gt;=25,"Need Attention","Intervention"))))</f>
        <v>Not Active</v>
      </c>
      <c r="J971" s="4" t="str">
        <f>IF(COUNTIF(E971:G971,"#N/A")=3,"Not Attempted",IF(OR(ISNA(E971),ISNA(F971),ISNA(G971)),"NotCompleted","Complete"))</f>
        <v>Not Attempted</v>
      </c>
    </row>
    <row r="972" spans="1:10" ht="15" customHeight="1" x14ac:dyDescent="0.3">
      <c r="A972" s="18" t="s">
        <v>7588</v>
      </c>
      <c r="B972" s="20" t="s">
        <v>1365</v>
      </c>
      <c r="C972" s="20" t="s">
        <v>7478</v>
      </c>
      <c r="D972" s="23"/>
      <c r="E972" s="6" t="str">
        <f>LOOKUP(2,1/(MCQ!C:C=B972),MCQ!H:H)</f>
        <v>21.00</v>
      </c>
      <c r="F972" s="6" t="e">
        <f>LOOKUP(2,1/(Debugging!C:C=B972),Debugging!H:H)</f>
        <v>#N/A</v>
      </c>
      <c r="G972" s="6" t="str">
        <f>LOOKUP(2,1/(Coding!C:C=B972),Coding!H:H)</f>
        <v>25.00</v>
      </c>
      <c r="H972" s="8" t="e">
        <f>E972+F972+G972</f>
        <v>#N/A</v>
      </c>
      <c r="I972" s="4" t="str">
        <f>IF(J972&lt;&gt;"Complete","Not Active",IF(H972&gt;=75,"Good",IF(H972&gt;=50,"Satisfactory",IF(H972&gt;=25,"Need Attention","Intervention"))))</f>
        <v>Not Active</v>
      </c>
      <c r="J972" s="4" t="str">
        <f>IF(COUNTIF(E972:G972,"#N/A")=3,"Not Attempted",IF(OR(ISNA(E972),ISNA(F972),ISNA(G972)),"NotCompleted","Complete"))</f>
        <v>NotCompleted</v>
      </c>
    </row>
    <row r="973" spans="1:10" ht="15" customHeight="1" x14ac:dyDescent="0.3">
      <c r="A973" s="18" t="s">
        <v>7588</v>
      </c>
      <c r="B973" s="20" t="s">
        <v>6557</v>
      </c>
      <c r="C973" s="20" t="s">
        <v>7478</v>
      </c>
      <c r="D973" s="23"/>
      <c r="E973" s="6" t="e">
        <f>LOOKUP(2,1/(MCQ!C:C=B973),MCQ!H:H)</f>
        <v>#N/A</v>
      </c>
      <c r="F973" s="6" t="e">
        <f>LOOKUP(2,1/(Debugging!C:C=B973),Debugging!H:H)</f>
        <v>#N/A</v>
      </c>
      <c r="G973" s="6" t="e">
        <f>LOOKUP(2,1/(Coding!C:C=B973),Coding!H:H)</f>
        <v>#N/A</v>
      </c>
      <c r="H973" s="8" t="e">
        <f>E973+F973+G973</f>
        <v>#N/A</v>
      </c>
      <c r="I973" s="4" t="str">
        <f>IF(J973&lt;&gt;"Complete","Not Active",IF(H973&gt;=75,"Good",IF(H973&gt;=50,"Satisfactory",IF(H973&gt;=25,"Need Attention","Intervention"))))</f>
        <v>Not Active</v>
      </c>
      <c r="J973" s="4" t="str">
        <f>IF(COUNTIF(E973:G973,"#N/A")=3,"Not Attempted",IF(OR(ISNA(E973),ISNA(F973),ISNA(G973)),"NotCompleted","Complete"))</f>
        <v>Not Attempted</v>
      </c>
    </row>
    <row r="974" spans="1:10" ht="15" customHeight="1" x14ac:dyDescent="0.3">
      <c r="A974" s="18" t="s">
        <v>7588</v>
      </c>
      <c r="B974" s="20" t="s">
        <v>6558</v>
      </c>
      <c r="C974" s="20" t="s">
        <v>7479</v>
      </c>
      <c r="D974" s="23"/>
      <c r="E974" s="6" t="e">
        <f>LOOKUP(2,1/(MCQ!C:C=B974),MCQ!H:H)</f>
        <v>#N/A</v>
      </c>
      <c r="F974" s="6" t="e">
        <f>LOOKUP(2,1/(Debugging!C:C=B974),Debugging!H:H)</f>
        <v>#N/A</v>
      </c>
      <c r="G974" s="6" t="e">
        <f>LOOKUP(2,1/(Coding!C:C=B974),Coding!H:H)</f>
        <v>#N/A</v>
      </c>
      <c r="H974" s="8" t="e">
        <f>E974+F974+G974</f>
        <v>#N/A</v>
      </c>
      <c r="I974" s="4" t="str">
        <f>IF(J974&lt;&gt;"Complete","Not Active",IF(H974&gt;=75,"Good",IF(H974&gt;=50,"Satisfactory",IF(H974&gt;=25,"Need Attention","Intervention"))))</f>
        <v>Not Active</v>
      </c>
      <c r="J974" s="4" t="str">
        <f>IF(COUNTIF(E974:G974,"#N/A")=3,"Not Attempted",IF(OR(ISNA(E974),ISNA(F974),ISNA(G974)),"NotCompleted","Complete"))</f>
        <v>Not Attempted</v>
      </c>
    </row>
    <row r="975" spans="1:10" ht="15" customHeight="1" x14ac:dyDescent="0.3">
      <c r="A975" s="18" t="s">
        <v>7588</v>
      </c>
      <c r="B975" s="20" t="s">
        <v>6559</v>
      </c>
      <c r="C975" s="20" t="s">
        <v>6796</v>
      </c>
      <c r="D975" s="23"/>
      <c r="E975" s="6" t="e">
        <f>LOOKUP(2,1/(MCQ!C:C=B975),MCQ!H:H)</f>
        <v>#N/A</v>
      </c>
      <c r="F975" s="6" t="e">
        <f>LOOKUP(2,1/(Debugging!C:C=B975),Debugging!H:H)</f>
        <v>#N/A</v>
      </c>
      <c r="G975" s="6" t="e">
        <f>LOOKUP(2,1/(Coding!C:C=B975),Coding!H:H)</f>
        <v>#N/A</v>
      </c>
      <c r="H975" s="8" t="e">
        <f>E975+F975+G975</f>
        <v>#N/A</v>
      </c>
      <c r="I975" s="4" t="str">
        <f>IF(J975&lt;&gt;"Complete","Not Active",IF(H975&gt;=75,"Good",IF(H975&gt;=50,"Satisfactory",IF(H975&gt;=25,"Need Attention","Intervention"))))</f>
        <v>Not Active</v>
      </c>
      <c r="J975" s="4" t="str">
        <f>IF(COUNTIF(E975:G975,"#N/A")=3,"Not Attempted",IF(OR(ISNA(E975),ISNA(F975),ISNA(G975)),"NotCompleted","Complete"))</f>
        <v>Not Attempted</v>
      </c>
    </row>
    <row r="976" spans="1:10" ht="15" customHeight="1" x14ac:dyDescent="0.3">
      <c r="A976" s="18" t="s">
        <v>7588</v>
      </c>
      <c r="B976" s="20" t="s">
        <v>1367</v>
      </c>
      <c r="C976" s="20" t="s">
        <v>7480</v>
      </c>
      <c r="D976" s="23"/>
      <c r="E976" s="6" t="str">
        <f>LOOKUP(2,1/(MCQ!C:C=B976),MCQ!H:H)</f>
        <v>19.00</v>
      </c>
      <c r="F976" s="6" t="e">
        <f>LOOKUP(2,1/(Debugging!C:C=B976),Debugging!H:H)</f>
        <v>#N/A</v>
      </c>
      <c r="G976" s="6" t="str">
        <f>LOOKUP(2,1/(Coding!C:C=B976),Coding!H:H)</f>
        <v>19.00</v>
      </c>
      <c r="H976" s="8" t="e">
        <f>E976+F976+G976</f>
        <v>#N/A</v>
      </c>
      <c r="I976" s="4" t="str">
        <f>IF(J976&lt;&gt;"Complete","Not Active",IF(H976&gt;=75,"Good",IF(H976&gt;=50,"Satisfactory",IF(H976&gt;=25,"Need Attention","Intervention"))))</f>
        <v>Not Active</v>
      </c>
      <c r="J976" s="4" t="str">
        <f>IF(COUNTIF(E976:G976,"#N/A")=3,"Not Attempted",IF(OR(ISNA(E976),ISNA(F976),ISNA(G976)),"NotCompleted","Complete"))</f>
        <v>NotCompleted</v>
      </c>
    </row>
    <row r="977" spans="1:10" ht="15" customHeight="1" x14ac:dyDescent="0.3">
      <c r="A977" s="18" t="s">
        <v>7588</v>
      </c>
      <c r="B977" s="20" t="s">
        <v>6560</v>
      </c>
      <c r="C977" s="20" t="s">
        <v>7481</v>
      </c>
      <c r="D977" s="23"/>
      <c r="E977" s="6" t="e">
        <f>LOOKUP(2,1/(MCQ!C:C=B977),MCQ!H:H)</f>
        <v>#N/A</v>
      </c>
      <c r="F977" s="6" t="e">
        <f>LOOKUP(2,1/(Debugging!C:C=B977),Debugging!H:H)</f>
        <v>#N/A</v>
      </c>
      <c r="G977" s="6" t="e">
        <f>LOOKUP(2,1/(Coding!C:C=B977),Coding!H:H)</f>
        <v>#N/A</v>
      </c>
      <c r="H977" s="8" t="e">
        <f>E977+F977+G977</f>
        <v>#N/A</v>
      </c>
      <c r="I977" s="4" t="str">
        <f>IF(J977&lt;&gt;"Complete","Not Active",IF(H977&gt;=75,"Good",IF(H977&gt;=50,"Satisfactory",IF(H977&gt;=25,"Need Attention","Intervention"))))</f>
        <v>Not Active</v>
      </c>
      <c r="J977" s="4" t="str">
        <f>IF(COUNTIF(E977:G977,"#N/A")=3,"Not Attempted",IF(OR(ISNA(E977),ISNA(F977),ISNA(G977)),"NotCompleted","Complete"))</f>
        <v>Not Attempted</v>
      </c>
    </row>
    <row r="978" spans="1:10" ht="15" customHeight="1" x14ac:dyDescent="0.3">
      <c r="A978" s="18" t="s">
        <v>7588</v>
      </c>
      <c r="B978" s="20" t="s">
        <v>6561</v>
      </c>
      <c r="C978" s="20" t="s">
        <v>7482</v>
      </c>
      <c r="D978" s="23"/>
      <c r="E978" s="6" t="e">
        <f>LOOKUP(2,1/(MCQ!C:C=B978),MCQ!H:H)</f>
        <v>#N/A</v>
      </c>
      <c r="F978" s="6" t="e">
        <f>LOOKUP(2,1/(Debugging!C:C=B978),Debugging!H:H)</f>
        <v>#N/A</v>
      </c>
      <c r="G978" s="6" t="e">
        <f>LOOKUP(2,1/(Coding!C:C=B978),Coding!H:H)</f>
        <v>#N/A</v>
      </c>
      <c r="H978" s="8" t="e">
        <f>E978+F978+G978</f>
        <v>#N/A</v>
      </c>
      <c r="I978" s="4" t="str">
        <f>IF(J978&lt;&gt;"Complete","Not Active",IF(H978&gt;=75,"Good",IF(H978&gt;=50,"Satisfactory",IF(H978&gt;=25,"Need Attention","Intervention"))))</f>
        <v>Not Active</v>
      </c>
      <c r="J978" s="4" t="str">
        <f>IF(COUNTIF(E978:G978,"#N/A")=3,"Not Attempted",IF(OR(ISNA(E978),ISNA(F978),ISNA(G978)),"NotCompleted","Complete"))</f>
        <v>Not Attempted</v>
      </c>
    </row>
    <row r="979" spans="1:10" ht="15" customHeight="1" x14ac:dyDescent="0.3">
      <c r="A979" s="18" t="s">
        <v>7588</v>
      </c>
      <c r="B979" s="20" t="s">
        <v>6562</v>
      </c>
      <c r="C979" s="20" t="s">
        <v>7483</v>
      </c>
      <c r="D979" s="23"/>
      <c r="E979" s="6" t="e">
        <f>LOOKUP(2,1/(MCQ!C:C=B979),MCQ!H:H)</f>
        <v>#N/A</v>
      </c>
      <c r="F979" s="6" t="e">
        <f>LOOKUP(2,1/(Debugging!C:C=B979),Debugging!H:H)</f>
        <v>#N/A</v>
      </c>
      <c r="G979" s="6" t="e">
        <f>LOOKUP(2,1/(Coding!C:C=B979),Coding!H:H)</f>
        <v>#N/A</v>
      </c>
      <c r="H979" s="8" t="e">
        <f>E979+F979+G979</f>
        <v>#N/A</v>
      </c>
      <c r="I979" s="4" t="str">
        <f>IF(J979&lt;&gt;"Complete","Not Active",IF(H979&gt;=75,"Good",IF(H979&gt;=50,"Satisfactory",IF(H979&gt;=25,"Need Attention","Intervention"))))</f>
        <v>Not Active</v>
      </c>
      <c r="J979" s="4" t="str">
        <f>IF(COUNTIF(E979:G979,"#N/A")=3,"Not Attempted",IF(OR(ISNA(E979),ISNA(F979),ISNA(G979)),"NotCompleted","Complete"))</f>
        <v>Not Attempted</v>
      </c>
    </row>
    <row r="980" spans="1:10" ht="15" customHeight="1" x14ac:dyDescent="0.3">
      <c r="A980" s="18" t="s">
        <v>7588</v>
      </c>
      <c r="B980" s="20" t="s">
        <v>6563</v>
      </c>
      <c r="C980" s="20" t="s">
        <v>7484</v>
      </c>
      <c r="D980" s="23"/>
      <c r="E980" s="6" t="e">
        <f>LOOKUP(2,1/(MCQ!C:C=B980),MCQ!H:H)</f>
        <v>#N/A</v>
      </c>
      <c r="F980" s="6" t="e">
        <f>LOOKUP(2,1/(Debugging!C:C=B980),Debugging!H:H)</f>
        <v>#N/A</v>
      </c>
      <c r="G980" s="6" t="e">
        <f>LOOKUP(2,1/(Coding!C:C=B980),Coding!H:H)</f>
        <v>#N/A</v>
      </c>
      <c r="H980" s="8" t="e">
        <f>E980+F980+G980</f>
        <v>#N/A</v>
      </c>
      <c r="I980" s="4" t="str">
        <f>IF(J980&lt;&gt;"Complete","Not Active",IF(H980&gt;=75,"Good",IF(H980&gt;=50,"Satisfactory",IF(H980&gt;=25,"Need Attention","Intervention"))))</f>
        <v>Not Active</v>
      </c>
      <c r="J980" s="4" t="str">
        <f>IF(COUNTIF(E980:G980,"#N/A")=3,"Not Attempted",IF(OR(ISNA(E980),ISNA(F980),ISNA(G980)),"NotCompleted","Complete"))</f>
        <v>Not Attempted</v>
      </c>
    </row>
    <row r="981" spans="1:10" ht="15" customHeight="1" x14ac:dyDescent="0.3">
      <c r="A981" s="18" t="s">
        <v>7588</v>
      </c>
      <c r="B981" s="20" t="s">
        <v>6564</v>
      </c>
      <c r="C981" s="20" t="s">
        <v>7485</v>
      </c>
      <c r="D981" s="23"/>
      <c r="E981" s="6" t="e">
        <f>LOOKUP(2,1/(MCQ!C:C=B981),MCQ!H:H)</f>
        <v>#N/A</v>
      </c>
      <c r="F981" s="6" t="e">
        <f>LOOKUP(2,1/(Debugging!C:C=B981),Debugging!H:H)</f>
        <v>#N/A</v>
      </c>
      <c r="G981" s="6" t="e">
        <f>LOOKUP(2,1/(Coding!C:C=B981),Coding!H:H)</f>
        <v>#N/A</v>
      </c>
      <c r="H981" s="8" t="e">
        <f>E981+F981+G981</f>
        <v>#N/A</v>
      </c>
      <c r="I981" s="4" t="str">
        <f>IF(J981&lt;&gt;"Complete","Not Active",IF(H981&gt;=75,"Good",IF(H981&gt;=50,"Satisfactory",IF(H981&gt;=25,"Need Attention","Intervention"))))</f>
        <v>Not Active</v>
      </c>
      <c r="J981" s="4" t="str">
        <f>IF(COUNTIF(E981:G981,"#N/A")=3,"Not Attempted",IF(OR(ISNA(E981),ISNA(F981),ISNA(G981)),"NotCompleted","Complete"))</f>
        <v>Not Attempted</v>
      </c>
    </row>
    <row r="982" spans="1:10" ht="15" customHeight="1" x14ac:dyDescent="0.3">
      <c r="A982" s="18" t="s">
        <v>7588</v>
      </c>
      <c r="B982" s="20" t="s">
        <v>6565</v>
      </c>
      <c r="C982" s="20" t="s">
        <v>7486</v>
      </c>
      <c r="D982" s="23"/>
      <c r="E982" s="6" t="e">
        <f>LOOKUP(2,1/(MCQ!C:C=B982),MCQ!H:H)</f>
        <v>#N/A</v>
      </c>
      <c r="F982" s="6" t="e">
        <f>LOOKUP(2,1/(Debugging!C:C=B982),Debugging!H:H)</f>
        <v>#N/A</v>
      </c>
      <c r="G982" s="6" t="e">
        <f>LOOKUP(2,1/(Coding!C:C=B982),Coding!H:H)</f>
        <v>#N/A</v>
      </c>
      <c r="H982" s="8" t="e">
        <f>E982+F982+G982</f>
        <v>#N/A</v>
      </c>
      <c r="I982" s="4" t="str">
        <f>IF(J982&lt;&gt;"Complete","Not Active",IF(H982&gt;=75,"Good",IF(H982&gt;=50,"Satisfactory",IF(H982&gt;=25,"Need Attention","Intervention"))))</f>
        <v>Not Active</v>
      </c>
      <c r="J982" s="4" t="str">
        <f>IF(COUNTIF(E982:G982,"#N/A")=3,"Not Attempted",IF(OR(ISNA(E982),ISNA(F982),ISNA(G982)),"NotCompleted","Complete"))</f>
        <v>Not Attempted</v>
      </c>
    </row>
    <row r="983" spans="1:10" ht="15" customHeight="1" x14ac:dyDescent="0.3">
      <c r="A983" s="18" t="s">
        <v>7588</v>
      </c>
      <c r="B983" s="20" t="s">
        <v>6566</v>
      </c>
      <c r="C983" s="20" t="s">
        <v>7487</v>
      </c>
      <c r="D983" s="23"/>
      <c r="E983" s="6" t="e">
        <f>LOOKUP(2,1/(MCQ!C:C=B983),MCQ!H:H)</f>
        <v>#N/A</v>
      </c>
      <c r="F983" s="6" t="e">
        <f>LOOKUP(2,1/(Debugging!C:C=B983),Debugging!H:H)</f>
        <v>#N/A</v>
      </c>
      <c r="G983" s="6" t="e">
        <f>LOOKUP(2,1/(Coding!C:C=B983),Coding!H:H)</f>
        <v>#N/A</v>
      </c>
      <c r="H983" s="8" t="e">
        <f>E983+F983+G983</f>
        <v>#N/A</v>
      </c>
      <c r="I983" s="4" t="str">
        <f>IF(J983&lt;&gt;"Complete","Not Active",IF(H983&gt;=75,"Good",IF(H983&gt;=50,"Satisfactory",IF(H983&gt;=25,"Need Attention","Intervention"))))</f>
        <v>Not Active</v>
      </c>
      <c r="J983" s="4" t="str">
        <f>IF(COUNTIF(E983:G983,"#N/A")=3,"Not Attempted",IF(OR(ISNA(E983),ISNA(F983),ISNA(G983)),"NotCompleted","Complete"))</f>
        <v>Not Attempted</v>
      </c>
    </row>
    <row r="984" spans="1:10" ht="15" customHeight="1" x14ac:dyDescent="0.3">
      <c r="A984" s="18" t="s">
        <v>7588</v>
      </c>
      <c r="B984" s="20" t="s">
        <v>6567</v>
      </c>
      <c r="C984" s="20" t="s">
        <v>7488</v>
      </c>
      <c r="D984" s="23"/>
      <c r="E984" s="6" t="e">
        <f>LOOKUP(2,1/(MCQ!C:C=B984),MCQ!H:H)</f>
        <v>#N/A</v>
      </c>
      <c r="F984" s="6" t="e">
        <f>LOOKUP(2,1/(Debugging!C:C=B984),Debugging!H:H)</f>
        <v>#N/A</v>
      </c>
      <c r="G984" s="6" t="e">
        <f>LOOKUP(2,1/(Coding!C:C=B984),Coding!H:H)</f>
        <v>#N/A</v>
      </c>
      <c r="H984" s="8" t="e">
        <f>E984+F984+G984</f>
        <v>#N/A</v>
      </c>
      <c r="I984" s="4" t="str">
        <f>IF(J984&lt;&gt;"Complete","Not Active",IF(H984&gt;=75,"Good",IF(H984&gt;=50,"Satisfactory",IF(H984&gt;=25,"Need Attention","Intervention"))))</f>
        <v>Not Active</v>
      </c>
      <c r="J984" s="4" t="str">
        <f>IF(COUNTIF(E984:G984,"#N/A")=3,"Not Attempted",IF(OR(ISNA(E984),ISNA(F984),ISNA(G984)),"NotCompleted","Complete"))</f>
        <v>Not Attempted</v>
      </c>
    </row>
    <row r="985" spans="1:10" ht="15" customHeight="1" x14ac:dyDescent="0.3">
      <c r="A985" s="18" t="s">
        <v>7588</v>
      </c>
      <c r="B985" s="20" t="s">
        <v>6568</v>
      </c>
      <c r="C985" s="20" t="s">
        <v>7489</v>
      </c>
      <c r="D985" s="23"/>
      <c r="E985" s="6" t="e">
        <f>LOOKUP(2,1/(MCQ!C:C=B985),MCQ!H:H)</f>
        <v>#N/A</v>
      </c>
      <c r="F985" s="6" t="e">
        <f>LOOKUP(2,1/(Debugging!C:C=B985),Debugging!H:H)</f>
        <v>#N/A</v>
      </c>
      <c r="G985" s="6" t="e">
        <f>LOOKUP(2,1/(Coding!C:C=B985),Coding!H:H)</f>
        <v>#N/A</v>
      </c>
      <c r="H985" s="8" t="e">
        <f>E985+F985+G985</f>
        <v>#N/A</v>
      </c>
      <c r="I985" s="4" t="str">
        <f>IF(J985&lt;&gt;"Complete","Not Active",IF(H985&gt;=75,"Good",IF(H985&gt;=50,"Satisfactory",IF(H985&gt;=25,"Need Attention","Intervention"))))</f>
        <v>Not Active</v>
      </c>
      <c r="J985" s="4" t="str">
        <f>IF(COUNTIF(E985:G985,"#N/A")=3,"Not Attempted",IF(OR(ISNA(E985),ISNA(F985),ISNA(G985)),"NotCompleted","Complete"))</f>
        <v>Not Attempted</v>
      </c>
    </row>
    <row r="986" spans="1:10" ht="15" customHeight="1" x14ac:dyDescent="0.3">
      <c r="A986" s="18" t="s">
        <v>7588</v>
      </c>
      <c r="B986" s="20" t="s">
        <v>6569</v>
      </c>
      <c r="C986" s="20" t="s">
        <v>7490</v>
      </c>
      <c r="D986" s="23"/>
      <c r="E986" s="6" t="e">
        <f>LOOKUP(2,1/(MCQ!C:C=B986),MCQ!H:H)</f>
        <v>#N/A</v>
      </c>
      <c r="F986" s="6" t="e">
        <f>LOOKUP(2,1/(Debugging!C:C=B986),Debugging!H:H)</f>
        <v>#N/A</v>
      </c>
      <c r="G986" s="6" t="e">
        <f>LOOKUP(2,1/(Coding!C:C=B986),Coding!H:H)</f>
        <v>#N/A</v>
      </c>
      <c r="H986" s="8" t="e">
        <f>E986+F986+G986</f>
        <v>#N/A</v>
      </c>
      <c r="I986" s="4" t="str">
        <f>IF(J986&lt;&gt;"Complete","Not Active",IF(H986&gt;=75,"Good",IF(H986&gt;=50,"Satisfactory",IF(H986&gt;=25,"Need Attention","Intervention"))))</f>
        <v>Not Active</v>
      </c>
      <c r="J986" s="4" t="str">
        <f>IF(COUNTIF(E986:G986,"#N/A")=3,"Not Attempted",IF(OR(ISNA(E986),ISNA(F986),ISNA(G986)),"NotCompleted","Complete"))</f>
        <v>Not Attempted</v>
      </c>
    </row>
    <row r="987" spans="1:10" ht="15" customHeight="1" x14ac:dyDescent="0.3">
      <c r="A987" s="18" t="s">
        <v>7588</v>
      </c>
      <c r="B987" s="20" t="s">
        <v>6570</v>
      </c>
      <c r="C987" s="20" t="s">
        <v>7491</v>
      </c>
      <c r="D987" s="23"/>
      <c r="E987" s="6" t="e">
        <f>LOOKUP(2,1/(MCQ!C:C=B987),MCQ!H:H)</f>
        <v>#N/A</v>
      </c>
      <c r="F987" s="6" t="e">
        <f>LOOKUP(2,1/(Debugging!C:C=B987),Debugging!H:H)</f>
        <v>#N/A</v>
      </c>
      <c r="G987" s="6" t="e">
        <f>LOOKUP(2,1/(Coding!C:C=B987),Coding!H:H)</f>
        <v>#N/A</v>
      </c>
      <c r="H987" s="8" t="e">
        <f>E987+F987+G987</f>
        <v>#N/A</v>
      </c>
      <c r="I987" s="4" t="str">
        <f>IF(J987&lt;&gt;"Complete","Not Active",IF(H987&gt;=75,"Good",IF(H987&gt;=50,"Satisfactory",IF(H987&gt;=25,"Need Attention","Intervention"))))</f>
        <v>Not Active</v>
      </c>
      <c r="J987" s="4" t="str">
        <f>IF(COUNTIF(E987:G987,"#N/A")=3,"Not Attempted",IF(OR(ISNA(E987),ISNA(F987),ISNA(G987)),"NotCompleted","Complete"))</f>
        <v>Not Attempted</v>
      </c>
    </row>
    <row r="988" spans="1:10" ht="15" customHeight="1" x14ac:dyDescent="0.3">
      <c r="A988" s="18" t="s">
        <v>7588</v>
      </c>
      <c r="B988" s="20" t="s">
        <v>6571</v>
      </c>
      <c r="C988" s="20" t="s">
        <v>7492</v>
      </c>
      <c r="D988" s="23"/>
      <c r="E988" s="6" t="e">
        <f>LOOKUP(2,1/(MCQ!C:C=B988),MCQ!H:H)</f>
        <v>#N/A</v>
      </c>
      <c r="F988" s="6" t="e">
        <f>LOOKUP(2,1/(Debugging!C:C=B988),Debugging!H:H)</f>
        <v>#N/A</v>
      </c>
      <c r="G988" s="6" t="e">
        <f>LOOKUP(2,1/(Coding!C:C=B988),Coding!H:H)</f>
        <v>#N/A</v>
      </c>
      <c r="H988" s="8" t="e">
        <f>E988+F988+G988</f>
        <v>#N/A</v>
      </c>
      <c r="I988" s="4" t="str">
        <f>IF(J988&lt;&gt;"Complete","Not Active",IF(H988&gt;=75,"Good",IF(H988&gt;=50,"Satisfactory",IF(H988&gt;=25,"Need Attention","Intervention"))))</f>
        <v>Not Active</v>
      </c>
      <c r="J988" s="4" t="str">
        <f>IF(COUNTIF(E988:G988,"#N/A")=3,"Not Attempted",IF(OR(ISNA(E988),ISNA(F988),ISNA(G988)),"NotCompleted","Complete"))</f>
        <v>Not Attempted</v>
      </c>
    </row>
    <row r="989" spans="1:10" ht="15" customHeight="1" x14ac:dyDescent="0.3">
      <c r="A989" s="18" t="s">
        <v>7588</v>
      </c>
      <c r="B989" s="20" t="s">
        <v>6587</v>
      </c>
      <c r="C989" s="20" t="s">
        <v>7562</v>
      </c>
      <c r="D989" s="23"/>
      <c r="E989" s="6" t="e">
        <f>LOOKUP(2,1/(MCQ!C:C=B989),MCQ!H:H)</f>
        <v>#N/A</v>
      </c>
      <c r="F989" s="6" t="e">
        <f>LOOKUP(2,1/(Debugging!C:C=B989),Debugging!H:H)</f>
        <v>#N/A</v>
      </c>
      <c r="G989" s="6" t="e">
        <f>LOOKUP(2,1/(Coding!C:C=B989),Coding!H:H)</f>
        <v>#N/A</v>
      </c>
      <c r="H989" s="8" t="e">
        <f>E989+F989+G989</f>
        <v>#N/A</v>
      </c>
      <c r="I989" s="4" t="str">
        <f>IF(J989&lt;&gt;"Complete","Not Active",IF(H989&gt;=75,"Good",IF(H989&gt;=50,"Satisfactory",IF(H989&gt;=25,"Need Attention","Intervention"))))</f>
        <v>Not Active</v>
      </c>
      <c r="J989" s="4" t="str">
        <f>IF(COUNTIF(E989:G989,"#N/A")=3,"Not Attempted",IF(OR(ISNA(E989),ISNA(F989),ISNA(G989)),"NotCompleted","Complete"))</f>
        <v>Not Attempted</v>
      </c>
    </row>
    <row r="990" spans="1:10" ht="15" customHeight="1" x14ac:dyDescent="0.3">
      <c r="A990" s="18" t="s">
        <v>7588</v>
      </c>
      <c r="B990" s="20" t="s">
        <v>6588</v>
      </c>
      <c r="C990" s="20" t="s">
        <v>7563</v>
      </c>
      <c r="D990" s="23"/>
      <c r="E990" s="6" t="e">
        <f>LOOKUP(2,1/(MCQ!C:C=B990),MCQ!H:H)</f>
        <v>#N/A</v>
      </c>
      <c r="F990" s="6" t="e">
        <f>LOOKUP(2,1/(Debugging!C:C=B990),Debugging!H:H)</f>
        <v>#N/A</v>
      </c>
      <c r="G990" s="6" t="e">
        <f>LOOKUP(2,1/(Coding!C:C=B990),Coding!H:H)</f>
        <v>#N/A</v>
      </c>
      <c r="H990" s="8" t="e">
        <f>E990+F990+G990</f>
        <v>#N/A</v>
      </c>
      <c r="I990" s="4" t="str">
        <f>IF(J990&lt;&gt;"Complete","Not Active",IF(H990&gt;=75,"Good",IF(H990&gt;=50,"Satisfactory",IF(H990&gt;=25,"Need Attention","Intervention"))))</f>
        <v>Not Active</v>
      </c>
      <c r="J990" s="4" t="str">
        <f>IF(COUNTIF(E990:G990,"#N/A")=3,"Not Attempted",IF(OR(ISNA(E990),ISNA(F990),ISNA(G990)),"NotCompleted","Complete"))</f>
        <v>Not Attempted</v>
      </c>
    </row>
    <row r="991" spans="1:10" ht="15" customHeight="1" x14ac:dyDescent="0.3">
      <c r="A991" s="18" t="s">
        <v>7588</v>
      </c>
      <c r="B991" s="20" t="s">
        <v>6589</v>
      </c>
      <c r="C991" s="20" t="s">
        <v>7564</v>
      </c>
      <c r="D991" s="23"/>
      <c r="E991" s="6" t="e">
        <f>LOOKUP(2,1/(MCQ!C:C=B991),MCQ!H:H)</f>
        <v>#N/A</v>
      </c>
      <c r="F991" s="6" t="e">
        <f>LOOKUP(2,1/(Debugging!C:C=B991),Debugging!H:H)</f>
        <v>#N/A</v>
      </c>
      <c r="G991" s="6" t="e">
        <f>LOOKUP(2,1/(Coding!C:C=B991),Coding!H:H)</f>
        <v>#N/A</v>
      </c>
      <c r="H991" s="8" t="e">
        <f>E991+F991+G991</f>
        <v>#N/A</v>
      </c>
      <c r="I991" s="4" t="str">
        <f>IF(J991&lt;&gt;"Complete","Not Active",IF(H991&gt;=75,"Good",IF(H991&gt;=50,"Satisfactory",IF(H991&gt;=25,"Need Attention","Intervention"))))</f>
        <v>Not Active</v>
      </c>
      <c r="J991" s="4" t="str">
        <f>IF(COUNTIF(E991:G991,"#N/A")=3,"Not Attempted",IF(OR(ISNA(E991),ISNA(F991),ISNA(G991)),"NotCompleted","Complete"))</f>
        <v>Not Attempted</v>
      </c>
    </row>
    <row r="992" spans="1:10" ht="15" customHeight="1" x14ac:dyDescent="0.3">
      <c r="A992" s="18" t="s">
        <v>7588</v>
      </c>
      <c r="B992" s="20" t="s">
        <v>6590</v>
      </c>
      <c r="C992" s="20" t="s">
        <v>7565</v>
      </c>
      <c r="D992" s="23"/>
      <c r="E992" s="6" t="e">
        <f>LOOKUP(2,1/(MCQ!C:C=B992),MCQ!H:H)</f>
        <v>#N/A</v>
      </c>
      <c r="F992" s="6" t="e">
        <f>LOOKUP(2,1/(Debugging!C:C=B992),Debugging!H:H)</f>
        <v>#N/A</v>
      </c>
      <c r="G992" s="6" t="e">
        <f>LOOKUP(2,1/(Coding!C:C=B992),Coding!H:H)</f>
        <v>#N/A</v>
      </c>
      <c r="H992" s="8" t="e">
        <f>E992+F992+G992</f>
        <v>#N/A</v>
      </c>
      <c r="I992" s="4" t="str">
        <f>IF(J992&lt;&gt;"Complete","Not Active",IF(H992&gt;=75,"Good",IF(H992&gt;=50,"Satisfactory",IF(H992&gt;=25,"Need Attention","Intervention"))))</f>
        <v>Not Active</v>
      </c>
      <c r="J992" s="4" t="str">
        <f>IF(COUNTIF(E992:G992,"#N/A")=3,"Not Attempted",IF(OR(ISNA(E992),ISNA(F992),ISNA(G992)),"NotCompleted","Complete"))</f>
        <v>Not Attempted</v>
      </c>
    </row>
    <row r="993" spans="1:10" ht="15" customHeight="1" x14ac:dyDescent="0.3">
      <c r="A993" s="18" t="s">
        <v>7588</v>
      </c>
      <c r="B993" s="20" t="s">
        <v>6591</v>
      </c>
      <c r="C993" s="20" t="s">
        <v>7566</v>
      </c>
      <c r="D993" s="23"/>
      <c r="E993" s="6" t="e">
        <f>LOOKUP(2,1/(MCQ!C:C=B993),MCQ!H:H)</f>
        <v>#N/A</v>
      </c>
      <c r="F993" s="6" t="e">
        <f>LOOKUP(2,1/(Debugging!C:C=B993),Debugging!H:H)</f>
        <v>#N/A</v>
      </c>
      <c r="G993" s="6" t="e">
        <f>LOOKUP(2,1/(Coding!C:C=B993),Coding!H:H)</f>
        <v>#N/A</v>
      </c>
      <c r="H993" s="8" t="e">
        <f>E993+F993+G993</f>
        <v>#N/A</v>
      </c>
      <c r="I993" s="4" t="str">
        <f>IF(J993&lt;&gt;"Complete","Not Active",IF(H993&gt;=75,"Good",IF(H993&gt;=50,"Satisfactory",IF(H993&gt;=25,"Need Attention","Intervention"))))</f>
        <v>Not Active</v>
      </c>
      <c r="J993" s="4" t="str">
        <f>IF(COUNTIF(E993:G993,"#N/A")=3,"Not Attempted",IF(OR(ISNA(E993),ISNA(F993),ISNA(G993)),"NotCompleted","Complete"))</f>
        <v>Not Attempted</v>
      </c>
    </row>
    <row r="994" spans="1:10" ht="15" customHeight="1" x14ac:dyDescent="0.3">
      <c r="A994" s="18" t="s">
        <v>7588</v>
      </c>
      <c r="B994" s="20" t="s">
        <v>6592</v>
      </c>
      <c r="C994" s="20" t="s">
        <v>7567</v>
      </c>
      <c r="D994" s="23"/>
      <c r="E994" s="6" t="e">
        <f>LOOKUP(2,1/(MCQ!C:C=B994),MCQ!H:H)</f>
        <v>#N/A</v>
      </c>
      <c r="F994" s="6" t="e">
        <f>LOOKUP(2,1/(Debugging!C:C=B994),Debugging!H:H)</f>
        <v>#N/A</v>
      </c>
      <c r="G994" s="6" t="e">
        <f>LOOKUP(2,1/(Coding!C:C=B994),Coding!H:H)</f>
        <v>#N/A</v>
      </c>
      <c r="H994" s="8" t="e">
        <f>E994+F994+G994</f>
        <v>#N/A</v>
      </c>
      <c r="I994" s="4" t="str">
        <f>IF(J994&lt;&gt;"Complete","Not Active",IF(H994&gt;=75,"Good",IF(H994&gt;=50,"Satisfactory",IF(H994&gt;=25,"Need Attention","Intervention"))))</f>
        <v>Not Active</v>
      </c>
      <c r="J994" s="4" t="str">
        <f>IF(COUNTIF(E994:G994,"#N/A")=3,"Not Attempted",IF(OR(ISNA(E994),ISNA(F994),ISNA(G994)),"NotCompleted","Complete"))</f>
        <v>Not Attempted</v>
      </c>
    </row>
    <row r="995" spans="1:10" ht="15" customHeight="1" x14ac:dyDescent="0.3">
      <c r="A995" s="18" t="s">
        <v>7588</v>
      </c>
      <c r="B995" s="20" t="s">
        <v>1369</v>
      </c>
      <c r="C995" s="20" t="s">
        <v>7568</v>
      </c>
      <c r="D995" s="23"/>
      <c r="E995" s="6" t="str">
        <f>LOOKUP(2,1/(MCQ!C:C=B995),MCQ!H:H)</f>
        <v>22.00</v>
      </c>
      <c r="F995" s="6" t="e">
        <f>LOOKUP(2,1/(Debugging!C:C=B995),Debugging!H:H)</f>
        <v>#N/A</v>
      </c>
      <c r="G995" s="6" t="e">
        <f>LOOKUP(2,1/(Coding!C:C=B995),Coding!H:H)</f>
        <v>#N/A</v>
      </c>
      <c r="H995" s="8" t="e">
        <f>E995+F995+G995</f>
        <v>#N/A</v>
      </c>
      <c r="I995" s="4" t="str">
        <f>IF(J995&lt;&gt;"Complete","Not Active",IF(H995&gt;=75,"Good",IF(H995&gt;=50,"Satisfactory",IF(H995&gt;=25,"Need Attention","Intervention"))))</f>
        <v>Not Active</v>
      </c>
      <c r="J995" s="4" t="str">
        <f>IF(COUNTIF(E995:G995,"#N/A")=3,"Not Attempted",IF(OR(ISNA(E995),ISNA(F995),ISNA(G995)),"NotCompleted","Complete"))</f>
        <v>NotCompleted</v>
      </c>
    </row>
    <row r="996" spans="1:10" ht="15" customHeight="1" x14ac:dyDescent="0.3">
      <c r="A996" s="18" t="s">
        <v>7588</v>
      </c>
      <c r="B996" s="20" t="s">
        <v>6593</v>
      </c>
      <c r="C996" s="20" t="s">
        <v>700</v>
      </c>
      <c r="D996" s="23"/>
      <c r="E996" s="6" t="e">
        <f>LOOKUP(2,1/(MCQ!C:C=B996),MCQ!H:H)</f>
        <v>#N/A</v>
      </c>
      <c r="F996" s="6" t="e">
        <f>LOOKUP(2,1/(Debugging!C:C=B996),Debugging!H:H)</f>
        <v>#N/A</v>
      </c>
      <c r="G996" s="6" t="e">
        <f>LOOKUP(2,1/(Coding!C:C=B996),Coding!H:H)</f>
        <v>#N/A</v>
      </c>
      <c r="H996" s="8" t="e">
        <f>E996+F996+G996</f>
        <v>#N/A</v>
      </c>
      <c r="I996" s="4" t="str">
        <f>IF(J996&lt;&gt;"Complete","Not Active",IF(H996&gt;=75,"Good",IF(H996&gt;=50,"Satisfactory",IF(H996&gt;=25,"Need Attention","Intervention"))))</f>
        <v>Not Active</v>
      </c>
      <c r="J996" s="4" t="str">
        <f>IF(COUNTIF(E996:G996,"#N/A")=3,"Not Attempted",IF(OR(ISNA(E996),ISNA(F996),ISNA(G996)),"NotCompleted","Complete"))</f>
        <v>Not Attempted</v>
      </c>
    </row>
    <row r="997" spans="1:10" ht="15" customHeight="1" x14ac:dyDescent="0.3">
      <c r="A997" s="18" t="s">
        <v>7588</v>
      </c>
      <c r="B997" s="20" t="s">
        <v>6594</v>
      </c>
      <c r="C997" s="20" t="s">
        <v>7569</v>
      </c>
      <c r="D997" s="23"/>
      <c r="E997" s="6" t="e">
        <f>LOOKUP(2,1/(MCQ!C:C=B997),MCQ!H:H)</f>
        <v>#N/A</v>
      </c>
      <c r="F997" s="6" t="e">
        <f>LOOKUP(2,1/(Debugging!C:C=B997),Debugging!H:H)</f>
        <v>#N/A</v>
      </c>
      <c r="G997" s="6" t="e">
        <f>LOOKUP(2,1/(Coding!C:C=B997),Coding!H:H)</f>
        <v>#N/A</v>
      </c>
      <c r="H997" s="8" t="e">
        <f>E997+F997+G997</f>
        <v>#N/A</v>
      </c>
      <c r="I997" s="4" t="str">
        <f>IF(J997&lt;&gt;"Complete","Not Active",IF(H997&gt;=75,"Good",IF(H997&gt;=50,"Satisfactory",IF(H997&gt;=25,"Need Attention","Intervention"))))</f>
        <v>Not Active</v>
      </c>
      <c r="J997" s="4" t="str">
        <f>IF(COUNTIF(E997:G997,"#N/A")=3,"Not Attempted",IF(OR(ISNA(E997),ISNA(F997),ISNA(G997)),"NotCompleted","Complete"))</f>
        <v>Not Attempted</v>
      </c>
    </row>
    <row r="998" spans="1:10" ht="15" customHeight="1" x14ac:dyDescent="0.3">
      <c r="A998" s="18" t="s">
        <v>7588</v>
      </c>
      <c r="B998" s="20" t="s">
        <v>6595</v>
      </c>
      <c r="C998" s="20" t="s">
        <v>7570</v>
      </c>
      <c r="D998" s="23"/>
      <c r="E998" s="6" t="e">
        <f>LOOKUP(2,1/(MCQ!C:C=B998),MCQ!H:H)</f>
        <v>#N/A</v>
      </c>
      <c r="F998" s="6" t="e">
        <f>LOOKUP(2,1/(Debugging!C:C=B998),Debugging!H:H)</f>
        <v>#N/A</v>
      </c>
      <c r="G998" s="6" t="e">
        <f>LOOKUP(2,1/(Coding!C:C=B998),Coding!H:H)</f>
        <v>#N/A</v>
      </c>
      <c r="H998" s="8" t="e">
        <f>E998+F998+G998</f>
        <v>#N/A</v>
      </c>
      <c r="I998" s="4" t="str">
        <f>IF(J998&lt;&gt;"Complete","Not Active",IF(H998&gt;=75,"Good",IF(H998&gt;=50,"Satisfactory",IF(H998&gt;=25,"Need Attention","Intervention"))))</f>
        <v>Not Active</v>
      </c>
      <c r="J998" s="4" t="str">
        <f>IF(COUNTIF(E998:G998,"#N/A")=3,"Not Attempted",IF(OR(ISNA(E998),ISNA(F998),ISNA(G998)),"NotCompleted","Complete"))</f>
        <v>Not Attempted</v>
      </c>
    </row>
    <row r="999" spans="1:10" ht="15" customHeight="1" x14ac:dyDescent="0.3">
      <c r="A999" s="18" t="s">
        <v>7588</v>
      </c>
      <c r="B999" s="20" t="s">
        <v>6596</v>
      </c>
      <c r="C999" s="20" t="s">
        <v>7571</v>
      </c>
      <c r="D999" s="23"/>
      <c r="E999" s="6" t="e">
        <f>LOOKUP(2,1/(MCQ!C:C=B999),MCQ!H:H)</f>
        <v>#N/A</v>
      </c>
      <c r="F999" s="6" t="e">
        <f>LOOKUP(2,1/(Debugging!C:C=B999),Debugging!H:H)</f>
        <v>#N/A</v>
      </c>
      <c r="G999" s="6" t="e">
        <f>LOOKUP(2,1/(Coding!C:C=B999),Coding!H:H)</f>
        <v>#N/A</v>
      </c>
      <c r="H999" s="8" t="e">
        <f>E999+F999+G999</f>
        <v>#N/A</v>
      </c>
      <c r="I999" s="4" t="str">
        <f>IF(J999&lt;&gt;"Complete","Not Active",IF(H999&gt;=75,"Good",IF(H999&gt;=50,"Satisfactory",IF(H999&gt;=25,"Need Attention","Intervention"))))</f>
        <v>Not Active</v>
      </c>
      <c r="J999" s="4" t="str">
        <f>IF(COUNTIF(E999:G999,"#N/A")=3,"Not Attempted",IF(OR(ISNA(E999),ISNA(F999),ISNA(G999)),"NotCompleted","Complete"))</f>
        <v>Not Attempted</v>
      </c>
    </row>
    <row r="1000" spans="1:10" ht="15" customHeight="1" x14ac:dyDescent="0.3">
      <c r="A1000" s="18" t="s">
        <v>7588</v>
      </c>
      <c r="B1000" s="20" t="s">
        <v>6597</v>
      </c>
      <c r="C1000" s="20" t="s">
        <v>7572</v>
      </c>
      <c r="D1000" s="23"/>
      <c r="E1000" s="6" t="e">
        <f>LOOKUP(2,1/(MCQ!C:C=B1000),MCQ!H:H)</f>
        <v>#N/A</v>
      </c>
      <c r="F1000" s="6" t="e">
        <f>LOOKUP(2,1/(Debugging!C:C=B1000),Debugging!H:H)</f>
        <v>#N/A</v>
      </c>
      <c r="G1000" s="6" t="e">
        <f>LOOKUP(2,1/(Coding!C:C=B1000),Coding!H:H)</f>
        <v>#N/A</v>
      </c>
      <c r="H1000" s="8" t="e">
        <f>E1000+F1000+G1000</f>
        <v>#N/A</v>
      </c>
      <c r="I1000" s="4" t="str">
        <f>IF(J1000&lt;&gt;"Complete","Not Active",IF(H1000&gt;=75,"Good",IF(H1000&gt;=50,"Satisfactory",IF(H1000&gt;=25,"Need Attention","Intervention"))))</f>
        <v>Not Active</v>
      </c>
      <c r="J1000" s="4" t="str">
        <f>IF(COUNTIF(E1000:G1000,"#N/A")=3,"Not Attempted",IF(OR(ISNA(E1000),ISNA(F1000),ISNA(G1000)),"NotCompleted","Complete"))</f>
        <v>Not Attempted</v>
      </c>
    </row>
    <row r="1001" spans="1:10" ht="15" customHeight="1" x14ac:dyDescent="0.3">
      <c r="A1001" s="18" t="s">
        <v>7588</v>
      </c>
      <c r="B1001" s="20" t="s">
        <v>6598</v>
      </c>
      <c r="C1001" s="21" t="s">
        <v>7573</v>
      </c>
      <c r="D1001" s="23"/>
      <c r="E1001" s="6" t="e">
        <f>LOOKUP(2,1/(MCQ!C:C=B1001),MCQ!H:H)</f>
        <v>#N/A</v>
      </c>
      <c r="F1001" s="6" t="e">
        <f>LOOKUP(2,1/(Debugging!C:C=B1001),Debugging!H:H)</f>
        <v>#N/A</v>
      </c>
      <c r="G1001" s="6" t="e">
        <f>LOOKUP(2,1/(Coding!C:C=B1001),Coding!H:H)</f>
        <v>#N/A</v>
      </c>
      <c r="H1001" s="8" t="e">
        <f>E1001+F1001+G1001</f>
        <v>#N/A</v>
      </c>
      <c r="I1001" s="4" t="str">
        <f>IF(J1001&lt;&gt;"Complete","Not Active",IF(H1001&gt;=75,"Good",IF(H1001&gt;=50,"Satisfactory",IF(H1001&gt;=25,"Need Attention","Intervention"))))</f>
        <v>Not Active</v>
      </c>
      <c r="J1001" s="4" t="str">
        <f>IF(COUNTIF(E1001:G1001,"#N/A")=3,"Not Attempted",IF(OR(ISNA(E1001),ISNA(F1001),ISNA(G1001)),"NotCompleted","Complete"))</f>
        <v>Not Attempted</v>
      </c>
    </row>
    <row r="1002" spans="1:10" ht="15" customHeight="1" x14ac:dyDescent="0.3">
      <c r="A1002" s="18" t="s">
        <v>7588</v>
      </c>
      <c r="B1002" s="20" t="s">
        <v>6599</v>
      </c>
      <c r="C1002" s="21" t="s">
        <v>7574</v>
      </c>
      <c r="D1002" s="23"/>
      <c r="E1002" s="6" t="e">
        <f>LOOKUP(2,1/(MCQ!C:C=B1002),MCQ!H:H)</f>
        <v>#N/A</v>
      </c>
      <c r="F1002" s="6" t="e">
        <f>LOOKUP(2,1/(Debugging!C:C=B1002),Debugging!H:H)</f>
        <v>#N/A</v>
      </c>
      <c r="G1002" s="6" t="e">
        <f>LOOKUP(2,1/(Coding!C:C=B1002),Coding!H:H)</f>
        <v>#N/A</v>
      </c>
      <c r="H1002" s="8" t="e">
        <f>E1002+F1002+G1002</f>
        <v>#N/A</v>
      </c>
      <c r="I1002" s="4" t="str">
        <f>IF(J1002&lt;&gt;"Complete","Not Active",IF(H1002&gt;=75,"Good",IF(H1002&gt;=50,"Satisfactory",IF(H1002&gt;=25,"Need Attention","Intervention"))))</f>
        <v>Not Active</v>
      </c>
      <c r="J1002" s="4" t="str">
        <f>IF(COUNTIF(E1002:G1002,"#N/A")=3,"Not Attempted",IF(OR(ISNA(E1002),ISNA(F1002),ISNA(G1002)),"NotCompleted","Complete"))</f>
        <v>Not Attempted</v>
      </c>
    </row>
    <row r="1003" spans="1:10" ht="15" customHeight="1" x14ac:dyDescent="0.3">
      <c r="A1003" s="18" t="s">
        <v>7588</v>
      </c>
      <c r="B1003" s="24" t="s">
        <v>6600</v>
      </c>
      <c r="C1003" s="21" t="s">
        <v>7575</v>
      </c>
      <c r="D1003" s="23"/>
      <c r="E1003" s="6" t="e">
        <f>LOOKUP(2,1/(MCQ!C:C=B1003),MCQ!H:H)</f>
        <v>#N/A</v>
      </c>
      <c r="F1003" s="6" t="e">
        <f>LOOKUP(2,1/(Debugging!C:C=B1003),Debugging!H:H)</f>
        <v>#N/A</v>
      </c>
      <c r="G1003" s="6" t="e">
        <f>LOOKUP(2,1/(Coding!C:C=B1003),Coding!H:H)</f>
        <v>#N/A</v>
      </c>
      <c r="H1003" s="8" t="e">
        <f>E1003+F1003+G1003</f>
        <v>#N/A</v>
      </c>
      <c r="I1003" s="4" t="str">
        <f>IF(J1003&lt;&gt;"Complete","Not Active",IF(H1003&gt;=75,"Good",IF(H1003&gt;=50,"Satisfactory",IF(H1003&gt;=25,"Need Attention","Intervention"))))</f>
        <v>Not Active</v>
      </c>
      <c r="J1003" s="4" t="str">
        <f>IF(COUNTIF(E1003:G1003,"#N/A")=3,"Not Attempted",IF(OR(ISNA(E1003),ISNA(F1003),ISNA(G1003)),"NotCompleted","Complete"))</f>
        <v>Not Attempted</v>
      </c>
    </row>
    <row r="1004" spans="1:10" ht="15" customHeight="1" x14ac:dyDescent="0.3">
      <c r="A1004" s="18" t="s">
        <v>7588</v>
      </c>
      <c r="B1004" s="24" t="s">
        <v>6601</v>
      </c>
      <c r="C1004" s="21" t="s">
        <v>7576</v>
      </c>
      <c r="D1004" s="23"/>
      <c r="E1004" s="6" t="e">
        <f>LOOKUP(2,1/(MCQ!C:C=B1004),MCQ!H:H)</f>
        <v>#N/A</v>
      </c>
      <c r="F1004" s="6" t="e">
        <f>LOOKUP(2,1/(Debugging!C:C=B1004),Debugging!H:H)</f>
        <v>#N/A</v>
      </c>
      <c r="G1004" s="6" t="e">
        <f>LOOKUP(2,1/(Coding!C:C=B1004),Coding!H:H)</f>
        <v>#N/A</v>
      </c>
      <c r="H1004" s="8" t="e">
        <f>E1004+F1004+G1004</f>
        <v>#N/A</v>
      </c>
      <c r="I1004" s="4" t="str">
        <f>IF(J1004&lt;&gt;"Complete","Not Active",IF(H1004&gt;=75,"Good",IF(H1004&gt;=50,"Satisfactory",IF(H1004&gt;=25,"Need Attention","Intervention"))))</f>
        <v>Not Active</v>
      </c>
      <c r="J1004" s="4" t="str">
        <f>IF(COUNTIF(E1004:G1004,"#N/A")=3,"Not Attempted",IF(OR(ISNA(E1004),ISNA(F1004),ISNA(G1004)),"NotCompleted","Complete"))</f>
        <v>Not Attempted</v>
      </c>
    </row>
    <row r="1005" spans="1:10" ht="15" customHeight="1" x14ac:dyDescent="0.3">
      <c r="A1005" s="18" t="s">
        <v>7588</v>
      </c>
      <c r="B1005" s="24" t="s">
        <v>6602</v>
      </c>
      <c r="C1005" s="21" t="s">
        <v>7577</v>
      </c>
      <c r="D1005" s="23"/>
      <c r="E1005" s="6" t="e">
        <f>LOOKUP(2,1/(MCQ!C:C=B1005),MCQ!H:H)</f>
        <v>#N/A</v>
      </c>
      <c r="F1005" s="6" t="e">
        <f>LOOKUP(2,1/(Debugging!C:C=B1005),Debugging!H:H)</f>
        <v>#N/A</v>
      </c>
      <c r="G1005" s="6" t="e">
        <f>LOOKUP(2,1/(Coding!C:C=B1005),Coding!H:H)</f>
        <v>#N/A</v>
      </c>
      <c r="H1005" s="8" t="e">
        <f>E1005+F1005+G1005</f>
        <v>#N/A</v>
      </c>
      <c r="I1005" s="4" t="str">
        <f>IF(J1005&lt;&gt;"Complete","Not Active",IF(H1005&gt;=75,"Good",IF(H1005&gt;=50,"Satisfactory",IF(H1005&gt;=25,"Need Attention","Intervention"))))</f>
        <v>Not Active</v>
      </c>
      <c r="J1005" s="4" t="str">
        <f>IF(COUNTIF(E1005:G1005,"#N/A")=3,"Not Attempted",IF(OR(ISNA(E1005),ISNA(F1005),ISNA(G1005)),"NotCompleted","Complete"))</f>
        <v>Not Attempted</v>
      </c>
    </row>
    <row r="1006" spans="1:10" ht="15" customHeight="1" x14ac:dyDescent="0.3">
      <c r="A1006" s="18" t="s">
        <v>7588</v>
      </c>
      <c r="B1006" s="20" t="s">
        <v>6603</v>
      </c>
      <c r="C1006" s="21" t="s">
        <v>7578</v>
      </c>
      <c r="D1006" s="23"/>
      <c r="E1006" s="6" t="e">
        <f>LOOKUP(2,1/(MCQ!C:C=B1006),MCQ!H:H)</f>
        <v>#N/A</v>
      </c>
      <c r="F1006" s="6" t="e">
        <f>LOOKUP(2,1/(Debugging!C:C=B1006),Debugging!H:H)</f>
        <v>#N/A</v>
      </c>
      <c r="G1006" s="6" t="e">
        <f>LOOKUP(2,1/(Coding!C:C=B1006),Coding!H:H)</f>
        <v>#N/A</v>
      </c>
      <c r="H1006" s="8" t="e">
        <f>E1006+F1006+G1006</f>
        <v>#N/A</v>
      </c>
      <c r="I1006" s="4" t="str">
        <f>IF(J1006&lt;&gt;"Complete","Not Active",IF(H1006&gt;=75,"Good",IF(H1006&gt;=50,"Satisfactory",IF(H1006&gt;=25,"Need Attention","Intervention"))))</f>
        <v>Not Active</v>
      </c>
      <c r="J1006" s="4" t="str">
        <f>IF(COUNTIF(E1006:G1006,"#N/A")=3,"Not Attempted",IF(OR(ISNA(E1006),ISNA(F1006),ISNA(G1006)),"NotCompleted","Complete"))</f>
        <v>Not Attempted</v>
      </c>
    </row>
    <row r="1007" spans="1:10" ht="15" customHeight="1" x14ac:dyDescent="0.3">
      <c r="A1007" s="18" t="s">
        <v>7588</v>
      </c>
      <c r="B1007" s="20" t="s">
        <v>6604</v>
      </c>
      <c r="C1007" s="21" t="s">
        <v>7579</v>
      </c>
      <c r="D1007" s="23"/>
      <c r="E1007" s="6" t="e">
        <f>LOOKUP(2,1/(MCQ!C:C=B1007),MCQ!H:H)</f>
        <v>#N/A</v>
      </c>
      <c r="F1007" s="6" t="e">
        <f>LOOKUP(2,1/(Debugging!C:C=B1007),Debugging!H:H)</f>
        <v>#N/A</v>
      </c>
      <c r="G1007" s="6" t="e">
        <f>LOOKUP(2,1/(Coding!C:C=B1007),Coding!H:H)</f>
        <v>#N/A</v>
      </c>
      <c r="H1007" s="8" t="e">
        <f>E1007+F1007+G1007</f>
        <v>#N/A</v>
      </c>
      <c r="I1007" s="4" t="str">
        <f>IF(J1007&lt;&gt;"Complete","Not Active",IF(H1007&gt;=75,"Good",IF(H1007&gt;=50,"Satisfactory",IF(H1007&gt;=25,"Need Attention","Intervention"))))</f>
        <v>Not Active</v>
      </c>
      <c r="J1007" s="4" t="str">
        <f>IF(COUNTIF(E1007:G1007,"#N/A")=3,"Not Attempted",IF(OR(ISNA(E1007),ISNA(F1007),ISNA(G1007)),"NotCompleted","Complete"))</f>
        <v>Not Attempted</v>
      </c>
    </row>
    <row r="1008" spans="1:10" ht="15" customHeight="1" x14ac:dyDescent="0.3">
      <c r="A1008" s="18" t="s">
        <v>7588</v>
      </c>
      <c r="B1008" s="20" t="s">
        <v>6605</v>
      </c>
      <c r="C1008" s="21" t="s">
        <v>7580</v>
      </c>
      <c r="D1008" s="23"/>
      <c r="E1008" s="6" t="e">
        <f>LOOKUP(2,1/(MCQ!C:C=B1008),MCQ!H:H)</f>
        <v>#N/A</v>
      </c>
      <c r="F1008" s="6" t="e">
        <f>LOOKUP(2,1/(Debugging!C:C=B1008),Debugging!H:H)</f>
        <v>#N/A</v>
      </c>
      <c r="G1008" s="6" t="e">
        <f>LOOKUP(2,1/(Coding!C:C=B1008),Coding!H:H)</f>
        <v>#N/A</v>
      </c>
      <c r="H1008" s="8" t="e">
        <f>E1008+F1008+G1008</f>
        <v>#N/A</v>
      </c>
      <c r="I1008" s="4" t="str">
        <f>IF(J1008&lt;&gt;"Complete","Not Active",IF(H1008&gt;=75,"Good",IF(H1008&gt;=50,"Satisfactory",IF(H1008&gt;=25,"Need Attention","Intervention"))))</f>
        <v>Not Active</v>
      </c>
      <c r="J1008" s="4" t="str">
        <f>IF(COUNTIF(E1008:G1008,"#N/A")=3,"Not Attempted",IF(OR(ISNA(E1008),ISNA(F1008),ISNA(G1008)),"NotCompleted","Complete"))</f>
        <v>Not Attempted</v>
      </c>
    </row>
    <row r="1009" spans="1:10" ht="15" customHeight="1" x14ac:dyDescent="0.3">
      <c r="A1009" s="18" t="s">
        <v>7588</v>
      </c>
      <c r="B1009" s="24" t="s">
        <v>6605</v>
      </c>
      <c r="C1009" s="21" t="s">
        <v>7581</v>
      </c>
      <c r="D1009" s="23"/>
      <c r="E1009" s="6" t="e">
        <f>LOOKUP(2,1/(MCQ!C:C=B1009),MCQ!H:H)</f>
        <v>#N/A</v>
      </c>
      <c r="F1009" s="6" t="e">
        <f>LOOKUP(2,1/(Debugging!C:C=B1009),Debugging!H:H)</f>
        <v>#N/A</v>
      </c>
      <c r="G1009" s="6" t="e">
        <f>LOOKUP(2,1/(Coding!C:C=B1009),Coding!H:H)</f>
        <v>#N/A</v>
      </c>
      <c r="H1009" s="8" t="e">
        <f>E1009+F1009+G1009</f>
        <v>#N/A</v>
      </c>
      <c r="I1009" s="4" t="str">
        <f>IF(J1009&lt;&gt;"Complete","Not Active",IF(H1009&gt;=75,"Good",IF(H1009&gt;=50,"Satisfactory",IF(H1009&gt;=25,"Need Attention","Intervention"))))</f>
        <v>Not Active</v>
      </c>
      <c r="J1009" s="4" t="str">
        <f>IF(COUNTIF(E1009:G1009,"#N/A")=3,"Not Attempted",IF(OR(ISNA(E1009),ISNA(F1009),ISNA(G1009)),"NotCompleted","Complete"))</f>
        <v>Not Attempted</v>
      </c>
    </row>
    <row r="1010" spans="1:10" ht="15" customHeight="1" x14ac:dyDescent="0.3">
      <c r="A1010" s="18" t="s">
        <v>7588</v>
      </c>
      <c r="B1010" s="20" t="s">
        <v>6606</v>
      </c>
      <c r="C1010" s="21" t="s">
        <v>7582</v>
      </c>
      <c r="D1010" s="23"/>
      <c r="E1010" s="6" t="e">
        <f>LOOKUP(2,1/(MCQ!C:C=B1010),MCQ!H:H)</f>
        <v>#N/A</v>
      </c>
      <c r="F1010" s="6" t="e">
        <f>LOOKUP(2,1/(Debugging!C:C=B1010),Debugging!H:H)</f>
        <v>#N/A</v>
      </c>
      <c r="G1010" s="6" t="e">
        <f>LOOKUP(2,1/(Coding!C:C=B1010),Coding!H:H)</f>
        <v>#N/A</v>
      </c>
      <c r="H1010" s="8" t="e">
        <f>E1010+F1010+G1010</f>
        <v>#N/A</v>
      </c>
      <c r="I1010" s="4" t="str">
        <f>IF(J1010&lt;&gt;"Complete","Not Active",IF(H1010&gt;=75,"Good",IF(H1010&gt;=50,"Satisfactory",IF(H1010&gt;=25,"Need Attention","Intervention"))))</f>
        <v>Not Active</v>
      </c>
      <c r="J1010" s="4" t="str">
        <f>IF(COUNTIF(E1010:G1010,"#N/A")=3,"Not Attempted",IF(OR(ISNA(E1010),ISNA(F1010),ISNA(G1010)),"NotCompleted","Complete"))</f>
        <v>Not Attempted</v>
      </c>
    </row>
    <row r="1011" spans="1:10" ht="15" customHeight="1" x14ac:dyDescent="0.3">
      <c r="A1011" s="18" t="s">
        <v>7588</v>
      </c>
      <c r="B1011" s="24" t="s">
        <v>6607</v>
      </c>
      <c r="C1011" s="21" t="s">
        <v>7583</v>
      </c>
      <c r="D1011" s="23"/>
      <c r="E1011" s="6" t="e">
        <f>LOOKUP(2,1/(MCQ!C:C=B1011),MCQ!H:H)</f>
        <v>#N/A</v>
      </c>
      <c r="F1011" s="6" t="e">
        <f>LOOKUP(2,1/(Debugging!C:C=B1011),Debugging!H:H)</f>
        <v>#N/A</v>
      </c>
      <c r="G1011" s="6" t="e">
        <f>LOOKUP(2,1/(Coding!C:C=B1011),Coding!H:H)</f>
        <v>#N/A</v>
      </c>
      <c r="H1011" s="8" t="e">
        <f>E1011+F1011+G1011</f>
        <v>#N/A</v>
      </c>
      <c r="I1011" s="4" t="str">
        <f>IF(J1011&lt;&gt;"Complete","Not Active",IF(H1011&gt;=75,"Good",IF(H1011&gt;=50,"Satisfactory",IF(H1011&gt;=25,"Need Attention","Intervention"))))</f>
        <v>Not Active</v>
      </c>
      <c r="J1011" s="4" t="str">
        <f>IF(COUNTIF(E1011:G1011,"#N/A")=3,"Not Attempted",IF(OR(ISNA(E1011),ISNA(F1011),ISNA(G1011)),"NotCompleted","Complete"))</f>
        <v>Not Attempted</v>
      </c>
    </row>
    <row r="1012" spans="1:10" ht="15" customHeight="1" x14ac:dyDescent="0.3">
      <c r="A1012" s="18" t="s">
        <v>7588</v>
      </c>
      <c r="B1012" s="20" t="s">
        <v>6608</v>
      </c>
      <c r="C1012" s="21" t="s">
        <v>7584</v>
      </c>
      <c r="D1012" s="23"/>
      <c r="E1012" s="6" t="e">
        <f>LOOKUP(2,1/(MCQ!C:C=B1012),MCQ!H:H)</f>
        <v>#N/A</v>
      </c>
      <c r="F1012" s="6" t="e">
        <f>LOOKUP(2,1/(Debugging!C:C=B1012),Debugging!H:H)</f>
        <v>#N/A</v>
      </c>
      <c r="G1012" s="6" t="e">
        <f>LOOKUP(2,1/(Coding!C:C=B1012),Coding!H:H)</f>
        <v>#N/A</v>
      </c>
      <c r="H1012" s="8" t="e">
        <f>E1012+F1012+G1012</f>
        <v>#N/A</v>
      </c>
      <c r="I1012" s="4" t="str">
        <f>IF(J1012&lt;&gt;"Complete","Not Active",IF(H1012&gt;=75,"Good",IF(H1012&gt;=50,"Satisfactory",IF(H1012&gt;=25,"Need Attention","Intervention"))))</f>
        <v>Not Active</v>
      </c>
      <c r="J1012" s="4" t="str">
        <f>IF(COUNTIF(E1012:G1012,"#N/A")=3,"Not Attempted",IF(OR(ISNA(E1012),ISNA(F1012),ISNA(G1012)),"NotCompleted","Complete"))</f>
        <v>Not Attempted</v>
      </c>
    </row>
    <row r="1013" spans="1:10" ht="15" customHeight="1" x14ac:dyDescent="0.3">
      <c r="A1013" s="18" t="s">
        <v>7588</v>
      </c>
      <c r="B1013" s="20" t="s">
        <v>6609</v>
      </c>
      <c r="C1013" s="21" t="s">
        <v>7585</v>
      </c>
      <c r="D1013" s="23"/>
      <c r="E1013" s="6" t="e">
        <f>LOOKUP(2,1/(MCQ!C:C=B1013),MCQ!H:H)</f>
        <v>#N/A</v>
      </c>
      <c r="F1013" s="6" t="e">
        <f>LOOKUP(2,1/(Debugging!C:C=B1013),Debugging!H:H)</f>
        <v>#N/A</v>
      </c>
      <c r="G1013" s="6" t="e">
        <f>LOOKUP(2,1/(Coding!C:C=B1013),Coding!H:H)</f>
        <v>#N/A</v>
      </c>
      <c r="H1013" s="8" t="e">
        <f>E1013+F1013+G1013</f>
        <v>#N/A</v>
      </c>
      <c r="I1013" s="4" t="str">
        <f>IF(J1013&lt;&gt;"Complete","Not Active",IF(H1013&gt;=75,"Good",IF(H1013&gt;=50,"Satisfactory",IF(H1013&gt;=25,"Need Attention","Intervention"))))</f>
        <v>Not Active</v>
      </c>
      <c r="J1013" s="4" t="str">
        <f>IF(COUNTIF(E1013:G1013,"#N/A")=3,"Not Attempted",IF(OR(ISNA(E1013),ISNA(F1013),ISNA(G1013)),"NotCompleted","Complete"))</f>
        <v>Not Attempted</v>
      </c>
    </row>
    <row r="1014" spans="1:10" ht="15" customHeight="1" thickBot="1" x14ac:dyDescent="0.35">
      <c r="B1014" s="19"/>
    </row>
    <row r="1015" spans="1:10" ht="15" customHeight="1" thickBot="1" x14ac:dyDescent="0.35">
      <c r="B1015" s="13"/>
    </row>
    <row r="1016" spans="1:10" ht="15" customHeight="1" thickBot="1" x14ac:dyDescent="0.35">
      <c r="B1016" s="13"/>
    </row>
    <row r="1017" spans="1:10" ht="15" customHeight="1" thickBot="1" x14ac:dyDescent="0.35">
      <c r="B1017" s="13"/>
    </row>
    <row r="1018" spans="1:10" ht="15" customHeight="1" thickBot="1" x14ac:dyDescent="0.35">
      <c r="B1018" s="13"/>
    </row>
    <row r="1019" spans="1:10" ht="15" customHeight="1" thickBot="1" x14ac:dyDescent="0.35">
      <c r="B1019" s="13"/>
    </row>
    <row r="1020" spans="1:10" ht="15" customHeight="1" thickBot="1" x14ac:dyDescent="0.35">
      <c r="B1020" s="13"/>
    </row>
    <row r="1021" spans="1:10" ht="15" customHeight="1" thickBot="1" x14ac:dyDescent="0.35">
      <c r="B1021" s="13"/>
    </row>
    <row r="1022" spans="1:10" ht="15" customHeight="1" thickBot="1" x14ac:dyDescent="0.35">
      <c r="B1022" s="13"/>
    </row>
    <row r="1023" spans="1:10" ht="15" customHeight="1" thickBot="1" x14ac:dyDescent="0.35">
      <c r="B1023" s="13"/>
    </row>
    <row r="1024" spans="1:10" ht="15" customHeight="1" thickBot="1" x14ac:dyDescent="0.35">
      <c r="B1024" s="13"/>
    </row>
    <row r="1025" spans="2:2" ht="15" customHeight="1" thickBot="1" x14ac:dyDescent="0.35">
      <c r="B1025" s="13"/>
    </row>
    <row r="1026" spans="2:2" ht="15" customHeight="1" thickBot="1" x14ac:dyDescent="0.35">
      <c r="B1026" s="13"/>
    </row>
    <row r="1027" spans="2:2" ht="15" customHeight="1" thickBot="1" x14ac:dyDescent="0.35">
      <c r="B1027" s="13"/>
    </row>
    <row r="1028" spans="2:2" ht="15" customHeight="1" thickBot="1" x14ac:dyDescent="0.35">
      <c r="B1028" s="13"/>
    </row>
    <row r="1029" spans="2:2" ht="15" customHeight="1" thickBot="1" x14ac:dyDescent="0.35">
      <c r="B1029" s="13"/>
    </row>
    <row r="1030" spans="2:2" ht="15" customHeight="1" thickBot="1" x14ac:dyDescent="0.35">
      <c r="B1030" s="13"/>
    </row>
    <row r="1031" spans="2:2" ht="15" customHeight="1" thickBot="1" x14ac:dyDescent="0.35">
      <c r="B1031" s="13"/>
    </row>
    <row r="1032" spans="2:2" ht="15" customHeight="1" thickBot="1" x14ac:dyDescent="0.35">
      <c r="B1032" s="13"/>
    </row>
    <row r="1033" spans="2:2" ht="15" customHeight="1" thickBot="1" x14ac:dyDescent="0.35">
      <c r="B1033" s="13"/>
    </row>
    <row r="1034" spans="2:2" ht="15" customHeight="1" thickBot="1" x14ac:dyDescent="0.35">
      <c r="B1034" s="13"/>
    </row>
    <row r="1035" spans="2:2" ht="15" customHeight="1" thickBot="1" x14ac:dyDescent="0.35">
      <c r="B1035" s="13"/>
    </row>
    <row r="1036" spans="2:2" ht="15" customHeight="1" thickBot="1" x14ac:dyDescent="0.35">
      <c r="B1036" s="13"/>
    </row>
    <row r="1037" spans="2:2" ht="15" customHeight="1" thickBot="1" x14ac:dyDescent="0.35">
      <c r="B1037" s="14"/>
    </row>
    <row r="1038" spans="2:2" ht="15" customHeight="1" thickBot="1" x14ac:dyDescent="0.35">
      <c r="B1038" s="14"/>
    </row>
    <row r="1039" spans="2:2" ht="15" customHeight="1" thickBot="1" x14ac:dyDescent="0.35">
      <c r="B1039" s="14"/>
    </row>
    <row r="1040" spans="2:2" ht="15" customHeight="1" thickBot="1" x14ac:dyDescent="0.35">
      <c r="B1040" s="13"/>
    </row>
    <row r="1041" spans="2:2" ht="15" customHeight="1" thickBot="1" x14ac:dyDescent="0.35">
      <c r="B1041" s="13"/>
    </row>
    <row r="1042" spans="2:2" ht="15" customHeight="1" thickBot="1" x14ac:dyDescent="0.35">
      <c r="B1042" s="13"/>
    </row>
    <row r="1043" spans="2:2" ht="15" customHeight="1" thickBot="1" x14ac:dyDescent="0.35">
      <c r="B1043" s="14"/>
    </row>
    <row r="1044" spans="2:2" ht="15" customHeight="1" thickBot="1" x14ac:dyDescent="0.35">
      <c r="B1044" s="13"/>
    </row>
    <row r="1045" spans="2:2" ht="15" customHeight="1" thickBot="1" x14ac:dyDescent="0.35">
      <c r="B1045" s="14"/>
    </row>
    <row r="1046" spans="2:2" ht="15" customHeight="1" thickBot="1" x14ac:dyDescent="0.35">
      <c r="B1046" s="15"/>
    </row>
    <row r="1047" spans="2:2" ht="15" customHeight="1" thickBot="1" x14ac:dyDescent="0.35">
      <c r="B1047" s="15"/>
    </row>
  </sheetData>
  <autoFilter ref="A1:J1013" xr:uid="{5C3350C2-AEB4-4E31-992B-12C88936E490}">
    <sortState ref="A2:J1013">
      <sortCondition ref="A1:A1013"/>
    </sortState>
  </autoFilter>
  <hyperlinks>
    <hyperlink ref="B935" r:id="rId1" display="mailto:2k24me110@kiot.ac.in" xr:uid="{AF64E382-F6B3-4422-972F-6AE68A0C25F0}"/>
    <hyperlink ref="B936" r:id="rId2" display="mailto:2k24me111@kiot.ac.in" xr:uid="{8F6A8ADE-8466-4DD9-ABE1-5B43BC1C18A3}"/>
    <hyperlink ref="B937" r:id="rId3" display="mailto:2k24me112@kiot.ac.in" xr:uid="{85E3B0B0-9B93-4894-B765-B7226FC0B05D}"/>
    <hyperlink ref="B938" r:id="rId4" display="mailto:2k24me113@kiot.ac.in" xr:uid="{94FB0DF0-346E-4BA9-8E27-F41B6E9B9D3F}"/>
    <hyperlink ref="B939" r:id="rId5" display="mailto:2k24me114@kiot.ac.in" xr:uid="{6DD73220-5338-4B63-9DEA-3E2A2983E16E}"/>
    <hyperlink ref="B940" r:id="rId6" display="mailto:2k24me115@kiot.ac.in" xr:uid="{D7CFF9E4-BF10-466D-AE8F-2DDFD243F6A0}"/>
    <hyperlink ref="B941" r:id="rId7" display="mailto:2k24me117@kiot.ac.in" xr:uid="{9B4072AB-E030-4436-921A-E80C4000057C}"/>
    <hyperlink ref="B942" r:id="rId8" display="mailto:2k24me119@kiot.ac.in" xr:uid="{0F1BC902-18E2-40B7-AC20-7114A0A894D1}"/>
    <hyperlink ref="B943" r:id="rId9" display="mailto:2k24me120@kiot.ac.in" xr:uid="{67DF2C16-A5E5-49C5-9F9B-831BD8B60605}"/>
    <hyperlink ref="B944" r:id="rId10" display="mailto:2k24me131@kiot.ac.in" xr:uid="{46AC8FA8-C88F-426E-8A5D-EE3A2BA1F1AE}"/>
    <hyperlink ref="B484" r:id="rId11" display="mailto:2k24cse239@kiot.ac.in" xr:uid="{37358DB9-21E9-4203-8B76-0BC2F213FE30}"/>
    <hyperlink ref="B485" r:id="rId12" display="mailto:2k24cse240@kiot.ac.in" xr:uid="{9A06C126-3792-42C6-8976-3DDEAC9211CF}"/>
    <hyperlink ref="B1003" r:id="rId13" display="mailto:2K24ME121@KIOT.AC.IN" xr:uid="{8C1B707B-44D2-41B3-9C63-7FC0B88FD0E1}"/>
    <hyperlink ref="B1004" r:id="rId14" display="mailto:2K24ME122@KIOT.AC.IN" xr:uid="{98840235-64A7-42F5-AA47-5C8BB0659512}"/>
    <hyperlink ref="B1005" r:id="rId15" display="mailto:2K24ME123@KIOT.AC.IN" xr:uid="{52E33DEB-2706-4FBF-B559-7F8B979E00EA}"/>
    <hyperlink ref="B1009" r:id="rId16" display="mailto:2K24ME126@KIOT.AC.IN" xr:uid="{7C71BD41-207B-479B-AC2B-5FFED8D451BB}"/>
    <hyperlink ref="B1011" r:id="rId17" display="mailto:2K24ME129@KIOT.AC.IN" xr:uid="{F8063EA0-22A7-48CD-A880-DAD1FD403D92}"/>
  </hyperlinks>
  <pageMargins left="0.75" right="0.75" top="1" bottom="1" header="0.511811023622047" footer="0.511811023622047"/>
  <pageSetup paperSize="9" orientation="portrait" horizontalDpi="300" verticalDpi="300"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861"/>
  <sheetViews>
    <sheetView zoomScaleNormal="100" workbookViewId="0">
      <pane ySplit="1" topLeftCell="A2" activePane="bottomLeft" state="frozen"/>
      <selection pane="bottomLeft" activeCell="F10" sqref="F10"/>
    </sheetView>
  </sheetViews>
  <sheetFormatPr defaultColWidth="8.6640625" defaultRowHeight="15" customHeight="1" x14ac:dyDescent="0.3"/>
  <cols>
    <col min="1" max="1" width="12" customWidth="1"/>
    <col min="2" max="2" width="18" customWidth="1"/>
    <col min="3" max="3" width="24" customWidth="1"/>
    <col min="4" max="4" width="13" customWidth="1"/>
    <col min="5" max="6" width="26" customWidth="1"/>
    <col min="7" max="7" width="17" customWidth="1"/>
    <col min="8" max="8" width="13" customWidth="1"/>
    <col min="9" max="17" width="12" customWidth="1"/>
    <col min="18" max="33" width="13" customWidth="1"/>
  </cols>
  <sheetData>
    <row r="1" spans="1:33" ht="14.4" x14ac:dyDescent="0.3">
      <c r="A1" s="11" t="s">
        <v>3</v>
      </c>
      <c r="B1" s="11" t="s">
        <v>2</v>
      </c>
      <c r="C1" s="11" t="s">
        <v>1</v>
      </c>
      <c r="D1" s="11" t="s">
        <v>1378</v>
      </c>
      <c r="E1" s="11" t="s">
        <v>1379</v>
      </c>
      <c r="F1" s="11" t="s">
        <v>1380</v>
      </c>
      <c r="G1" s="11" t="s">
        <v>1381</v>
      </c>
      <c r="H1" s="11" t="s">
        <v>1382</v>
      </c>
      <c r="I1" s="11" t="s">
        <v>1383</v>
      </c>
      <c r="J1" s="11" t="s">
        <v>1384</v>
      </c>
      <c r="K1" s="11" t="s">
        <v>1385</v>
      </c>
      <c r="L1" s="11" t="s">
        <v>1386</v>
      </c>
      <c r="M1" s="11" t="s">
        <v>1387</v>
      </c>
      <c r="N1" s="11" t="s">
        <v>1388</v>
      </c>
      <c r="O1" s="11" t="s">
        <v>1389</v>
      </c>
      <c r="P1" s="11" t="s">
        <v>1390</v>
      </c>
      <c r="Q1" s="11" t="s">
        <v>1391</v>
      </c>
      <c r="R1" s="11" t="s">
        <v>1392</v>
      </c>
      <c r="S1" s="11" t="s">
        <v>1393</v>
      </c>
      <c r="T1" s="11" t="s">
        <v>1394</v>
      </c>
      <c r="U1" s="11" t="s">
        <v>1395</v>
      </c>
      <c r="V1" s="11" t="s">
        <v>1396</v>
      </c>
      <c r="W1" s="11" t="s">
        <v>1397</v>
      </c>
      <c r="X1" s="11" t="s">
        <v>1398</v>
      </c>
      <c r="Y1" s="11" t="s">
        <v>1399</v>
      </c>
      <c r="Z1" s="11" t="s">
        <v>1400</v>
      </c>
      <c r="AA1" s="11" t="s">
        <v>1401</v>
      </c>
      <c r="AB1" s="11" t="s">
        <v>1402</v>
      </c>
      <c r="AC1" s="11" t="s">
        <v>1403</v>
      </c>
      <c r="AD1" s="11" t="s">
        <v>1404</v>
      </c>
      <c r="AE1" s="11" t="s">
        <v>1405</v>
      </c>
      <c r="AF1" s="11" t="s">
        <v>1406</v>
      </c>
      <c r="AG1" s="11" t="s">
        <v>1407</v>
      </c>
    </row>
    <row r="2" spans="1:33" ht="14.4" x14ac:dyDescent="0.3">
      <c r="A2" s="12" t="s">
        <v>55</v>
      </c>
      <c r="B2" s="12" t="s">
        <v>735</v>
      </c>
      <c r="C2" s="12" t="s">
        <v>734</v>
      </c>
      <c r="D2" s="12" t="s">
        <v>1410</v>
      </c>
      <c r="E2" s="12" t="s">
        <v>2962</v>
      </c>
      <c r="F2" s="12" t="s">
        <v>2963</v>
      </c>
      <c r="G2" s="12" t="s">
        <v>2964</v>
      </c>
      <c r="H2" s="12" t="s">
        <v>1438</v>
      </c>
      <c r="I2" s="12" t="s">
        <v>1420</v>
      </c>
      <c r="J2" s="12" t="s">
        <v>1414</v>
      </c>
      <c r="K2" s="12" t="s">
        <v>1420</v>
      </c>
      <c r="L2" s="12" t="s">
        <v>1414</v>
      </c>
      <c r="M2" s="12" t="s">
        <v>1420</v>
      </c>
      <c r="N2" s="12" t="s">
        <v>1414</v>
      </c>
      <c r="O2" s="12" t="s">
        <v>1414</v>
      </c>
      <c r="P2" s="12" t="s">
        <v>1420</v>
      </c>
      <c r="Q2" s="12" t="s">
        <v>1420</v>
      </c>
      <c r="R2" s="12" t="s">
        <v>1420</v>
      </c>
      <c r="S2" s="12" t="s">
        <v>1420</v>
      </c>
      <c r="T2" s="12" t="s">
        <v>1420</v>
      </c>
      <c r="U2" s="12" t="s">
        <v>1420</v>
      </c>
      <c r="V2" s="12" t="s">
        <v>1420</v>
      </c>
      <c r="W2" s="12" t="s">
        <v>1414</v>
      </c>
      <c r="X2" s="12" t="s">
        <v>1420</v>
      </c>
      <c r="Y2" s="12" t="s">
        <v>1420</v>
      </c>
      <c r="Z2" s="12" t="s">
        <v>1420</v>
      </c>
      <c r="AA2" s="12" t="s">
        <v>1420</v>
      </c>
      <c r="AB2" s="12" t="s">
        <v>1420</v>
      </c>
      <c r="AC2" s="12" t="s">
        <v>1420</v>
      </c>
      <c r="AD2" s="12" t="s">
        <v>1414</v>
      </c>
      <c r="AE2" s="12" t="s">
        <v>1420</v>
      </c>
      <c r="AF2" s="12" t="s">
        <v>1420</v>
      </c>
      <c r="AG2" s="12" t="s">
        <v>1420</v>
      </c>
    </row>
    <row r="3" spans="1:33" ht="14.4" x14ac:dyDescent="0.3">
      <c r="A3" s="12" t="s">
        <v>8</v>
      </c>
      <c r="B3" s="12" t="s">
        <v>427</v>
      </c>
      <c r="C3" s="12" t="s">
        <v>426</v>
      </c>
      <c r="D3" s="12" t="s">
        <v>1410</v>
      </c>
      <c r="E3" s="12" t="s">
        <v>1964</v>
      </c>
      <c r="F3" s="12" t="s">
        <v>1965</v>
      </c>
      <c r="G3" s="12" t="s">
        <v>1559</v>
      </c>
      <c r="H3" s="12" t="s">
        <v>1424</v>
      </c>
      <c r="I3" s="12" t="s">
        <v>1420</v>
      </c>
      <c r="J3" s="12" t="s">
        <v>1420</v>
      </c>
      <c r="K3" s="12" t="s">
        <v>1420</v>
      </c>
      <c r="L3" s="12" t="s">
        <v>1420</v>
      </c>
      <c r="M3" s="12" t="s">
        <v>1420</v>
      </c>
      <c r="N3" s="12" t="s">
        <v>1420</v>
      </c>
      <c r="O3" s="12" t="s">
        <v>1414</v>
      </c>
      <c r="P3" s="12" t="s">
        <v>1420</v>
      </c>
      <c r="Q3" s="12" t="s">
        <v>1420</v>
      </c>
      <c r="R3" s="12" t="s">
        <v>1420</v>
      </c>
      <c r="S3" s="12" t="s">
        <v>1420</v>
      </c>
      <c r="T3" s="12" t="s">
        <v>1420</v>
      </c>
      <c r="U3" s="12" t="s">
        <v>1420</v>
      </c>
      <c r="V3" s="12" t="s">
        <v>1420</v>
      </c>
      <c r="W3" s="12" t="s">
        <v>1420</v>
      </c>
      <c r="X3" s="12" t="s">
        <v>1414</v>
      </c>
      <c r="Y3" s="12" t="s">
        <v>1420</v>
      </c>
      <c r="Z3" s="12" t="s">
        <v>1420</v>
      </c>
      <c r="AA3" s="12" t="s">
        <v>1420</v>
      </c>
      <c r="AB3" s="12" t="s">
        <v>1420</v>
      </c>
      <c r="AC3" s="12" t="s">
        <v>1420</v>
      </c>
      <c r="AD3" s="12" t="s">
        <v>1420</v>
      </c>
      <c r="AE3" s="12" t="s">
        <v>1414</v>
      </c>
      <c r="AF3" s="12" t="s">
        <v>1420</v>
      </c>
      <c r="AG3" s="12" t="s">
        <v>1420</v>
      </c>
    </row>
    <row r="4" spans="1:33" ht="14.4" x14ac:dyDescent="0.3">
      <c r="A4" s="12" t="s">
        <v>8</v>
      </c>
      <c r="B4" s="12" t="s">
        <v>7</v>
      </c>
      <c r="C4" s="12" t="s">
        <v>6</v>
      </c>
      <c r="D4" s="12" t="s">
        <v>1410</v>
      </c>
      <c r="E4" s="12" t="s">
        <v>2130</v>
      </c>
      <c r="F4" s="12" t="s">
        <v>2093</v>
      </c>
      <c r="G4" s="12" t="s">
        <v>2136</v>
      </c>
      <c r="H4" s="12" t="s">
        <v>1606</v>
      </c>
      <c r="I4" s="12" t="s">
        <v>1420</v>
      </c>
      <c r="J4" s="12" t="s">
        <v>1414</v>
      </c>
      <c r="K4" s="12" t="s">
        <v>1420</v>
      </c>
      <c r="L4" s="12" t="s">
        <v>1420</v>
      </c>
      <c r="M4" s="12" t="s">
        <v>1420</v>
      </c>
      <c r="N4" s="12" t="s">
        <v>1420</v>
      </c>
      <c r="O4" s="12" t="s">
        <v>1414</v>
      </c>
      <c r="P4" s="12" t="s">
        <v>1414</v>
      </c>
      <c r="Q4" s="12" t="s">
        <v>1420</v>
      </c>
      <c r="R4" s="12" t="s">
        <v>1420</v>
      </c>
      <c r="S4" s="12" t="s">
        <v>1420</v>
      </c>
      <c r="T4" s="12" t="s">
        <v>1414</v>
      </c>
      <c r="U4" s="12" t="s">
        <v>1420</v>
      </c>
      <c r="V4" s="12" t="s">
        <v>1420</v>
      </c>
      <c r="W4" s="12" t="s">
        <v>1414</v>
      </c>
      <c r="X4" s="12" t="s">
        <v>1420</v>
      </c>
      <c r="Y4" s="12" t="s">
        <v>1420</v>
      </c>
      <c r="Z4" s="12" t="s">
        <v>1414</v>
      </c>
      <c r="AA4" s="12" t="s">
        <v>1420</v>
      </c>
      <c r="AB4" s="12" t="s">
        <v>1414</v>
      </c>
      <c r="AC4" s="12" t="s">
        <v>1420</v>
      </c>
      <c r="AD4" s="12" t="s">
        <v>1420</v>
      </c>
      <c r="AE4" s="12" t="s">
        <v>1414</v>
      </c>
      <c r="AF4" s="12" t="s">
        <v>1420</v>
      </c>
      <c r="AG4" s="12" t="s">
        <v>1420</v>
      </c>
    </row>
    <row r="5" spans="1:33" ht="14.4" x14ac:dyDescent="0.3">
      <c r="A5" s="12" t="s">
        <v>8</v>
      </c>
      <c r="B5" s="12" t="s">
        <v>7</v>
      </c>
      <c r="C5" s="12" t="s">
        <v>6</v>
      </c>
      <c r="D5" s="12" t="s">
        <v>1410</v>
      </c>
      <c r="E5" s="12" t="s">
        <v>2179</v>
      </c>
      <c r="F5" s="12" t="s">
        <v>2180</v>
      </c>
      <c r="G5" s="12" t="s">
        <v>2181</v>
      </c>
      <c r="H5" s="12" t="s">
        <v>1464</v>
      </c>
      <c r="I5" s="12" t="s">
        <v>1420</v>
      </c>
      <c r="J5" s="12" t="s">
        <v>1420</v>
      </c>
      <c r="K5" s="12" t="s">
        <v>1420</v>
      </c>
      <c r="L5" s="12" t="s">
        <v>1420</v>
      </c>
      <c r="M5" s="12" t="s">
        <v>1420</v>
      </c>
      <c r="N5" s="12" t="s">
        <v>1420</v>
      </c>
      <c r="O5" s="12" t="s">
        <v>1420</v>
      </c>
      <c r="P5" s="12" t="s">
        <v>1420</v>
      </c>
      <c r="Q5" s="12" t="s">
        <v>1420</v>
      </c>
      <c r="R5" s="12" t="s">
        <v>1420</v>
      </c>
      <c r="S5" s="12" t="s">
        <v>1420</v>
      </c>
      <c r="T5" s="12" t="s">
        <v>1420</v>
      </c>
      <c r="U5" s="12" t="s">
        <v>1420</v>
      </c>
      <c r="V5" s="12" t="s">
        <v>1420</v>
      </c>
      <c r="W5" s="12" t="s">
        <v>1420</v>
      </c>
      <c r="X5" s="12" t="s">
        <v>1420</v>
      </c>
      <c r="Y5" s="12" t="s">
        <v>1420</v>
      </c>
      <c r="Z5" s="12" t="s">
        <v>1420</v>
      </c>
      <c r="AA5" s="12" t="s">
        <v>1420</v>
      </c>
      <c r="AB5" s="12" t="s">
        <v>1420</v>
      </c>
      <c r="AC5" s="12" t="s">
        <v>1420</v>
      </c>
      <c r="AD5" s="12" t="s">
        <v>1420</v>
      </c>
      <c r="AE5" s="12" t="s">
        <v>1420</v>
      </c>
      <c r="AF5" s="12" t="s">
        <v>1420</v>
      </c>
      <c r="AG5" s="12" t="s">
        <v>1420</v>
      </c>
    </row>
    <row r="6" spans="1:33" ht="14.4" x14ac:dyDescent="0.3">
      <c r="A6" s="12" t="s">
        <v>19</v>
      </c>
      <c r="B6" s="12" t="s">
        <v>1147</v>
      </c>
      <c r="C6" s="12" t="s">
        <v>1146</v>
      </c>
      <c r="D6" s="12" t="s">
        <v>1410</v>
      </c>
      <c r="E6" s="12" t="s">
        <v>3120</v>
      </c>
      <c r="F6" s="12" t="s">
        <v>3121</v>
      </c>
      <c r="G6" s="12" t="s">
        <v>3122</v>
      </c>
      <c r="H6" s="12" t="s">
        <v>1424</v>
      </c>
      <c r="I6" s="12" t="s">
        <v>1420</v>
      </c>
      <c r="J6" s="12" t="s">
        <v>1420</v>
      </c>
      <c r="K6" s="12" t="s">
        <v>1420</v>
      </c>
      <c r="L6" s="12" t="s">
        <v>1420</v>
      </c>
      <c r="M6" s="12" t="s">
        <v>1420</v>
      </c>
      <c r="N6" s="12" t="s">
        <v>1420</v>
      </c>
      <c r="O6" s="12" t="s">
        <v>1414</v>
      </c>
      <c r="P6" s="12" t="s">
        <v>1414</v>
      </c>
      <c r="Q6" s="12" t="s">
        <v>1420</v>
      </c>
      <c r="R6" s="12" t="s">
        <v>1420</v>
      </c>
      <c r="S6" s="12" t="s">
        <v>1420</v>
      </c>
      <c r="T6" s="12" t="s">
        <v>1420</v>
      </c>
      <c r="U6" s="12" t="s">
        <v>1420</v>
      </c>
      <c r="V6" s="12" t="s">
        <v>1420</v>
      </c>
      <c r="W6" s="12" t="s">
        <v>1420</v>
      </c>
      <c r="X6" s="12" t="s">
        <v>1420</v>
      </c>
      <c r="Y6" s="12" t="s">
        <v>1420</v>
      </c>
      <c r="Z6" s="12" t="s">
        <v>1420</v>
      </c>
      <c r="AA6" s="12" t="s">
        <v>1414</v>
      </c>
      <c r="AB6" s="12" t="s">
        <v>1420</v>
      </c>
      <c r="AC6" s="12" t="s">
        <v>1420</v>
      </c>
      <c r="AD6" s="12" t="s">
        <v>1420</v>
      </c>
      <c r="AE6" s="12" t="s">
        <v>1420</v>
      </c>
      <c r="AF6" s="12" t="s">
        <v>1420</v>
      </c>
      <c r="AG6" s="12" t="s">
        <v>1420</v>
      </c>
    </row>
    <row r="7" spans="1:33" ht="14.4" x14ac:dyDescent="0.3">
      <c r="A7" s="12" t="s">
        <v>430</v>
      </c>
      <c r="B7" s="12" t="s">
        <v>429</v>
      </c>
      <c r="C7" s="12" t="s">
        <v>428</v>
      </c>
      <c r="D7" s="12" t="s">
        <v>1410</v>
      </c>
      <c r="E7" s="12" t="s">
        <v>2944</v>
      </c>
      <c r="F7" s="12" t="s">
        <v>2945</v>
      </c>
      <c r="G7" s="12" t="s">
        <v>2946</v>
      </c>
      <c r="H7" s="12" t="s">
        <v>1438</v>
      </c>
      <c r="I7" s="12" t="s">
        <v>1420</v>
      </c>
      <c r="J7" s="12" t="s">
        <v>1420</v>
      </c>
      <c r="K7" s="12" t="s">
        <v>1420</v>
      </c>
      <c r="L7" s="12" t="s">
        <v>1420</v>
      </c>
      <c r="M7" s="12" t="s">
        <v>1420</v>
      </c>
      <c r="N7" s="12" t="s">
        <v>1420</v>
      </c>
      <c r="O7" s="12" t="s">
        <v>1414</v>
      </c>
      <c r="P7" s="12" t="s">
        <v>1420</v>
      </c>
      <c r="Q7" s="12" t="s">
        <v>1420</v>
      </c>
      <c r="R7" s="12" t="s">
        <v>1420</v>
      </c>
      <c r="S7" s="12" t="s">
        <v>1414</v>
      </c>
      <c r="T7" s="12" t="s">
        <v>1420</v>
      </c>
      <c r="U7" s="12" t="s">
        <v>1420</v>
      </c>
      <c r="V7" s="12" t="s">
        <v>1420</v>
      </c>
      <c r="W7" s="12" t="s">
        <v>1420</v>
      </c>
      <c r="X7" s="12" t="s">
        <v>1420</v>
      </c>
      <c r="Y7" s="12" t="s">
        <v>1420</v>
      </c>
      <c r="Z7" s="12" t="s">
        <v>1420</v>
      </c>
      <c r="AA7" s="12" t="s">
        <v>1415</v>
      </c>
      <c r="AB7" s="12" t="s">
        <v>1420</v>
      </c>
      <c r="AC7" s="12" t="s">
        <v>1420</v>
      </c>
      <c r="AD7" s="12" t="s">
        <v>1414</v>
      </c>
      <c r="AE7" s="12" t="s">
        <v>1420</v>
      </c>
      <c r="AF7" s="12" t="s">
        <v>1414</v>
      </c>
      <c r="AG7" s="12" t="s">
        <v>1414</v>
      </c>
    </row>
    <row r="8" spans="1:33" ht="14.4" x14ac:dyDescent="0.3">
      <c r="A8" s="12" t="s">
        <v>19</v>
      </c>
      <c r="B8" s="12" t="s">
        <v>737</v>
      </c>
      <c r="C8" s="12" t="s">
        <v>736</v>
      </c>
      <c r="D8" s="12" t="s">
        <v>1410</v>
      </c>
      <c r="E8" s="12" t="s">
        <v>2202</v>
      </c>
      <c r="F8" s="12" t="s">
        <v>2203</v>
      </c>
      <c r="G8" s="12" t="s">
        <v>2204</v>
      </c>
      <c r="H8" s="12" t="s">
        <v>1452</v>
      </c>
      <c r="I8" s="12" t="s">
        <v>1420</v>
      </c>
      <c r="J8" s="12" t="s">
        <v>1420</v>
      </c>
      <c r="K8" s="12" t="s">
        <v>1420</v>
      </c>
      <c r="L8" s="12" t="s">
        <v>1420</v>
      </c>
      <c r="M8" s="12" t="s">
        <v>1420</v>
      </c>
      <c r="N8" s="12" t="s">
        <v>1420</v>
      </c>
      <c r="O8" s="12" t="s">
        <v>1414</v>
      </c>
      <c r="P8" s="12" t="s">
        <v>1420</v>
      </c>
      <c r="Q8" s="12" t="s">
        <v>1420</v>
      </c>
      <c r="R8" s="12" t="s">
        <v>1420</v>
      </c>
      <c r="S8" s="12" t="s">
        <v>1420</v>
      </c>
      <c r="T8" s="12" t="s">
        <v>1420</v>
      </c>
      <c r="U8" s="12" t="s">
        <v>1420</v>
      </c>
      <c r="V8" s="12" t="s">
        <v>1420</v>
      </c>
      <c r="W8" s="12" t="s">
        <v>1420</v>
      </c>
      <c r="X8" s="12" t="s">
        <v>1420</v>
      </c>
      <c r="Y8" s="12" t="s">
        <v>1420</v>
      </c>
      <c r="Z8" s="12" t="s">
        <v>1420</v>
      </c>
      <c r="AA8" s="12" t="s">
        <v>1420</v>
      </c>
      <c r="AB8" s="12" t="s">
        <v>1420</v>
      </c>
      <c r="AC8" s="12" t="s">
        <v>1420</v>
      </c>
      <c r="AD8" s="12" t="s">
        <v>1420</v>
      </c>
      <c r="AE8" s="12" t="s">
        <v>1420</v>
      </c>
      <c r="AF8" s="12" t="s">
        <v>1420</v>
      </c>
      <c r="AG8" s="12" t="s">
        <v>1420</v>
      </c>
    </row>
    <row r="9" spans="1:33" ht="14.4" x14ac:dyDescent="0.3">
      <c r="A9" s="12" t="s">
        <v>31</v>
      </c>
      <c r="B9" s="12" t="s">
        <v>739</v>
      </c>
      <c r="C9" s="12" t="s">
        <v>738</v>
      </c>
      <c r="D9" s="12" t="s">
        <v>1410</v>
      </c>
      <c r="E9" s="12" t="s">
        <v>2880</v>
      </c>
      <c r="F9" s="12" t="s">
        <v>2881</v>
      </c>
      <c r="G9" s="12" t="s">
        <v>2882</v>
      </c>
      <c r="H9" s="12" t="s">
        <v>1452</v>
      </c>
      <c r="I9" s="12" t="s">
        <v>1420</v>
      </c>
      <c r="J9" s="12" t="s">
        <v>1420</v>
      </c>
      <c r="K9" s="12" t="s">
        <v>1420</v>
      </c>
      <c r="L9" s="12" t="s">
        <v>1420</v>
      </c>
      <c r="M9" s="12" t="s">
        <v>1420</v>
      </c>
      <c r="N9" s="12" t="s">
        <v>1414</v>
      </c>
      <c r="O9" s="12" t="s">
        <v>1420</v>
      </c>
      <c r="P9" s="12" t="s">
        <v>1420</v>
      </c>
      <c r="Q9" s="12" t="s">
        <v>1420</v>
      </c>
      <c r="R9" s="12" t="s">
        <v>1420</v>
      </c>
      <c r="S9" s="12" t="s">
        <v>1420</v>
      </c>
      <c r="T9" s="12" t="s">
        <v>1420</v>
      </c>
      <c r="U9" s="12" t="s">
        <v>1420</v>
      </c>
      <c r="V9" s="12" t="s">
        <v>1420</v>
      </c>
      <c r="W9" s="12" t="s">
        <v>1420</v>
      </c>
      <c r="X9" s="12" t="s">
        <v>1420</v>
      </c>
      <c r="Y9" s="12" t="s">
        <v>1420</v>
      </c>
      <c r="Z9" s="12" t="s">
        <v>1420</v>
      </c>
      <c r="AA9" s="12" t="s">
        <v>1420</v>
      </c>
      <c r="AB9" s="12" t="s">
        <v>1420</v>
      </c>
      <c r="AC9" s="12" t="s">
        <v>1420</v>
      </c>
      <c r="AD9" s="12" t="s">
        <v>1420</v>
      </c>
      <c r="AE9" s="12" t="s">
        <v>1420</v>
      </c>
      <c r="AF9" s="12" t="s">
        <v>1420</v>
      </c>
      <c r="AG9" s="12" t="s">
        <v>1420</v>
      </c>
    </row>
    <row r="10" spans="1:33" ht="14.4" x14ac:dyDescent="0.3">
      <c r="A10" s="12" t="s">
        <v>8</v>
      </c>
      <c r="B10" s="12" t="s">
        <v>741</v>
      </c>
      <c r="C10" s="12" t="s">
        <v>740</v>
      </c>
      <c r="D10" s="12" t="s">
        <v>1410</v>
      </c>
      <c r="E10" s="12" t="s">
        <v>2632</v>
      </c>
      <c r="F10" s="12" t="s">
        <v>2633</v>
      </c>
      <c r="G10" s="12" t="s">
        <v>2634</v>
      </c>
      <c r="H10" s="12" t="s">
        <v>1488</v>
      </c>
      <c r="I10" s="12" t="s">
        <v>1420</v>
      </c>
      <c r="J10" s="12" t="s">
        <v>1420</v>
      </c>
      <c r="K10" s="12" t="s">
        <v>1420</v>
      </c>
      <c r="L10" s="12" t="s">
        <v>1420</v>
      </c>
      <c r="M10" s="12" t="s">
        <v>1420</v>
      </c>
      <c r="N10" s="12" t="s">
        <v>1420</v>
      </c>
      <c r="O10" s="12" t="s">
        <v>1420</v>
      </c>
      <c r="P10" s="12" t="s">
        <v>1414</v>
      </c>
      <c r="Q10" s="12" t="s">
        <v>1420</v>
      </c>
      <c r="R10" s="12" t="s">
        <v>1420</v>
      </c>
      <c r="S10" s="12" t="s">
        <v>1420</v>
      </c>
      <c r="T10" s="12" t="s">
        <v>1420</v>
      </c>
      <c r="U10" s="12" t="s">
        <v>1420</v>
      </c>
      <c r="V10" s="12" t="s">
        <v>1420</v>
      </c>
      <c r="W10" s="12" t="s">
        <v>1420</v>
      </c>
      <c r="X10" s="12" t="s">
        <v>1420</v>
      </c>
      <c r="Y10" s="12" t="s">
        <v>1420</v>
      </c>
      <c r="Z10" s="12" t="s">
        <v>1414</v>
      </c>
      <c r="AA10" s="12" t="s">
        <v>1415</v>
      </c>
      <c r="AB10" s="12" t="s">
        <v>1420</v>
      </c>
      <c r="AC10" s="12" t="s">
        <v>1420</v>
      </c>
      <c r="AD10" s="12" t="s">
        <v>1420</v>
      </c>
      <c r="AE10" s="12" t="s">
        <v>1420</v>
      </c>
      <c r="AF10" s="12" t="s">
        <v>1414</v>
      </c>
      <c r="AG10" s="12" t="s">
        <v>1420</v>
      </c>
    </row>
    <row r="11" spans="1:33" ht="14.4" x14ac:dyDescent="0.3">
      <c r="A11" s="12" t="s">
        <v>11</v>
      </c>
      <c r="B11" s="12" t="s">
        <v>10</v>
      </c>
      <c r="C11" s="12" t="s">
        <v>9</v>
      </c>
      <c r="D11" s="12" t="s">
        <v>1410</v>
      </c>
      <c r="E11" s="12" t="s">
        <v>2237</v>
      </c>
      <c r="F11" s="12" t="s">
        <v>2238</v>
      </c>
      <c r="G11" s="12" t="s">
        <v>2239</v>
      </c>
      <c r="H11" s="12" t="s">
        <v>1464</v>
      </c>
      <c r="I11" s="12" t="s">
        <v>1420</v>
      </c>
      <c r="J11" s="12" t="s">
        <v>1420</v>
      </c>
      <c r="K11" s="12" t="s">
        <v>1420</v>
      </c>
      <c r="L11" s="12" t="s">
        <v>1420</v>
      </c>
      <c r="M11" s="12" t="s">
        <v>1420</v>
      </c>
      <c r="N11" s="12" t="s">
        <v>1420</v>
      </c>
      <c r="O11" s="12" t="s">
        <v>1420</v>
      </c>
      <c r="P11" s="12" t="s">
        <v>1420</v>
      </c>
      <c r="Q11" s="12" t="s">
        <v>1420</v>
      </c>
      <c r="R11" s="12" t="s">
        <v>1420</v>
      </c>
      <c r="S11" s="12" t="s">
        <v>1420</v>
      </c>
      <c r="T11" s="12" t="s">
        <v>1420</v>
      </c>
      <c r="U11" s="12" t="s">
        <v>1420</v>
      </c>
      <c r="V11" s="12" t="s">
        <v>1420</v>
      </c>
      <c r="W11" s="12" t="s">
        <v>1420</v>
      </c>
      <c r="X11" s="12" t="s">
        <v>1420</v>
      </c>
      <c r="Y11" s="12" t="s">
        <v>1420</v>
      </c>
      <c r="Z11" s="12" t="s">
        <v>1420</v>
      </c>
      <c r="AA11" s="12" t="s">
        <v>1420</v>
      </c>
      <c r="AB11" s="12" t="s">
        <v>1420</v>
      </c>
      <c r="AC11" s="12" t="s">
        <v>1420</v>
      </c>
      <c r="AD11" s="12" t="s">
        <v>1420</v>
      </c>
      <c r="AE11" s="12" t="s">
        <v>1420</v>
      </c>
      <c r="AF11" s="12" t="s">
        <v>1420</v>
      </c>
      <c r="AG11" s="12" t="s">
        <v>1420</v>
      </c>
    </row>
    <row r="12" spans="1:33" ht="14.4" x14ac:dyDescent="0.3">
      <c r="A12" s="12" t="s">
        <v>71</v>
      </c>
      <c r="B12" s="12" t="s">
        <v>432</v>
      </c>
      <c r="C12" s="12" t="s">
        <v>431</v>
      </c>
      <c r="D12" s="12" t="s">
        <v>1410</v>
      </c>
      <c r="E12" s="12" t="s">
        <v>1744</v>
      </c>
      <c r="F12" s="12" t="s">
        <v>1745</v>
      </c>
      <c r="G12" s="12" t="s">
        <v>1746</v>
      </c>
      <c r="H12" s="12" t="s">
        <v>1452</v>
      </c>
      <c r="I12" s="12" t="s">
        <v>1420</v>
      </c>
      <c r="J12" s="12" t="s">
        <v>1420</v>
      </c>
      <c r="K12" s="12" t="s">
        <v>1420</v>
      </c>
      <c r="L12" s="12" t="s">
        <v>1420</v>
      </c>
      <c r="M12" s="12" t="s">
        <v>1420</v>
      </c>
      <c r="N12" s="12" t="s">
        <v>1420</v>
      </c>
      <c r="O12" s="12" t="s">
        <v>1414</v>
      </c>
      <c r="P12" s="12" t="s">
        <v>1420</v>
      </c>
      <c r="Q12" s="12" t="s">
        <v>1420</v>
      </c>
      <c r="R12" s="12" t="s">
        <v>1420</v>
      </c>
      <c r="S12" s="12" t="s">
        <v>1420</v>
      </c>
      <c r="T12" s="12" t="s">
        <v>1420</v>
      </c>
      <c r="U12" s="12" t="s">
        <v>1420</v>
      </c>
      <c r="V12" s="12" t="s">
        <v>1420</v>
      </c>
      <c r="W12" s="12" t="s">
        <v>1420</v>
      </c>
      <c r="X12" s="12" t="s">
        <v>1420</v>
      </c>
      <c r="Y12" s="12" t="s">
        <v>1420</v>
      </c>
      <c r="Z12" s="12" t="s">
        <v>1420</v>
      </c>
      <c r="AA12" s="12" t="s">
        <v>1420</v>
      </c>
      <c r="AB12" s="12" t="s">
        <v>1420</v>
      </c>
      <c r="AC12" s="12" t="s">
        <v>1420</v>
      </c>
      <c r="AD12" s="12" t="s">
        <v>1420</v>
      </c>
      <c r="AE12" s="12" t="s">
        <v>1420</v>
      </c>
      <c r="AF12" s="12" t="s">
        <v>1420</v>
      </c>
      <c r="AG12" s="12" t="s">
        <v>1420</v>
      </c>
    </row>
    <row r="13" spans="1:33" ht="14.4" x14ac:dyDescent="0.3">
      <c r="A13" s="12" t="s">
        <v>8</v>
      </c>
      <c r="B13" s="12" t="s">
        <v>13</v>
      </c>
      <c r="C13" s="12" t="s">
        <v>12</v>
      </c>
      <c r="D13" s="12" t="s">
        <v>1410</v>
      </c>
      <c r="E13" s="12" t="s">
        <v>2214</v>
      </c>
      <c r="F13" s="12" t="s">
        <v>2215</v>
      </c>
      <c r="G13" s="12" t="s">
        <v>2216</v>
      </c>
      <c r="H13" s="12" t="s">
        <v>1452</v>
      </c>
      <c r="I13" s="12" t="s">
        <v>1420</v>
      </c>
      <c r="J13" s="12" t="s">
        <v>1420</v>
      </c>
      <c r="K13" s="12" t="s">
        <v>1420</v>
      </c>
      <c r="L13" s="12" t="s">
        <v>1420</v>
      </c>
      <c r="M13" s="12" t="s">
        <v>1420</v>
      </c>
      <c r="N13" s="12" t="s">
        <v>1420</v>
      </c>
      <c r="O13" s="12" t="s">
        <v>1420</v>
      </c>
      <c r="P13" s="12" t="s">
        <v>1420</v>
      </c>
      <c r="Q13" s="12" t="s">
        <v>1420</v>
      </c>
      <c r="R13" s="12" t="s">
        <v>1420</v>
      </c>
      <c r="S13" s="12" t="s">
        <v>1420</v>
      </c>
      <c r="T13" s="12" t="s">
        <v>1420</v>
      </c>
      <c r="U13" s="12" t="s">
        <v>1420</v>
      </c>
      <c r="V13" s="12" t="s">
        <v>1420</v>
      </c>
      <c r="W13" s="12" t="s">
        <v>1414</v>
      </c>
      <c r="X13" s="12" t="s">
        <v>1420</v>
      </c>
      <c r="Y13" s="12" t="s">
        <v>1420</v>
      </c>
      <c r="Z13" s="12" t="s">
        <v>1420</v>
      </c>
      <c r="AA13" s="12" t="s">
        <v>1420</v>
      </c>
      <c r="AB13" s="12" t="s">
        <v>1420</v>
      </c>
      <c r="AC13" s="12" t="s">
        <v>1420</v>
      </c>
      <c r="AD13" s="12" t="s">
        <v>1420</v>
      </c>
      <c r="AE13" s="12" t="s">
        <v>1420</v>
      </c>
      <c r="AF13" s="12" t="s">
        <v>1420</v>
      </c>
      <c r="AG13" s="12" t="s">
        <v>1420</v>
      </c>
    </row>
    <row r="14" spans="1:33" ht="14.4" x14ac:dyDescent="0.3">
      <c r="A14" s="12" t="s">
        <v>16</v>
      </c>
      <c r="B14" s="12" t="s">
        <v>15</v>
      </c>
      <c r="C14" s="12" t="s">
        <v>14</v>
      </c>
      <c r="D14" s="12" t="s">
        <v>1410</v>
      </c>
      <c r="E14" s="12" t="s">
        <v>2141</v>
      </c>
      <c r="F14" s="12" t="s">
        <v>2112</v>
      </c>
      <c r="G14" s="12" t="s">
        <v>2142</v>
      </c>
      <c r="H14" s="12" t="s">
        <v>1448</v>
      </c>
      <c r="I14" s="12" t="s">
        <v>1420</v>
      </c>
      <c r="J14" s="12" t="s">
        <v>1414</v>
      </c>
      <c r="K14" s="12" t="s">
        <v>1420</v>
      </c>
      <c r="L14" s="12" t="s">
        <v>1420</v>
      </c>
      <c r="M14" s="12" t="s">
        <v>1420</v>
      </c>
      <c r="N14" s="12" t="s">
        <v>1420</v>
      </c>
      <c r="O14" s="12" t="s">
        <v>1420</v>
      </c>
      <c r="P14" s="12" t="s">
        <v>1420</v>
      </c>
      <c r="Q14" s="12" t="s">
        <v>1420</v>
      </c>
      <c r="R14" s="12" t="s">
        <v>1420</v>
      </c>
      <c r="S14" s="12" t="s">
        <v>1420</v>
      </c>
      <c r="T14" s="12" t="s">
        <v>1420</v>
      </c>
      <c r="U14" s="12" t="s">
        <v>1420</v>
      </c>
      <c r="V14" s="12" t="s">
        <v>1420</v>
      </c>
      <c r="W14" s="12" t="s">
        <v>1420</v>
      </c>
      <c r="X14" s="12" t="s">
        <v>1420</v>
      </c>
      <c r="Y14" s="12" t="s">
        <v>1414</v>
      </c>
      <c r="Z14" s="12" t="s">
        <v>1420</v>
      </c>
      <c r="AA14" s="12" t="s">
        <v>1420</v>
      </c>
      <c r="AB14" s="12" t="s">
        <v>1414</v>
      </c>
      <c r="AC14" s="12" t="s">
        <v>1414</v>
      </c>
      <c r="AD14" s="12" t="s">
        <v>1414</v>
      </c>
      <c r="AE14" s="12" t="s">
        <v>1420</v>
      </c>
      <c r="AF14" s="12" t="s">
        <v>1420</v>
      </c>
      <c r="AG14" s="12" t="s">
        <v>1420</v>
      </c>
    </row>
    <row r="15" spans="1:33" ht="14.4" x14ac:dyDescent="0.3">
      <c r="A15" s="12" t="s">
        <v>5500</v>
      </c>
      <c r="B15" s="12" t="s">
        <v>5501</v>
      </c>
      <c r="C15" s="12" t="s">
        <v>5502</v>
      </c>
      <c r="D15" s="12" t="s">
        <v>1410</v>
      </c>
      <c r="E15" s="12" t="s">
        <v>5503</v>
      </c>
      <c r="F15" s="12" t="s">
        <v>5504</v>
      </c>
      <c r="G15" s="12" t="s">
        <v>2129</v>
      </c>
      <c r="H15" s="12" t="s">
        <v>1419</v>
      </c>
      <c r="I15" s="12" t="s">
        <v>1420</v>
      </c>
      <c r="J15" s="12" t="s">
        <v>1414</v>
      </c>
      <c r="K15" s="12" t="s">
        <v>1420</v>
      </c>
      <c r="L15" s="12" t="s">
        <v>1420</v>
      </c>
      <c r="M15" s="12" t="s">
        <v>1420</v>
      </c>
      <c r="N15" s="12" t="s">
        <v>1420</v>
      </c>
      <c r="O15" s="12" t="s">
        <v>1420</v>
      </c>
      <c r="P15" s="12" t="s">
        <v>1420</v>
      </c>
      <c r="Q15" s="12" t="s">
        <v>1420</v>
      </c>
      <c r="R15" s="12" t="s">
        <v>1420</v>
      </c>
      <c r="S15" s="12" t="s">
        <v>1420</v>
      </c>
      <c r="T15" s="12" t="s">
        <v>1414</v>
      </c>
      <c r="U15" s="12" t="s">
        <v>1420</v>
      </c>
      <c r="V15" s="12" t="s">
        <v>1420</v>
      </c>
      <c r="W15" s="12" t="s">
        <v>1420</v>
      </c>
      <c r="X15" s="12" t="s">
        <v>1420</v>
      </c>
      <c r="Y15" s="12" t="s">
        <v>1420</v>
      </c>
      <c r="Z15" s="12" t="s">
        <v>1420</v>
      </c>
      <c r="AA15" s="12" t="s">
        <v>1420</v>
      </c>
      <c r="AB15" s="12" t="s">
        <v>1420</v>
      </c>
      <c r="AC15" s="12" t="s">
        <v>1420</v>
      </c>
      <c r="AD15" s="12" t="s">
        <v>1420</v>
      </c>
      <c r="AE15" s="12" t="s">
        <v>1420</v>
      </c>
      <c r="AF15" s="12" t="s">
        <v>1420</v>
      </c>
      <c r="AG15" s="12" t="s">
        <v>1420</v>
      </c>
    </row>
    <row r="16" spans="1:33" ht="14.4" x14ac:dyDescent="0.3">
      <c r="A16" s="12" t="s">
        <v>42</v>
      </c>
      <c r="B16" s="12" t="s">
        <v>295</v>
      </c>
      <c r="C16" s="12" t="s">
        <v>294</v>
      </c>
      <c r="D16" s="12" t="s">
        <v>1410</v>
      </c>
      <c r="E16" s="12" t="s">
        <v>1782</v>
      </c>
      <c r="F16" s="12" t="s">
        <v>1772</v>
      </c>
      <c r="G16" s="12" t="s">
        <v>1784</v>
      </c>
      <c r="H16" s="12" t="s">
        <v>1785</v>
      </c>
      <c r="I16" s="12" t="s">
        <v>1420</v>
      </c>
      <c r="J16" s="12" t="s">
        <v>1414</v>
      </c>
      <c r="K16" s="12" t="s">
        <v>1420</v>
      </c>
      <c r="L16" s="12" t="s">
        <v>1420</v>
      </c>
      <c r="M16" s="12" t="s">
        <v>1420</v>
      </c>
      <c r="N16" s="12" t="s">
        <v>1414</v>
      </c>
      <c r="O16" s="12" t="s">
        <v>1414</v>
      </c>
      <c r="P16" s="12" t="s">
        <v>1414</v>
      </c>
      <c r="Q16" s="12" t="s">
        <v>1420</v>
      </c>
      <c r="R16" s="12" t="s">
        <v>1420</v>
      </c>
      <c r="S16" s="12" t="s">
        <v>1414</v>
      </c>
      <c r="T16" s="12" t="s">
        <v>1414</v>
      </c>
      <c r="U16" s="12" t="s">
        <v>1414</v>
      </c>
      <c r="V16" s="12" t="s">
        <v>1414</v>
      </c>
      <c r="W16" s="12" t="s">
        <v>1420</v>
      </c>
      <c r="X16" s="12" t="s">
        <v>1420</v>
      </c>
      <c r="Y16" s="12" t="s">
        <v>1420</v>
      </c>
      <c r="Z16" s="12" t="s">
        <v>1414</v>
      </c>
      <c r="AA16" s="12" t="s">
        <v>1414</v>
      </c>
      <c r="AB16" s="12" t="s">
        <v>1414</v>
      </c>
      <c r="AC16" s="12" t="s">
        <v>1420</v>
      </c>
      <c r="AD16" s="12" t="s">
        <v>1420</v>
      </c>
      <c r="AE16" s="12" t="s">
        <v>1420</v>
      </c>
      <c r="AF16" s="12" t="s">
        <v>1414</v>
      </c>
      <c r="AG16" s="12" t="s">
        <v>1420</v>
      </c>
    </row>
    <row r="17" spans="1:33" ht="14.4" x14ac:dyDescent="0.3">
      <c r="A17" s="12" t="s">
        <v>49</v>
      </c>
      <c r="B17" s="12" t="s">
        <v>743</v>
      </c>
      <c r="C17" s="12" t="s">
        <v>742</v>
      </c>
      <c r="D17" s="12" t="s">
        <v>1410</v>
      </c>
      <c r="E17" s="12" t="s">
        <v>2931</v>
      </c>
      <c r="F17" s="12" t="s">
        <v>2932</v>
      </c>
      <c r="G17" s="12" t="s">
        <v>2933</v>
      </c>
      <c r="H17" s="12" t="s">
        <v>1488</v>
      </c>
      <c r="I17" s="12" t="s">
        <v>1420</v>
      </c>
      <c r="J17" s="12" t="s">
        <v>1420</v>
      </c>
      <c r="K17" s="12" t="s">
        <v>1420</v>
      </c>
      <c r="L17" s="12" t="s">
        <v>1420</v>
      </c>
      <c r="M17" s="12" t="s">
        <v>1420</v>
      </c>
      <c r="N17" s="12" t="s">
        <v>1414</v>
      </c>
      <c r="O17" s="12" t="s">
        <v>1414</v>
      </c>
      <c r="P17" s="12" t="s">
        <v>1420</v>
      </c>
      <c r="Q17" s="12" t="s">
        <v>1420</v>
      </c>
      <c r="R17" s="12" t="s">
        <v>1420</v>
      </c>
      <c r="S17" s="12" t="s">
        <v>1420</v>
      </c>
      <c r="T17" s="12" t="s">
        <v>1420</v>
      </c>
      <c r="U17" s="12" t="s">
        <v>1420</v>
      </c>
      <c r="V17" s="12" t="s">
        <v>1420</v>
      </c>
      <c r="W17" s="12" t="s">
        <v>1420</v>
      </c>
      <c r="X17" s="12" t="s">
        <v>1420</v>
      </c>
      <c r="Y17" s="12" t="s">
        <v>1420</v>
      </c>
      <c r="Z17" s="12" t="s">
        <v>1420</v>
      </c>
      <c r="AA17" s="12" t="s">
        <v>1420</v>
      </c>
      <c r="AB17" s="12" t="s">
        <v>1420</v>
      </c>
      <c r="AC17" s="12" t="s">
        <v>1414</v>
      </c>
      <c r="AD17" s="12" t="s">
        <v>1420</v>
      </c>
      <c r="AE17" s="12" t="s">
        <v>1414</v>
      </c>
      <c r="AF17" s="12" t="s">
        <v>1420</v>
      </c>
      <c r="AG17" s="12" t="s">
        <v>1420</v>
      </c>
    </row>
    <row r="18" spans="1:33" ht="14.4" x14ac:dyDescent="0.3">
      <c r="A18" s="12" t="s">
        <v>8</v>
      </c>
      <c r="B18" s="12" t="s">
        <v>745</v>
      </c>
      <c r="C18" s="12" t="s">
        <v>744</v>
      </c>
      <c r="D18" s="12" t="s">
        <v>1410</v>
      </c>
      <c r="E18" s="12" t="s">
        <v>2881</v>
      </c>
      <c r="F18" s="12" t="s">
        <v>2885</v>
      </c>
      <c r="G18" s="12" t="s">
        <v>2886</v>
      </c>
      <c r="H18" s="12" t="s">
        <v>1419</v>
      </c>
      <c r="I18" s="12" t="s">
        <v>1420</v>
      </c>
      <c r="J18" s="12" t="s">
        <v>1420</v>
      </c>
      <c r="K18" s="12" t="s">
        <v>1420</v>
      </c>
      <c r="L18" s="12" t="s">
        <v>1414</v>
      </c>
      <c r="M18" s="12" t="s">
        <v>1420</v>
      </c>
      <c r="N18" s="12" t="s">
        <v>1420</v>
      </c>
      <c r="O18" s="12" t="s">
        <v>1420</v>
      </c>
      <c r="P18" s="12" t="s">
        <v>1420</v>
      </c>
      <c r="Q18" s="12" t="s">
        <v>1420</v>
      </c>
      <c r="R18" s="12" t="s">
        <v>1420</v>
      </c>
      <c r="S18" s="12" t="s">
        <v>1420</v>
      </c>
      <c r="T18" s="12" t="s">
        <v>1420</v>
      </c>
      <c r="U18" s="12" t="s">
        <v>1414</v>
      </c>
      <c r="V18" s="12" t="s">
        <v>1420</v>
      </c>
      <c r="W18" s="12" t="s">
        <v>1420</v>
      </c>
      <c r="X18" s="12" t="s">
        <v>1420</v>
      </c>
      <c r="Y18" s="12" t="s">
        <v>1420</v>
      </c>
      <c r="Z18" s="12" t="s">
        <v>1420</v>
      </c>
      <c r="AA18" s="12" t="s">
        <v>1420</v>
      </c>
      <c r="AB18" s="12" t="s">
        <v>1420</v>
      </c>
      <c r="AC18" s="12" t="s">
        <v>1420</v>
      </c>
      <c r="AD18" s="12" t="s">
        <v>1420</v>
      </c>
      <c r="AE18" s="12" t="s">
        <v>1420</v>
      </c>
      <c r="AF18" s="12" t="s">
        <v>1420</v>
      </c>
      <c r="AG18" s="12" t="s">
        <v>1420</v>
      </c>
    </row>
    <row r="19" spans="1:33" ht="14.4" x14ac:dyDescent="0.3">
      <c r="A19" s="12" t="s">
        <v>31</v>
      </c>
      <c r="B19" s="12" t="s">
        <v>434</v>
      </c>
      <c r="C19" s="12" t="s">
        <v>433</v>
      </c>
      <c r="D19" s="12" t="s">
        <v>1410</v>
      </c>
      <c r="E19" s="12" t="s">
        <v>1673</v>
      </c>
      <c r="F19" s="12" t="s">
        <v>1674</v>
      </c>
      <c r="G19" s="12" t="s">
        <v>1675</v>
      </c>
      <c r="H19" s="12" t="s">
        <v>1464</v>
      </c>
      <c r="I19" s="12" t="s">
        <v>1420</v>
      </c>
      <c r="J19" s="12" t="s">
        <v>1420</v>
      </c>
      <c r="K19" s="12" t="s">
        <v>1420</v>
      </c>
      <c r="L19" s="12" t="s">
        <v>1420</v>
      </c>
      <c r="M19" s="12" t="s">
        <v>1420</v>
      </c>
      <c r="N19" s="12" t="s">
        <v>1420</v>
      </c>
      <c r="O19" s="12" t="s">
        <v>1420</v>
      </c>
      <c r="P19" s="12" t="s">
        <v>1420</v>
      </c>
      <c r="Q19" s="12" t="s">
        <v>1420</v>
      </c>
      <c r="R19" s="12" t="s">
        <v>1420</v>
      </c>
      <c r="S19" s="12" t="s">
        <v>1420</v>
      </c>
      <c r="T19" s="12" t="s">
        <v>1420</v>
      </c>
      <c r="U19" s="12" t="s">
        <v>1420</v>
      </c>
      <c r="V19" s="12" t="s">
        <v>1420</v>
      </c>
      <c r="W19" s="12" t="s">
        <v>1420</v>
      </c>
      <c r="X19" s="12" t="s">
        <v>1420</v>
      </c>
      <c r="Y19" s="12" t="s">
        <v>1420</v>
      </c>
      <c r="Z19" s="12" t="s">
        <v>1420</v>
      </c>
      <c r="AA19" s="12" t="s">
        <v>1420</v>
      </c>
      <c r="AB19" s="12" t="s">
        <v>1420</v>
      </c>
      <c r="AC19" s="12" t="s">
        <v>1420</v>
      </c>
      <c r="AD19" s="12" t="s">
        <v>1420</v>
      </c>
      <c r="AE19" s="12" t="s">
        <v>1420</v>
      </c>
      <c r="AF19" s="12" t="s">
        <v>1420</v>
      </c>
      <c r="AG19" s="12" t="s">
        <v>1420</v>
      </c>
    </row>
    <row r="20" spans="1:33" ht="14.4" x14ac:dyDescent="0.3">
      <c r="A20" s="12" t="s">
        <v>748</v>
      </c>
      <c r="B20" s="12" t="s">
        <v>747</v>
      </c>
      <c r="C20" s="12" t="s">
        <v>746</v>
      </c>
      <c r="D20" s="12" t="s">
        <v>1410</v>
      </c>
      <c r="E20" s="12" t="s">
        <v>2881</v>
      </c>
      <c r="F20" s="12" t="s">
        <v>2883</v>
      </c>
      <c r="G20" s="12" t="s">
        <v>2884</v>
      </c>
      <c r="H20" s="12" t="s">
        <v>1464</v>
      </c>
      <c r="I20" s="12" t="s">
        <v>1420</v>
      </c>
      <c r="J20" s="12" t="s">
        <v>1420</v>
      </c>
      <c r="K20" s="12" t="s">
        <v>1420</v>
      </c>
      <c r="L20" s="12" t="s">
        <v>1420</v>
      </c>
      <c r="M20" s="12" t="s">
        <v>1420</v>
      </c>
      <c r="N20" s="12" t="s">
        <v>1420</v>
      </c>
      <c r="O20" s="12" t="s">
        <v>1420</v>
      </c>
      <c r="P20" s="12" t="s">
        <v>1420</v>
      </c>
      <c r="Q20" s="12" t="s">
        <v>1420</v>
      </c>
      <c r="R20" s="12" t="s">
        <v>1420</v>
      </c>
      <c r="S20" s="12" t="s">
        <v>1420</v>
      </c>
      <c r="T20" s="12" t="s">
        <v>1420</v>
      </c>
      <c r="U20" s="12" t="s">
        <v>1420</v>
      </c>
      <c r="V20" s="12" t="s">
        <v>1420</v>
      </c>
      <c r="W20" s="12" t="s">
        <v>1420</v>
      </c>
      <c r="X20" s="12" t="s">
        <v>1420</v>
      </c>
      <c r="Y20" s="12" t="s">
        <v>1420</v>
      </c>
      <c r="Z20" s="12" t="s">
        <v>1420</v>
      </c>
      <c r="AA20" s="12" t="s">
        <v>1420</v>
      </c>
      <c r="AB20" s="12" t="s">
        <v>1420</v>
      </c>
      <c r="AC20" s="12" t="s">
        <v>1420</v>
      </c>
      <c r="AD20" s="12" t="s">
        <v>1420</v>
      </c>
      <c r="AE20" s="12" t="s">
        <v>1420</v>
      </c>
      <c r="AF20" s="12" t="s">
        <v>1420</v>
      </c>
      <c r="AG20" s="12" t="s">
        <v>1420</v>
      </c>
    </row>
    <row r="21" spans="1:33" ht="14.4" x14ac:dyDescent="0.3">
      <c r="A21" s="12" t="s">
        <v>71</v>
      </c>
      <c r="B21" s="12" t="s">
        <v>750</v>
      </c>
      <c r="C21" s="12" t="s">
        <v>749</v>
      </c>
      <c r="D21" s="12" t="s">
        <v>1410</v>
      </c>
      <c r="E21" s="12" t="s">
        <v>2450</v>
      </c>
      <c r="F21" s="12" t="s">
        <v>2451</v>
      </c>
      <c r="G21" s="12" t="s">
        <v>1981</v>
      </c>
      <c r="H21" s="12" t="s">
        <v>1452</v>
      </c>
      <c r="I21" s="12" t="s">
        <v>1420</v>
      </c>
      <c r="J21" s="12" t="s">
        <v>1420</v>
      </c>
      <c r="K21" s="12" t="s">
        <v>1420</v>
      </c>
      <c r="L21" s="12" t="s">
        <v>1420</v>
      </c>
      <c r="M21" s="12" t="s">
        <v>1420</v>
      </c>
      <c r="N21" s="12" t="s">
        <v>1420</v>
      </c>
      <c r="O21" s="12" t="s">
        <v>1420</v>
      </c>
      <c r="P21" s="12" t="s">
        <v>1420</v>
      </c>
      <c r="Q21" s="12" t="s">
        <v>1420</v>
      </c>
      <c r="R21" s="12" t="s">
        <v>1420</v>
      </c>
      <c r="S21" s="12" t="s">
        <v>1420</v>
      </c>
      <c r="T21" s="12" t="s">
        <v>1414</v>
      </c>
      <c r="U21" s="12" t="s">
        <v>1420</v>
      </c>
      <c r="V21" s="12" t="s">
        <v>1420</v>
      </c>
      <c r="W21" s="12" t="s">
        <v>1420</v>
      </c>
      <c r="X21" s="12" t="s">
        <v>1420</v>
      </c>
      <c r="Y21" s="12" t="s">
        <v>1420</v>
      </c>
      <c r="Z21" s="12" t="s">
        <v>1420</v>
      </c>
      <c r="AA21" s="12" t="s">
        <v>1420</v>
      </c>
      <c r="AB21" s="12" t="s">
        <v>1420</v>
      </c>
      <c r="AC21" s="12" t="s">
        <v>1420</v>
      </c>
      <c r="AD21" s="12" t="s">
        <v>1420</v>
      </c>
      <c r="AE21" s="12" t="s">
        <v>1420</v>
      </c>
      <c r="AF21" s="12" t="s">
        <v>1420</v>
      </c>
      <c r="AG21" s="12" t="s">
        <v>1420</v>
      </c>
    </row>
    <row r="22" spans="1:33" ht="14.4" x14ac:dyDescent="0.3">
      <c r="A22" s="12" t="s">
        <v>123</v>
      </c>
      <c r="B22" s="12" t="s">
        <v>752</v>
      </c>
      <c r="C22" s="12" t="s">
        <v>751</v>
      </c>
      <c r="D22" s="12" t="s">
        <v>1410</v>
      </c>
      <c r="E22" s="12" t="s">
        <v>2836</v>
      </c>
      <c r="F22" s="12" t="s">
        <v>2837</v>
      </c>
      <c r="G22" s="12" t="s">
        <v>2838</v>
      </c>
      <c r="H22" s="12" t="s">
        <v>1424</v>
      </c>
      <c r="I22" s="12" t="s">
        <v>1420</v>
      </c>
      <c r="J22" s="12" t="s">
        <v>1420</v>
      </c>
      <c r="K22" s="12" t="s">
        <v>1420</v>
      </c>
      <c r="L22" s="12" t="s">
        <v>1420</v>
      </c>
      <c r="M22" s="12" t="s">
        <v>1420</v>
      </c>
      <c r="N22" s="12" t="s">
        <v>1420</v>
      </c>
      <c r="O22" s="12" t="s">
        <v>1420</v>
      </c>
      <c r="P22" s="12" t="s">
        <v>1414</v>
      </c>
      <c r="Q22" s="12" t="s">
        <v>1420</v>
      </c>
      <c r="R22" s="12" t="s">
        <v>1420</v>
      </c>
      <c r="S22" s="12" t="s">
        <v>1420</v>
      </c>
      <c r="T22" s="12" t="s">
        <v>1420</v>
      </c>
      <c r="U22" s="12" t="s">
        <v>1420</v>
      </c>
      <c r="V22" s="12" t="s">
        <v>1420</v>
      </c>
      <c r="W22" s="12" t="s">
        <v>1420</v>
      </c>
      <c r="X22" s="12" t="s">
        <v>1420</v>
      </c>
      <c r="Y22" s="12" t="s">
        <v>1420</v>
      </c>
      <c r="Z22" s="12" t="s">
        <v>1420</v>
      </c>
      <c r="AA22" s="12" t="s">
        <v>1420</v>
      </c>
      <c r="AB22" s="12" t="s">
        <v>1420</v>
      </c>
      <c r="AC22" s="12" t="s">
        <v>1414</v>
      </c>
      <c r="AD22" s="12" t="s">
        <v>1414</v>
      </c>
      <c r="AE22" s="12" t="s">
        <v>1420</v>
      </c>
      <c r="AF22" s="12" t="s">
        <v>1420</v>
      </c>
      <c r="AG22" s="12" t="s">
        <v>1420</v>
      </c>
    </row>
    <row r="23" spans="1:33" ht="14.4" x14ac:dyDescent="0.3">
      <c r="A23" s="12" t="s">
        <v>42</v>
      </c>
      <c r="B23" s="12" t="s">
        <v>754</v>
      </c>
      <c r="C23" s="12" t="s">
        <v>753</v>
      </c>
      <c r="D23" s="12" t="s">
        <v>1410</v>
      </c>
      <c r="E23" s="12" t="s">
        <v>2675</v>
      </c>
      <c r="F23" s="12" t="s">
        <v>2676</v>
      </c>
      <c r="G23" s="12" t="s">
        <v>2270</v>
      </c>
      <c r="H23" s="12" t="s">
        <v>1452</v>
      </c>
      <c r="I23" s="12" t="s">
        <v>1420</v>
      </c>
      <c r="J23" s="12" t="s">
        <v>1420</v>
      </c>
      <c r="K23" s="12" t="s">
        <v>1420</v>
      </c>
      <c r="L23" s="12" t="s">
        <v>1420</v>
      </c>
      <c r="M23" s="12" t="s">
        <v>1420</v>
      </c>
      <c r="N23" s="12" t="s">
        <v>1420</v>
      </c>
      <c r="O23" s="12" t="s">
        <v>1414</v>
      </c>
      <c r="P23" s="12" t="s">
        <v>1420</v>
      </c>
      <c r="Q23" s="12" t="s">
        <v>1420</v>
      </c>
      <c r="R23" s="12" t="s">
        <v>1420</v>
      </c>
      <c r="S23" s="12" t="s">
        <v>1420</v>
      </c>
      <c r="T23" s="12" t="s">
        <v>1420</v>
      </c>
      <c r="U23" s="12" t="s">
        <v>1420</v>
      </c>
      <c r="V23" s="12" t="s">
        <v>1420</v>
      </c>
      <c r="W23" s="12" t="s">
        <v>1420</v>
      </c>
      <c r="X23" s="12" t="s">
        <v>1420</v>
      </c>
      <c r="Y23" s="12" t="s">
        <v>1420</v>
      </c>
      <c r="Z23" s="12" t="s">
        <v>1420</v>
      </c>
      <c r="AA23" s="12" t="s">
        <v>1420</v>
      </c>
      <c r="AB23" s="12" t="s">
        <v>1420</v>
      </c>
      <c r="AC23" s="12" t="s">
        <v>1420</v>
      </c>
      <c r="AD23" s="12" t="s">
        <v>1420</v>
      </c>
      <c r="AE23" s="12" t="s">
        <v>1420</v>
      </c>
      <c r="AF23" s="12" t="s">
        <v>1420</v>
      </c>
      <c r="AG23" s="12" t="s">
        <v>1420</v>
      </c>
    </row>
    <row r="24" spans="1:33" ht="14.4" x14ac:dyDescent="0.3">
      <c r="A24" s="12" t="s">
        <v>42</v>
      </c>
      <c r="B24" s="12" t="s">
        <v>1067</v>
      </c>
      <c r="C24" s="12" t="s">
        <v>1066</v>
      </c>
      <c r="D24" s="12" t="s">
        <v>1410</v>
      </c>
      <c r="E24" s="12" t="s">
        <v>2995</v>
      </c>
      <c r="F24" s="12" t="s">
        <v>3008</v>
      </c>
      <c r="G24" s="12" t="s">
        <v>3009</v>
      </c>
      <c r="H24" s="12" t="s">
        <v>1452</v>
      </c>
      <c r="I24" s="12" t="s">
        <v>1420</v>
      </c>
      <c r="J24" s="12" t="s">
        <v>1420</v>
      </c>
      <c r="K24" s="12" t="s">
        <v>1420</v>
      </c>
      <c r="L24" s="12" t="s">
        <v>1420</v>
      </c>
      <c r="M24" s="12" t="s">
        <v>1420</v>
      </c>
      <c r="N24" s="12" t="s">
        <v>1420</v>
      </c>
      <c r="O24" s="12" t="s">
        <v>1420</v>
      </c>
      <c r="P24" s="12" t="s">
        <v>1420</v>
      </c>
      <c r="Q24" s="12" t="s">
        <v>1420</v>
      </c>
      <c r="R24" s="12" t="s">
        <v>1420</v>
      </c>
      <c r="S24" s="12" t="s">
        <v>1420</v>
      </c>
      <c r="T24" s="12" t="s">
        <v>1420</v>
      </c>
      <c r="U24" s="12" t="s">
        <v>1420</v>
      </c>
      <c r="V24" s="12" t="s">
        <v>1420</v>
      </c>
      <c r="W24" s="12" t="s">
        <v>1420</v>
      </c>
      <c r="X24" s="12" t="s">
        <v>1420</v>
      </c>
      <c r="Y24" s="12" t="s">
        <v>1420</v>
      </c>
      <c r="Z24" s="12" t="s">
        <v>1420</v>
      </c>
      <c r="AA24" s="12" t="s">
        <v>1420</v>
      </c>
      <c r="AB24" s="12" t="s">
        <v>1420</v>
      </c>
      <c r="AC24" s="12" t="s">
        <v>1414</v>
      </c>
      <c r="AD24" s="12" t="s">
        <v>1420</v>
      </c>
      <c r="AE24" s="12" t="s">
        <v>1420</v>
      </c>
      <c r="AF24" s="12" t="s">
        <v>1420</v>
      </c>
      <c r="AG24" s="12" t="s">
        <v>1420</v>
      </c>
    </row>
    <row r="25" spans="1:33" ht="14.4" x14ac:dyDescent="0.3">
      <c r="A25" s="12" t="s">
        <v>28</v>
      </c>
      <c r="B25" s="12" t="s">
        <v>1288</v>
      </c>
      <c r="C25" s="12" t="s">
        <v>1287</v>
      </c>
      <c r="D25" s="12" t="s">
        <v>1410</v>
      </c>
      <c r="E25" s="12" t="s">
        <v>2049</v>
      </c>
      <c r="F25" s="12" t="s">
        <v>2051</v>
      </c>
      <c r="G25" s="12" t="s">
        <v>2052</v>
      </c>
      <c r="H25" s="12" t="s">
        <v>1464</v>
      </c>
      <c r="I25" s="12" t="s">
        <v>1420</v>
      </c>
      <c r="J25" s="12" t="s">
        <v>1420</v>
      </c>
      <c r="K25" s="12" t="s">
        <v>1420</v>
      </c>
      <c r="L25" s="12" t="s">
        <v>1420</v>
      </c>
      <c r="M25" s="12" t="s">
        <v>1420</v>
      </c>
      <c r="N25" s="12" t="s">
        <v>1420</v>
      </c>
      <c r="O25" s="12" t="s">
        <v>1420</v>
      </c>
      <c r="P25" s="12" t="s">
        <v>1420</v>
      </c>
      <c r="Q25" s="12" t="s">
        <v>1420</v>
      </c>
      <c r="R25" s="12" t="s">
        <v>1420</v>
      </c>
      <c r="S25" s="12" t="s">
        <v>1420</v>
      </c>
      <c r="T25" s="12" t="s">
        <v>1420</v>
      </c>
      <c r="U25" s="12" t="s">
        <v>1420</v>
      </c>
      <c r="V25" s="12" t="s">
        <v>1420</v>
      </c>
      <c r="W25" s="12" t="s">
        <v>1420</v>
      </c>
      <c r="X25" s="12" t="s">
        <v>1420</v>
      </c>
      <c r="Y25" s="12" t="s">
        <v>1420</v>
      </c>
      <c r="Z25" s="12" t="s">
        <v>1420</v>
      </c>
      <c r="AA25" s="12" t="s">
        <v>1420</v>
      </c>
      <c r="AB25" s="12" t="s">
        <v>1420</v>
      </c>
      <c r="AC25" s="12" t="s">
        <v>1420</v>
      </c>
      <c r="AD25" s="12" t="s">
        <v>1420</v>
      </c>
      <c r="AE25" s="12" t="s">
        <v>1420</v>
      </c>
      <c r="AF25" s="12" t="s">
        <v>1420</v>
      </c>
      <c r="AG25" s="12" t="s">
        <v>1420</v>
      </c>
    </row>
    <row r="26" spans="1:33" ht="14.4" x14ac:dyDescent="0.3">
      <c r="A26" s="12" t="s">
        <v>939</v>
      </c>
      <c r="B26" s="12" t="s">
        <v>18</v>
      </c>
      <c r="C26" s="12" t="s">
        <v>17</v>
      </c>
      <c r="D26" s="12" t="s">
        <v>1410</v>
      </c>
      <c r="E26" s="12" t="s">
        <v>2154</v>
      </c>
      <c r="F26" s="12" t="s">
        <v>2148</v>
      </c>
      <c r="G26" s="12" t="s">
        <v>2158</v>
      </c>
      <c r="H26" s="12" t="s">
        <v>1419</v>
      </c>
      <c r="I26" s="12" t="s">
        <v>1420</v>
      </c>
      <c r="J26" s="12" t="s">
        <v>1420</v>
      </c>
      <c r="K26" s="12" t="s">
        <v>1420</v>
      </c>
      <c r="L26" s="12" t="s">
        <v>1420</v>
      </c>
      <c r="M26" s="12" t="s">
        <v>1420</v>
      </c>
      <c r="N26" s="12" t="s">
        <v>1420</v>
      </c>
      <c r="O26" s="12" t="s">
        <v>1420</v>
      </c>
      <c r="P26" s="12" t="s">
        <v>1420</v>
      </c>
      <c r="Q26" s="12" t="s">
        <v>1420</v>
      </c>
      <c r="R26" s="12" t="s">
        <v>1420</v>
      </c>
      <c r="S26" s="12" t="s">
        <v>1414</v>
      </c>
      <c r="T26" s="12" t="s">
        <v>1420</v>
      </c>
      <c r="U26" s="12" t="s">
        <v>1420</v>
      </c>
      <c r="V26" s="12" t="s">
        <v>1420</v>
      </c>
      <c r="W26" s="12" t="s">
        <v>1420</v>
      </c>
      <c r="X26" s="12" t="s">
        <v>1420</v>
      </c>
      <c r="Y26" s="12" t="s">
        <v>1420</v>
      </c>
      <c r="Z26" s="12" t="s">
        <v>1420</v>
      </c>
      <c r="AA26" s="12" t="s">
        <v>1420</v>
      </c>
      <c r="AB26" s="12" t="s">
        <v>1420</v>
      </c>
      <c r="AC26" s="12" t="s">
        <v>1420</v>
      </c>
      <c r="AD26" s="12" t="s">
        <v>1420</v>
      </c>
      <c r="AE26" s="12" t="s">
        <v>1420</v>
      </c>
      <c r="AF26" s="12" t="s">
        <v>1420</v>
      </c>
      <c r="AG26" s="12" t="s">
        <v>1414</v>
      </c>
    </row>
    <row r="27" spans="1:33" ht="14.4" x14ac:dyDescent="0.3">
      <c r="A27" s="12" t="s">
        <v>11</v>
      </c>
      <c r="B27" s="12" t="s">
        <v>756</v>
      </c>
      <c r="C27" s="12" t="s">
        <v>755</v>
      </c>
      <c r="D27" s="12" t="s">
        <v>1410</v>
      </c>
      <c r="E27" s="12" t="s">
        <v>2618</v>
      </c>
      <c r="F27" s="12" t="s">
        <v>2619</v>
      </c>
      <c r="G27" s="12" t="s">
        <v>1612</v>
      </c>
      <c r="H27" s="12" t="s">
        <v>1448</v>
      </c>
      <c r="I27" s="12" t="s">
        <v>1420</v>
      </c>
      <c r="J27" s="12" t="s">
        <v>1420</v>
      </c>
      <c r="K27" s="12" t="s">
        <v>1420</v>
      </c>
      <c r="L27" s="12" t="s">
        <v>1420</v>
      </c>
      <c r="M27" s="12" t="s">
        <v>1420</v>
      </c>
      <c r="N27" s="12" t="s">
        <v>1420</v>
      </c>
      <c r="O27" s="12" t="s">
        <v>1420</v>
      </c>
      <c r="P27" s="12" t="s">
        <v>1414</v>
      </c>
      <c r="Q27" s="12" t="s">
        <v>1420</v>
      </c>
      <c r="R27" s="12" t="s">
        <v>1420</v>
      </c>
      <c r="S27" s="12" t="s">
        <v>1420</v>
      </c>
      <c r="T27" s="12" t="s">
        <v>1420</v>
      </c>
      <c r="U27" s="12" t="s">
        <v>1420</v>
      </c>
      <c r="V27" s="12" t="s">
        <v>1420</v>
      </c>
      <c r="W27" s="12" t="s">
        <v>1420</v>
      </c>
      <c r="X27" s="12" t="s">
        <v>1420</v>
      </c>
      <c r="Y27" s="12" t="s">
        <v>1420</v>
      </c>
      <c r="Z27" s="12" t="s">
        <v>1414</v>
      </c>
      <c r="AA27" s="12" t="s">
        <v>1414</v>
      </c>
      <c r="AB27" s="12" t="s">
        <v>1420</v>
      </c>
      <c r="AC27" s="12" t="s">
        <v>1420</v>
      </c>
      <c r="AD27" s="12" t="s">
        <v>1414</v>
      </c>
      <c r="AE27" s="12" t="s">
        <v>1420</v>
      </c>
      <c r="AF27" s="12" t="s">
        <v>1414</v>
      </c>
      <c r="AG27" s="12" t="s">
        <v>1420</v>
      </c>
    </row>
    <row r="28" spans="1:33" ht="14.4" x14ac:dyDescent="0.3">
      <c r="A28" s="12" t="s">
        <v>133</v>
      </c>
      <c r="B28" s="12" t="s">
        <v>756</v>
      </c>
      <c r="C28" s="12" t="s">
        <v>757</v>
      </c>
      <c r="D28" s="12" t="s">
        <v>1410</v>
      </c>
      <c r="E28" s="12" t="s">
        <v>2257</v>
      </c>
      <c r="F28" s="12" t="s">
        <v>2259</v>
      </c>
      <c r="G28" s="12" t="s">
        <v>2260</v>
      </c>
      <c r="H28" s="12" t="s">
        <v>1419</v>
      </c>
      <c r="I28" s="12" t="s">
        <v>1420</v>
      </c>
      <c r="J28" s="12" t="s">
        <v>1420</v>
      </c>
      <c r="K28" s="12" t="s">
        <v>1420</v>
      </c>
      <c r="L28" s="12" t="s">
        <v>1420</v>
      </c>
      <c r="M28" s="12" t="s">
        <v>1420</v>
      </c>
      <c r="N28" s="12" t="s">
        <v>1420</v>
      </c>
      <c r="O28" s="12" t="s">
        <v>1420</v>
      </c>
      <c r="P28" s="12" t="s">
        <v>1420</v>
      </c>
      <c r="Q28" s="12" t="s">
        <v>1420</v>
      </c>
      <c r="R28" s="12" t="s">
        <v>1420</v>
      </c>
      <c r="S28" s="12" t="s">
        <v>1420</v>
      </c>
      <c r="T28" s="12" t="s">
        <v>1420</v>
      </c>
      <c r="U28" s="12" t="s">
        <v>1420</v>
      </c>
      <c r="V28" s="12" t="s">
        <v>1420</v>
      </c>
      <c r="W28" s="12" t="s">
        <v>1420</v>
      </c>
      <c r="X28" s="12" t="s">
        <v>1420</v>
      </c>
      <c r="Y28" s="12" t="s">
        <v>1420</v>
      </c>
      <c r="Z28" s="12" t="s">
        <v>1414</v>
      </c>
      <c r="AA28" s="12" t="s">
        <v>1420</v>
      </c>
      <c r="AB28" s="12" t="s">
        <v>1420</v>
      </c>
      <c r="AC28" s="12" t="s">
        <v>1420</v>
      </c>
      <c r="AD28" s="12" t="s">
        <v>1420</v>
      </c>
      <c r="AE28" s="12" t="s">
        <v>1414</v>
      </c>
      <c r="AF28" s="12" t="s">
        <v>1420</v>
      </c>
      <c r="AG28" s="12" t="s">
        <v>1420</v>
      </c>
    </row>
    <row r="29" spans="1:33" ht="14.4" x14ac:dyDescent="0.3">
      <c r="A29" s="12" t="s">
        <v>16</v>
      </c>
      <c r="B29" s="12" t="s">
        <v>297</v>
      </c>
      <c r="C29" s="12" t="s">
        <v>296</v>
      </c>
      <c r="D29" s="12" t="s">
        <v>1410</v>
      </c>
      <c r="E29" s="12" t="s">
        <v>1644</v>
      </c>
      <c r="F29" s="12" t="s">
        <v>1645</v>
      </c>
      <c r="G29" s="12" t="s">
        <v>1646</v>
      </c>
      <c r="H29" s="12" t="s">
        <v>1424</v>
      </c>
      <c r="I29" s="12" t="s">
        <v>1420</v>
      </c>
      <c r="J29" s="12" t="s">
        <v>1414</v>
      </c>
      <c r="K29" s="12" t="s">
        <v>1414</v>
      </c>
      <c r="L29" s="12" t="s">
        <v>1420</v>
      </c>
      <c r="M29" s="12" t="s">
        <v>1420</v>
      </c>
      <c r="N29" s="12" t="s">
        <v>1420</v>
      </c>
      <c r="O29" s="12" t="s">
        <v>1420</v>
      </c>
      <c r="P29" s="12" t="s">
        <v>1420</v>
      </c>
      <c r="Q29" s="12" t="s">
        <v>1420</v>
      </c>
      <c r="R29" s="12" t="s">
        <v>1420</v>
      </c>
      <c r="S29" s="12" t="s">
        <v>1414</v>
      </c>
      <c r="T29" s="12" t="s">
        <v>1420</v>
      </c>
      <c r="U29" s="12" t="s">
        <v>1420</v>
      </c>
      <c r="V29" s="12" t="s">
        <v>1420</v>
      </c>
      <c r="W29" s="12" t="s">
        <v>1420</v>
      </c>
      <c r="X29" s="12" t="s">
        <v>1420</v>
      </c>
      <c r="Y29" s="12" t="s">
        <v>1420</v>
      </c>
      <c r="Z29" s="12" t="s">
        <v>1420</v>
      </c>
      <c r="AA29" s="12" t="s">
        <v>1420</v>
      </c>
      <c r="AB29" s="12" t="s">
        <v>1420</v>
      </c>
      <c r="AC29" s="12" t="s">
        <v>1420</v>
      </c>
      <c r="AD29" s="12" t="s">
        <v>1420</v>
      </c>
      <c r="AE29" s="12" t="s">
        <v>1420</v>
      </c>
      <c r="AF29" s="12" t="s">
        <v>1420</v>
      </c>
      <c r="AG29" s="12" t="s">
        <v>1420</v>
      </c>
    </row>
    <row r="30" spans="1:33" ht="14.4" x14ac:dyDescent="0.3">
      <c r="A30" s="12" t="s">
        <v>22</v>
      </c>
      <c r="B30" s="12" t="s">
        <v>21</v>
      </c>
      <c r="C30" s="12" t="s">
        <v>20</v>
      </c>
      <c r="D30" s="12" t="s">
        <v>1410</v>
      </c>
      <c r="E30" s="12" t="s">
        <v>2098</v>
      </c>
      <c r="F30" s="12" t="s">
        <v>2093</v>
      </c>
      <c r="G30" s="12" t="s">
        <v>2102</v>
      </c>
      <c r="H30" s="12" t="s">
        <v>1464</v>
      </c>
      <c r="I30" s="12" t="s">
        <v>1420</v>
      </c>
      <c r="J30" s="12" t="s">
        <v>1420</v>
      </c>
      <c r="K30" s="12" t="s">
        <v>1420</v>
      </c>
      <c r="L30" s="12" t="s">
        <v>1420</v>
      </c>
      <c r="M30" s="12" t="s">
        <v>1420</v>
      </c>
      <c r="N30" s="12" t="s">
        <v>1420</v>
      </c>
      <c r="O30" s="12" t="s">
        <v>1420</v>
      </c>
      <c r="P30" s="12" t="s">
        <v>1420</v>
      </c>
      <c r="Q30" s="12" t="s">
        <v>1420</v>
      </c>
      <c r="R30" s="12" t="s">
        <v>1420</v>
      </c>
      <c r="S30" s="12" t="s">
        <v>1420</v>
      </c>
      <c r="T30" s="12" t="s">
        <v>1420</v>
      </c>
      <c r="U30" s="12" t="s">
        <v>1420</v>
      </c>
      <c r="V30" s="12" t="s">
        <v>1420</v>
      </c>
      <c r="W30" s="12" t="s">
        <v>1420</v>
      </c>
      <c r="X30" s="12" t="s">
        <v>1420</v>
      </c>
      <c r="Y30" s="12" t="s">
        <v>1420</v>
      </c>
      <c r="Z30" s="12" t="s">
        <v>1420</v>
      </c>
      <c r="AA30" s="12" t="s">
        <v>1420</v>
      </c>
      <c r="AB30" s="12" t="s">
        <v>1420</v>
      </c>
      <c r="AC30" s="12" t="s">
        <v>1420</v>
      </c>
      <c r="AD30" s="12" t="s">
        <v>1420</v>
      </c>
      <c r="AE30" s="12" t="s">
        <v>1420</v>
      </c>
      <c r="AF30" s="12" t="s">
        <v>1420</v>
      </c>
      <c r="AG30" s="12" t="s">
        <v>1420</v>
      </c>
    </row>
    <row r="31" spans="1:33" ht="14.4" x14ac:dyDescent="0.3">
      <c r="A31" s="12" t="s">
        <v>25</v>
      </c>
      <c r="B31" s="12" t="s">
        <v>436</v>
      </c>
      <c r="C31" s="12" t="s">
        <v>435</v>
      </c>
      <c r="D31" s="12" t="s">
        <v>1410</v>
      </c>
      <c r="E31" s="12" t="s">
        <v>1516</v>
      </c>
      <c r="F31" s="12" t="s">
        <v>1517</v>
      </c>
      <c r="G31" s="12" t="s">
        <v>1518</v>
      </c>
      <c r="H31" s="12" t="s">
        <v>1424</v>
      </c>
      <c r="I31" s="12" t="s">
        <v>1420</v>
      </c>
      <c r="J31" s="12" t="s">
        <v>1420</v>
      </c>
      <c r="K31" s="12" t="s">
        <v>1420</v>
      </c>
      <c r="L31" s="12" t="s">
        <v>1420</v>
      </c>
      <c r="M31" s="12" t="s">
        <v>1420</v>
      </c>
      <c r="N31" s="12" t="s">
        <v>1420</v>
      </c>
      <c r="O31" s="12" t="s">
        <v>1420</v>
      </c>
      <c r="P31" s="12" t="s">
        <v>1420</v>
      </c>
      <c r="Q31" s="12" t="s">
        <v>1420</v>
      </c>
      <c r="R31" s="12" t="s">
        <v>1420</v>
      </c>
      <c r="S31" s="12" t="s">
        <v>1414</v>
      </c>
      <c r="T31" s="12" t="s">
        <v>1420</v>
      </c>
      <c r="U31" s="12" t="s">
        <v>1414</v>
      </c>
      <c r="V31" s="12" t="s">
        <v>1420</v>
      </c>
      <c r="W31" s="12" t="s">
        <v>1414</v>
      </c>
      <c r="X31" s="12" t="s">
        <v>1420</v>
      </c>
      <c r="Y31" s="12" t="s">
        <v>1420</v>
      </c>
      <c r="Z31" s="12" t="s">
        <v>1420</v>
      </c>
      <c r="AA31" s="12" t="s">
        <v>1420</v>
      </c>
      <c r="AB31" s="12" t="s">
        <v>1420</v>
      </c>
      <c r="AC31" s="12" t="s">
        <v>1420</v>
      </c>
      <c r="AD31" s="12" t="s">
        <v>1420</v>
      </c>
      <c r="AE31" s="12" t="s">
        <v>1420</v>
      </c>
      <c r="AF31" s="12" t="s">
        <v>1420</v>
      </c>
      <c r="AG31" s="12" t="s">
        <v>1420</v>
      </c>
    </row>
    <row r="32" spans="1:33" ht="14.4" x14ac:dyDescent="0.3">
      <c r="A32" s="12" t="s">
        <v>25</v>
      </c>
      <c r="B32" s="12" t="s">
        <v>436</v>
      </c>
      <c r="C32" s="12" t="s">
        <v>435</v>
      </c>
      <c r="D32" s="12" t="s">
        <v>1410</v>
      </c>
      <c r="E32" s="12" t="s">
        <v>1522</v>
      </c>
      <c r="F32" s="12" t="s">
        <v>1523</v>
      </c>
      <c r="G32" s="12" t="s">
        <v>1524</v>
      </c>
      <c r="H32" s="12" t="s">
        <v>1419</v>
      </c>
      <c r="I32" s="12" t="s">
        <v>1420</v>
      </c>
      <c r="J32" s="12" t="s">
        <v>1420</v>
      </c>
      <c r="K32" s="12" t="s">
        <v>1420</v>
      </c>
      <c r="L32" s="12" t="s">
        <v>1420</v>
      </c>
      <c r="M32" s="12" t="s">
        <v>1420</v>
      </c>
      <c r="N32" s="12" t="s">
        <v>1414</v>
      </c>
      <c r="O32" s="12" t="s">
        <v>1420</v>
      </c>
      <c r="P32" s="12" t="s">
        <v>1420</v>
      </c>
      <c r="Q32" s="12" t="s">
        <v>1420</v>
      </c>
      <c r="R32" s="12" t="s">
        <v>1420</v>
      </c>
      <c r="S32" s="12" t="s">
        <v>1420</v>
      </c>
      <c r="T32" s="12" t="s">
        <v>1420</v>
      </c>
      <c r="U32" s="12" t="s">
        <v>1420</v>
      </c>
      <c r="V32" s="12" t="s">
        <v>1420</v>
      </c>
      <c r="W32" s="12" t="s">
        <v>1414</v>
      </c>
      <c r="X32" s="12" t="s">
        <v>1420</v>
      </c>
      <c r="Y32" s="12" t="s">
        <v>1420</v>
      </c>
      <c r="Z32" s="12" t="s">
        <v>1420</v>
      </c>
      <c r="AA32" s="12" t="s">
        <v>1420</v>
      </c>
      <c r="AB32" s="12" t="s">
        <v>1420</v>
      </c>
      <c r="AC32" s="12" t="s">
        <v>1420</v>
      </c>
      <c r="AD32" s="12" t="s">
        <v>1420</v>
      </c>
      <c r="AE32" s="12" t="s">
        <v>1420</v>
      </c>
      <c r="AF32" s="12" t="s">
        <v>1420</v>
      </c>
      <c r="AG32" s="12" t="s">
        <v>1420</v>
      </c>
    </row>
    <row r="33" spans="1:33" ht="14.4" x14ac:dyDescent="0.3">
      <c r="A33" s="12" t="s">
        <v>794</v>
      </c>
      <c r="B33" s="12" t="s">
        <v>436</v>
      </c>
      <c r="C33" s="12" t="s">
        <v>1148</v>
      </c>
      <c r="D33" s="12" t="s">
        <v>1410</v>
      </c>
      <c r="E33" s="12" t="s">
        <v>1745</v>
      </c>
      <c r="F33" s="12" t="s">
        <v>1791</v>
      </c>
      <c r="G33" s="12" t="s">
        <v>1792</v>
      </c>
      <c r="H33" s="12" t="s">
        <v>1464</v>
      </c>
      <c r="I33" s="12" t="s">
        <v>1420</v>
      </c>
      <c r="J33" s="12" t="s">
        <v>1420</v>
      </c>
      <c r="K33" s="12" t="s">
        <v>1420</v>
      </c>
      <c r="L33" s="12" t="s">
        <v>1420</v>
      </c>
      <c r="M33" s="12" t="s">
        <v>1420</v>
      </c>
      <c r="N33" s="12" t="s">
        <v>1420</v>
      </c>
      <c r="O33" s="12" t="s">
        <v>1420</v>
      </c>
      <c r="P33" s="12" t="s">
        <v>1420</v>
      </c>
      <c r="Q33" s="12" t="s">
        <v>1420</v>
      </c>
      <c r="R33" s="12" t="s">
        <v>1420</v>
      </c>
      <c r="S33" s="12" t="s">
        <v>1420</v>
      </c>
      <c r="T33" s="12" t="s">
        <v>1420</v>
      </c>
      <c r="U33" s="12" t="s">
        <v>1420</v>
      </c>
      <c r="V33" s="12" t="s">
        <v>1420</v>
      </c>
      <c r="W33" s="12" t="s">
        <v>1420</v>
      </c>
      <c r="X33" s="12" t="s">
        <v>1420</v>
      </c>
      <c r="Y33" s="12" t="s">
        <v>1420</v>
      </c>
      <c r="Z33" s="12" t="s">
        <v>1420</v>
      </c>
      <c r="AA33" s="12" t="s">
        <v>1420</v>
      </c>
      <c r="AB33" s="12" t="s">
        <v>1420</v>
      </c>
      <c r="AC33" s="12" t="s">
        <v>1420</v>
      </c>
      <c r="AD33" s="12" t="s">
        <v>1420</v>
      </c>
      <c r="AE33" s="12" t="s">
        <v>1420</v>
      </c>
      <c r="AF33" s="12" t="s">
        <v>1420</v>
      </c>
      <c r="AG33" s="12" t="s">
        <v>1420</v>
      </c>
    </row>
    <row r="34" spans="1:33" ht="14.4" x14ac:dyDescent="0.3">
      <c r="A34" s="12" t="s">
        <v>8</v>
      </c>
      <c r="B34" s="12" t="s">
        <v>438</v>
      </c>
      <c r="C34" s="12" t="s">
        <v>437</v>
      </c>
      <c r="D34" s="12" t="s">
        <v>1410</v>
      </c>
      <c r="E34" s="12" t="s">
        <v>3143</v>
      </c>
      <c r="F34" s="12" t="s">
        <v>3144</v>
      </c>
      <c r="G34" s="12" t="s">
        <v>3145</v>
      </c>
      <c r="H34" s="12" t="s">
        <v>1424</v>
      </c>
      <c r="I34" s="12" t="s">
        <v>1420</v>
      </c>
      <c r="J34" s="12" t="s">
        <v>1420</v>
      </c>
      <c r="K34" s="12" t="s">
        <v>1420</v>
      </c>
      <c r="L34" s="12" t="s">
        <v>1420</v>
      </c>
      <c r="M34" s="12" t="s">
        <v>1420</v>
      </c>
      <c r="N34" s="12" t="s">
        <v>1420</v>
      </c>
      <c r="O34" s="12" t="s">
        <v>1420</v>
      </c>
      <c r="P34" s="12" t="s">
        <v>1420</v>
      </c>
      <c r="Q34" s="12" t="s">
        <v>1414</v>
      </c>
      <c r="R34" s="12" t="s">
        <v>1420</v>
      </c>
      <c r="S34" s="12" t="s">
        <v>1420</v>
      </c>
      <c r="T34" s="12" t="s">
        <v>1420</v>
      </c>
      <c r="U34" s="12" t="s">
        <v>1420</v>
      </c>
      <c r="V34" s="12" t="s">
        <v>1420</v>
      </c>
      <c r="W34" s="12" t="s">
        <v>1420</v>
      </c>
      <c r="X34" s="12" t="s">
        <v>1420</v>
      </c>
      <c r="Y34" s="12" t="s">
        <v>1420</v>
      </c>
      <c r="Z34" s="12" t="s">
        <v>1420</v>
      </c>
      <c r="AA34" s="12" t="s">
        <v>1420</v>
      </c>
      <c r="AB34" s="12" t="s">
        <v>1414</v>
      </c>
      <c r="AC34" s="12" t="s">
        <v>1420</v>
      </c>
      <c r="AD34" s="12" t="s">
        <v>1414</v>
      </c>
      <c r="AE34" s="12" t="s">
        <v>1420</v>
      </c>
      <c r="AF34" s="12" t="s">
        <v>1420</v>
      </c>
      <c r="AG34" s="12" t="s">
        <v>1420</v>
      </c>
    </row>
    <row r="35" spans="1:33" ht="14.4" x14ac:dyDescent="0.3">
      <c r="A35" s="12" t="s">
        <v>8</v>
      </c>
      <c r="B35" s="12" t="s">
        <v>1150</v>
      </c>
      <c r="C35" s="12" t="s">
        <v>1149</v>
      </c>
      <c r="D35" s="12" t="s">
        <v>1410</v>
      </c>
      <c r="E35" s="12" t="s">
        <v>2972</v>
      </c>
      <c r="F35" s="12" t="s">
        <v>2975</v>
      </c>
      <c r="G35" s="12" t="s">
        <v>1810</v>
      </c>
      <c r="H35" s="12" t="s">
        <v>1452</v>
      </c>
      <c r="I35" s="12" t="s">
        <v>1420</v>
      </c>
      <c r="J35" s="12" t="s">
        <v>1420</v>
      </c>
      <c r="K35" s="12" t="s">
        <v>1420</v>
      </c>
      <c r="L35" s="12" t="s">
        <v>1420</v>
      </c>
      <c r="M35" s="12" t="s">
        <v>1420</v>
      </c>
      <c r="N35" s="12" t="s">
        <v>1420</v>
      </c>
      <c r="O35" s="12" t="s">
        <v>1420</v>
      </c>
      <c r="P35" s="12" t="s">
        <v>1420</v>
      </c>
      <c r="Q35" s="12" t="s">
        <v>1420</v>
      </c>
      <c r="R35" s="12" t="s">
        <v>1420</v>
      </c>
      <c r="S35" s="12" t="s">
        <v>1420</v>
      </c>
      <c r="T35" s="12" t="s">
        <v>1420</v>
      </c>
      <c r="U35" s="12" t="s">
        <v>1420</v>
      </c>
      <c r="V35" s="12" t="s">
        <v>1420</v>
      </c>
      <c r="W35" s="12" t="s">
        <v>1420</v>
      </c>
      <c r="X35" s="12" t="s">
        <v>1420</v>
      </c>
      <c r="Y35" s="12" t="s">
        <v>1420</v>
      </c>
      <c r="Z35" s="12" t="s">
        <v>1420</v>
      </c>
      <c r="AA35" s="12" t="s">
        <v>1420</v>
      </c>
      <c r="AB35" s="12" t="s">
        <v>1414</v>
      </c>
      <c r="AC35" s="12" t="s">
        <v>1420</v>
      </c>
      <c r="AD35" s="12" t="s">
        <v>1420</v>
      </c>
      <c r="AE35" s="12" t="s">
        <v>1420</v>
      </c>
      <c r="AF35" s="12" t="s">
        <v>1420</v>
      </c>
      <c r="AG35" s="12" t="s">
        <v>1420</v>
      </c>
    </row>
    <row r="36" spans="1:33" ht="14.4" x14ac:dyDescent="0.3">
      <c r="A36" s="12" t="s">
        <v>42</v>
      </c>
      <c r="B36" s="12" t="s">
        <v>1290</v>
      </c>
      <c r="C36" s="12" t="s">
        <v>1289</v>
      </c>
      <c r="D36" s="12" t="s">
        <v>1410</v>
      </c>
      <c r="E36" s="12" t="s">
        <v>1940</v>
      </c>
      <c r="F36" s="12" t="s">
        <v>1941</v>
      </c>
      <c r="G36" s="12" t="s">
        <v>1942</v>
      </c>
      <c r="H36" s="12" t="s">
        <v>1448</v>
      </c>
      <c r="I36" s="12" t="s">
        <v>1420</v>
      </c>
      <c r="J36" s="12" t="s">
        <v>1420</v>
      </c>
      <c r="K36" s="12" t="s">
        <v>1420</v>
      </c>
      <c r="L36" s="12" t="s">
        <v>1420</v>
      </c>
      <c r="M36" s="12" t="s">
        <v>1420</v>
      </c>
      <c r="N36" s="12" t="s">
        <v>1420</v>
      </c>
      <c r="O36" s="12" t="s">
        <v>1414</v>
      </c>
      <c r="P36" s="12" t="s">
        <v>1420</v>
      </c>
      <c r="Q36" s="12" t="s">
        <v>1420</v>
      </c>
      <c r="R36" s="12" t="s">
        <v>1420</v>
      </c>
      <c r="S36" s="12" t="s">
        <v>1420</v>
      </c>
      <c r="T36" s="12" t="s">
        <v>1420</v>
      </c>
      <c r="U36" s="12" t="s">
        <v>1420</v>
      </c>
      <c r="V36" s="12" t="s">
        <v>1420</v>
      </c>
      <c r="W36" s="12" t="s">
        <v>1420</v>
      </c>
      <c r="X36" s="12" t="s">
        <v>1414</v>
      </c>
      <c r="Y36" s="12" t="s">
        <v>1420</v>
      </c>
      <c r="Z36" s="12" t="s">
        <v>1420</v>
      </c>
      <c r="AA36" s="12" t="s">
        <v>1414</v>
      </c>
      <c r="AB36" s="12" t="s">
        <v>1420</v>
      </c>
      <c r="AC36" s="12" t="s">
        <v>1414</v>
      </c>
      <c r="AD36" s="12" t="s">
        <v>1420</v>
      </c>
      <c r="AE36" s="12" t="s">
        <v>1420</v>
      </c>
      <c r="AF36" s="12" t="s">
        <v>1414</v>
      </c>
      <c r="AG36" s="12" t="s">
        <v>1420</v>
      </c>
    </row>
    <row r="37" spans="1:33" ht="14.4" x14ac:dyDescent="0.3">
      <c r="A37" s="12" t="s">
        <v>8</v>
      </c>
      <c r="B37" s="12" t="s">
        <v>1039</v>
      </c>
      <c r="C37" s="12" t="s">
        <v>1038</v>
      </c>
      <c r="D37" s="12" t="s">
        <v>1410</v>
      </c>
      <c r="E37" s="12" t="s">
        <v>2839</v>
      </c>
      <c r="F37" s="12" t="s">
        <v>2840</v>
      </c>
      <c r="G37" s="12" t="s">
        <v>2413</v>
      </c>
      <c r="H37" s="12" t="s">
        <v>1424</v>
      </c>
      <c r="I37" s="12" t="s">
        <v>1420</v>
      </c>
      <c r="J37" s="12" t="s">
        <v>1420</v>
      </c>
      <c r="K37" s="12" t="s">
        <v>1420</v>
      </c>
      <c r="L37" s="12" t="s">
        <v>1420</v>
      </c>
      <c r="M37" s="12" t="s">
        <v>1420</v>
      </c>
      <c r="N37" s="12" t="s">
        <v>1420</v>
      </c>
      <c r="O37" s="12" t="s">
        <v>1420</v>
      </c>
      <c r="P37" s="12" t="s">
        <v>1420</v>
      </c>
      <c r="Q37" s="12" t="s">
        <v>1420</v>
      </c>
      <c r="R37" s="12" t="s">
        <v>1420</v>
      </c>
      <c r="S37" s="12" t="s">
        <v>1414</v>
      </c>
      <c r="T37" s="12" t="s">
        <v>1420</v>
      </c>
      <c r="U37" s="12" t="s">
        <v>1420</v>
      </c>
      <c r="V37" s="12" t="s">
        <v>1420</v>
      </c>
      <c r="W37" s="12" t="s">
        <v>1420</v>
      </c>
      <c r="X37" s="12" t="s">
        <v>1414</v>
      </c>
      <c r="Y37" s="12" t="s">
        <v>1420</v>
      </c>
      <c r="Z37" s="12" t="s">
        <v>1420</v>
      </c>
      <c r="AA37" s="12" t="s">
        <v>1420</v>
      </c>
      <c r="AB37" s="12" t="s">
        <v>1420</v>
      </c>
      <c r="AC37" s="12" t="s">
        <v>1414</v>
      </c>
      <c r="AD37" s="12" t="s">
        <v>1420</v>
      </c>
      <c r="AE37" s="12" t="s">
        <v>1420</v>
      </c>
      <c r="AF37" s="12" t="s">
        <v>1420</v>
      </c>
      <c r="AG37" s="12" t="s">
        <v>1420</v>
      </c>
    </row>
    <row r="38" spans="1:33" ht="14.4" x14ac:dyDescent="0.3">
      <c r="A38" s="12" t="s">
        <v>25</v>
      </c>
      <c r="B38" s="12" t="s">
        <v>1152</v>
      </c>
      <c r="C38" s="12" t="s">
        <v>1151</v>
      </c>
      <c r="D38" s="12" t="s">
        <v>1410</v>
      </c>
      <c r="E38" s="12" t="s">
        <v>1966</v>
      </c>
      <c r="F38" s="12" t="s">
        <v>1967</v>
      </c>
      <c r="G38" s="12" t="s">
        <v>1968</v>
      </c>
      <c r="H38" s="12" t="s">
        <v>1452</v>
      </c>
      <c r="I38" s="12" t="s">
        <v>1420</v>
      </c>
      <c r="J38" s="12" t="s">
        <v>1420</v>
      </c>
      <c r="K38" s="12" t="s">
        <v>1420</v>
      </c>
      <c r="L38" s="12" t="s">
        <v>1420</v>
      </c>
      <c r="M38" s="12" t="s">
        <v>1420</v>
      </c>
      <c r="N38" s="12" t="s">
        <v>1420</v>
      </c>
      <c r="O38" s="12" t="s">
        <v>1420</v>
      </c>
      <c r="P38" s="12" t="s">
        <v>1420</v>
      </c>
      <c r="Q38" s="12" t="s">
        <v>1420</v>
      </c>
      <c r="R38" s="12" t="s">
        <v>1420</v>
      </c>
      <c r="S38" s="12" t="s">
        <v>1420</v>
      </c>
      <c r="T38" s="12" t="s">
        <v>1420</v>
      </c>
      <c r="U38" s="12" t="s">
        <v>1420</v>
      </c>
      <c r="V38" s="12" t="s">
        <v>1420</v>
      </c>
      <c r="W38" s="12" t="s">
        <v>1420</v>
      </c>
      <c r="X38" s="12" t="s">
        <v>1420</v>
      </c>
      <c r="Y38" s="12" t="s">
        <v>1420</v>
      </c>
      <c r="Z38" s="12" t="s">
        <v>1420</v>
      </c>
      <c r="AA38" s="12" t="s">
        <v>1420</v>
      </c>
      <c r="AB38" s="12" t="s">
        <v>1420</v>
      </c>
      <c r="AC38" s="12" t="s">
        <v>1420</v>
      </c>
      <c r="AD38" s="12" t="s">
        <v>1414</v>
      </c>
      <c r="AE38" s="12" t="s">
        <v>1420</v>
      </c>
      <c r="AF38" s="12" t="s">
        <v>1420</v>
      </c>
      <c r="AG38" s="12" t="s">
        <v>1420</v>
      </c>
    </row>
    <row r="39" spans="1:33" ht="14.4" x14ac:dyDescent="0.3">
      <c r="A39" s="12" t="s">
        <v>1070</v>
      </c>
      <c r="B39" s="12" t="s">
        <v>1069</v>
      </c>
      <c r="C39" s="12" t="s">
        <v>1068</v>
      </c>
      <c r="D39" s="12" t="s">
        <v>1410</v>
      </c>
      <c r="E39" s="12" t="s">
        <v>1630</v>
      </c>
      <c r="F39" s="12" t="s">
        <v>1631</v>
      </c>
      <c r="G39" s="12" t="s">
        <v>1632</v>
      </c>
      <c r="H39" s="12" t="s">
        <v>1464</v>
      </c>
      <c r="I39" s="12" t="s">
        <v>1420</v>
      </c>
      <c r="J39" s="12" t="s">
        <v>1420</v>
      </c>
      <c r="K39" s="12" t="s">
        <v>1420</v>
      </c>
      <c r="L39" s="12" t="s">
        <v>1420</v>
      </c>
      <c r="M39" s="12" t="s">
        <v>1420</v>
      </c>
      <c r="N39" s="12" t="s">
        <v>1420</v>
      </c>
      <c r="O39" s="12" t="s">
        <v>1420</v>
      </c>
      <c r="P39" s="12" t="s">
        <v>1420</v>
      </c>
      <c r="Q39" s="12" t="s">
        <v>1420</v>
      </c>
      <c r="R39" s="12" t="s">
        <v>1420</v>
      </c>
      <c r="S39" s="12" t="s">
        <v>1420</v>
      </c>
      <c r="T39" s="12" t="s">
        <v>1420</v>
      </c>
      <c r="U39" s="12" t="s">
        <v>1420</v>
      </c>
      <c r="V39" s="12" t="s">
        <v>1420</v>
      </c>
      <c r="W39" s="12" t="s">
        <v>1420</v>
      </c>
      <c r="X39" s="12" t="s">
        <v>1420</v>
      </c>
      <c r="Y39" s="12" t="s">
        <v>1420</v>
      </c>
      <c r="Z39" s="12" t="s">
        <v>1420</v>
      </c>
      <c r="AA39" s="12" t="s">
        <v>1420</v>
      </c>
      <c r="AB39" s="12" t="s">
        <v>1420</v>
      </c>
      <c r="AC39" s="12" t="s">
        <v>1420</v>
      </c>
      <c r="AD39" s="12" t="s">
        <v>1420</v>
      </c>
      <c r="AE39" s="12" t="s">
        <v>1420</v>
      </c>
      <c r="AF39" s="12" t="s">
        <v>1420</v>
      </c>
      <c r="AG39" s="12" t="s">
        <v>1420</v>
      </c>
    </row>
    <row r="40" spans="1:33" ht="14.4" x14ac:dyDescent="0.3">
      <c r="A40" s="12" t="s">
        <v>71</v>
      </c>
      <c r="B40" s="12" t="s">
        <v>759</v>
      </c>
      <c r="C40" s="12" t="s">
        <v>758</v>
      </c>
      <c r="D40" s="12" t="s">
        <v>1410</v>
      </c>
      <c r="E40" s="12" t="s">
        <v>2892</v>
      </c>
      <c r="F40" s="12" t="s">
        <v>2893</v>
      </c>
      <c r="G40" s="12" t="s">
        <v>2186</v>
      </c>
      <c r="H40" s="12" t="s">
        <v>1488</v>
      </c>
      <c r="I40" s="12" t="s">
        <v>1414</v>
      </c>
      <c r="J40" s="12" t="s">
        <v>1420</v>
      </c>
      <c r="K40" s="12" t="s">
        <v>1420</v>
      </c>
      <c r="L40" s="12" t="s">
        <v>1420</v>
      </c>
      <c r="M40" s="12" t="s">
        <v>1420</v>
      </c>
      <c r="N40" s="12" t="s">
        <v>1420</v>
      </c>
      <c r="O40" s="12" t="s">
        <v>1420</v>
      </c>
      <c r="P40" s="12" t="s">
        <v>1420</v>
      </c>
      <c r="Q40" s="12" t="s">
        <v>1420</v>
      </c>
      <c r="R40" s="12" t="s">
        <v>1420</v>
      </c>
      <c r="S40" s="12" t="s">
        <v>1420</v>
      </c>
      <c r="T40" s="12" t="s">
        <v>1420</v>
      </c>
      <c r="U40" s="12" t="s">
        <v>1414</v>
      </c>
      <c r="V40" s="12" t="s">
        <v>1420</v>
      </c>
      <c r="W40" s="12" t="s">
        <v>1420</v>
      </c>
      <c r="X40" s="12" t="s">
        <v>1420</v>
      </c>
      <c r="Y40" s="12" t="s">
        <v>1414</v>
      </c>
      <c r="Z40" s="12" t="s">
        <v>1420</v>
      </c>
      <c r="AA40" s="12" t="s">
        <v>1414</v>
      </c>
      <c r="AB40" s="12" t="s">
        <v>1420</v>
      </c>
      <c r="AC40" s="12" t="s">
        <v>1420</v>
      </c>
      <c r="AD40" s="12" t="s">
        <v>1420</v>
      </c>
      <c r="AE40" s="12" t="s">
        <v>1420</v>
      </c>
      <c r="AF40" s="12" t="s">
        <v>1420</v>
      </c>
      <c r="AG40" s="12" t="s">
        <v>1420</v>
      </c>
    </row>
    <row r="41" spans="1:33" ht="14.4" x14ac:dyDescent="0.3">
      <c r="A41" s="12" t="s">
        <v>170</v>
      </c>
      <c r="B41" s="12" t="s">
        <v>440</v>
      </c>
      <c r="C41" s="12" t="s">
        <v>439</v>
      </c>
      <c r="D41" s="12" t="s">
        <v>1410</v>
      </c>
      <c r="E41" s="12" t="s">
        <v>2717</v>
      </c>
      <c r="F41" s="12" t="s">
        <v>2711</v>
      </c>
      <c r="G41" s="12" t="s">
        <v>2720</v>
      </c>
      <c r="H41" s="12" t="s">
        <v>1464</v>
      </c>
      <c r="I41" s="12" t="s">
        <v>1420</v>
      </c>
      <c r="J41" s="12" t="s">
        <v>1420</v>
      </c>
      <c r="K41" s="12" t="s">
        <v>1420</v>
      </c>
      <c r="L41" s="12" t="s">
        <v>1420</v>
      </c>
      <c r="M41" s="12" t="s">
        <v>1420</v>
      </c>
      <c r="N41" s="12" t="s">
        <v>1420</v>
      </c>
      <c r="O41" s="12" t="s">
        <v>1420</v>
      </c>
      <c r="P41" s="12" t="s">
        <v>1420</v>
      </c>
      <c r="Q41" s="12" t="s">
        <v>1420</v>
      </c>
      <c r="R41" s="12" t="s">
        <v>1420</v>
      </c>
      <c r="S41" s="12" t="s">
        <v>1420</v>
      </c>
      <c r="T41" s="12" t="s">
        <v>1420</v>
      </c>
      <c r="U41" s="12" t="s">
        <v>1420</v>
      </c>
      <c r="V41" s="12" t="s">
        <v>1420</v>
      </c>
      <c r="W41" s="12" t="s">
        <v>1420</v>
      </c>
      <c r="X41" s="12" t="s">
        <v>1420</v>
      </c>
      <c r="Y41" s="12" t="s">
        <v>1420</v>
      </c>
      <c r="Z41" s="12" t="s">
        <v>1420</v>
      </c>
      <c r="AA41" s="12" t="s">
        <v>1420</v>
      </c>
      <c r="AB41" s="12" t="s">
        <v>1420</v>
      </c>
      <c r="AC41" s="12" t="s">
        <v>1420</v>
      </c>
      <c r="AD41" s="12" t="s">
        <v>1420</v>
      </c>
      <c r="AE41" s="12" t="s">
        <v>1420</v>
      </c>
      <c r="AF41" s="12" t="s">
        <v>1420</v>
      </c>
      <c r="AG41" s="12" t="s">
        <v>1420</v>
      </c>
    </row>
    <row r="42" spans="1:33" ht="14.4" x14ac:dyDescent="0.3">
      <c r="A42" s="12" t="s">
        <v>170</v>
      </c>
      <c r="B42" s="12" t="s">
        <v>442</v>
      </c>
      <c r="C42" s="12" t="s">
        <v>441</v>
      </c>
      <c r="D42" s="12" t="s">
        <v>1410</v>
      </c>
      <c r="E42" s="12" t="s">
        <v>2841</v>
      </c>
      <c r="F42" s="12" t="s">
        <v>2844</v>
      </c>
      <c r="G42" s="12" t="s">
        <v>2845</v>
      </c>
      <c r="H42" s="12" t="s">
        <v>1448</v>
      </c>
      <c r="I42" s="12" t="s">
        <v>1420</v>
      </c>
      <c r="J42" s="12" t="s">
        <v>1420</v>
      </c>
      <c r="K42" s="12" t="s">
        <v>1420</v>
      </c>
      <c r="L42" s="12" t="s">
        <v>1420</v>
      </c>
      <c r="M42" s="12" t="s">
        <v>1420</v>
      </c>
      <c r="N42" s="12" t="s">
        <v>1420</v>
      </c>
      <c r="O42" s="12" t="s">
        <v>1414</v>
      </c>
      <c r="P42" s="12" t="s">
        <v>1420</v>
      </c>
      <c r="Q42" s="12" t="s">
        <v>1420</v>
      </c>
      <c r="R42" s="12" t="s">
        <v>1420</v>
      </c>
      <c r="S42" s="12" t="s">
        <v>1414</v>
      </c>
      <c r="T42" s="12" t="s">
        <v>1420</v>
      </c>
      <c r="U42" s="12" t="s">
        <v>1420</v>
      </c>
      <c r="V42" s="12" t="s">
        <v>1420</v>
      </c>
      <c r="W42" s="12" t="s">
        <v>1420</v>
      </c>
      <c r="X42" s="12" t="s">
        <v>1414</v>
      </c>
      <c r="Y42" s="12" t="s">
        <v>1420</v>
      </c>
      <c r="Z42" s="12" t="s">
        <v>1420</v>
      </c>
      <c r="AA42" s="12" t="s">
        <v>1420</v>
      </c>
      <c r="AB42" s="12" t="s">
        <v>1420</v>
      </c>
      <c r="AC42" s="12" t="s">
        <v>1414</v>
      </c>
      <c r="AD42" s="12" t="s">
        <v>1414</v>
      </c>
      <c r="AE42" s="12" t="s">
        <v>1420</v>
      </c>
      <c r="AF42" s="12" t="s">
        <v>1420</v>
      </c>
      <c r="AG42" s="12" t="s">
        <v>1420</v>
      </c>
    </row>
    <row r="43" spans="1:33" ht="14.4" x14ac:dyDescent="0.3">
      <c r="A43" s="12" t="s">
        <v>31</v>
      </c>
      <c r="B43" s="12" t="s">
        <v>444</v>
      </c>
      <c r="C43" s="12" t="s">
        <v>443</v>
      </c>
      <c r="D43" s="12" t="s">
        <v>1410</v>
      </c>
      <c r="E43" s="12" t="s">
        <v>2027</v>
      </c>
      <c r="F43" s="12" t="s">
        <v>2028</v>
      </c>
      <c r="G43" s="12" t="s">
        <v>2029</v>
      </c>
      <c r="H43" s="12" t="s">
        <v>1452</v>
      </c>
      <c r="I43" s="12" t="s">
        <v>1420</v>
      </c>
      <c r="J43" s="12" t="s">
        <v>1420</v>
      </c>
      <c r="K43" s="12" t="s">
        <v>1420</v>
      </c>
      <c r="L43" s="12" t="s">
        <v>1420</v>
      </c>
      <c r="M43" s="12" t="s">
        <v>1420</v>
      </c>
      <c r="N43" s="12" t="s">
        <v>1420</v>
      </c>
      <c r="O43" s="12" t="s">
        <v>1420</v>
      </c>
      <c r="P43" s="12" t="s">
        <v>1420</v>
      </c>
      <c r="Q43" s="12" t="s">
        <v>1420</v>
      </c>
      <c r="R43" s="12" t="s">
        <v>1420</v>
      </c>
      <c r="S43" s="12" t="s">
        <v>1420</v>
      </c>
      <c r="T43" s="12" t="s">
        <v>1420</v>
      </c>
      <c r="U43" s="12" t="s">
        <v>1420</v>
      </c>
      <c r="V43" s="12" t="s">
        <v>1420</v>
      </c>
      <c r="W43" s="12" t="s">
        <v>1420</v>
      </c>
      <c r="X43" s="12" t="s">
        <v>1420</v>
      </c>
      <c r="Y43" s="12" t="s">
        <v>1420</v>
      </c>
      <c r="Z43" s="12" t="s">
        <v>1420</v>
      </c>
      <c r="AA43" s="12" t="s">
        <v>1420</v>
      </c>
      <c r="AB43" s="12" t="s">
        <v>1420</v>
      </c>
      <c r="AC43" s="12" t="s">
        <v>1420</v>
      </c>
      <c r="AD43" s="12" t="s">
        <v>1420</v>
      </c>
      <c r="AE43" s="12" t="s">
        <v>1414</v>
      </c>
      <c r="AF43" s="12" t="s">
        <v>1420</v>
      </c>
      <c r="AG43" s="12" t="s">
        <v>1420</v>
      </c>
    </row>
    <row r="44" spans="1:33" ht="14.4" x14ac:dyDescent="0.3">
      <c r="A44" s="12" t="s">
        <v>42</v>
      </c>
      <c r="B44" s="12" t="s">
        <v>299</v>
      </c>
      <c r="C44" s="12" t="s">
        <v>298</v>
      </c>
      <c r="D44" s="12" t="s">
        <v>1410</v>
      </c>
      <c r="E44" s="12" t="s">
        <v>1793</v>
      </c>
      <c r="F44" s="12" t="s">
        <v>1791</v>
      </c>
      <c r="G44" s="12" t="s">
        <v>1802</v>
      </c>
      <c r="H44" s="12" t="s">
        <v>1452</v>
      </c>
      <c r="I44" s="12" t="s">
        <v>1420</v>
      </c>
      <c r="J44" s="12" t="s">
        <v>1420</v>
      </c>
      <c r="K44" s="12" t="s">
        <v>1420</v>
      </c>
      <c r="L44" s="12" t="s">
        <v>1420</v>
      </c>
      <c r="M44" s="12" t="s">
        <v>1420</v>
      </c>
      <c r="N44" s="12" t="s">
        <v>1420</v>
      </c>
      <c r="O44" s="12" t="s">
        <v>1420</v>
      </c>
      <c r="P44" s="12" t="s">
        <v>1420</v>
      </c>
      <c r="Q44" s="12" t="s">
        <v>1420</v>
      </c>
      <c r="R44" s="12" t="s">
        <v>1420</v>
      </c>
      <c r="S44" s="12" t="s">
        <v>1420</v>
      </c>
      <c r="T44" s="12" t="s">
        <v>1420</v>
      </c>
      <c r="U44" s="12" t="s">
        <v>1420</v>
      </c>
      <c r="V44" s="12" t="s">
        <v>1420</v>
      </c>
      <c r="W44" s="12" t="s">
        <v>1420</v>
      </c>
      <c r="X44" s="12" t="s">
        <v>1420</v>
      </c>
      <c r="Y44" s="12" t="s">
        <v>1420</v>
      </c>
      <c r="Z44" s="12" t="s">
        <v>1420</v>
      </c>
      <c r="AA44" s="12" t="s">
        <v>1420</v>
      </c>
      <c r="AB44" s="12" t="s">
        <v>1420</v>
      </c>
      <c r="AC44" s="12" t="s">
        <v>1414</v>
      </c>
      <c r="AD44" s="12" t="s">
        <v>1420</v>
      </c>
      <c r="AE44" s="12" t="s">
        <v>1420</v>
      </c>
      <c r="AF44" s="12" t="s">
        <v>1420</v>
      </c>
      <c r="AG44" s="12" t="s">
        <v>1420</v>
      </c>
    </row>
    <row r="45" spans="1:33" ht="14.4" x14ac:dyDescent="0.3">
      <c r="A45" s="12" t="s">
        <v>42</v>
      </c>
      <c r="B45" s="12" t="s">
        <v>299</v>
      </c>
      <c r="C45" s="12" t="s">
        <v>298</v>
      </c>
      <c r="D45" s="12" t="s">
        <v>1410</v>
      </c>
      <c r="E45" s="12" t="s">
        <v>1808</v>
      </c>
      <c r="F45" s="12" t="s">
        <v>1809</v>
      </c>
      <c r="G45" s="12" t="s">
        <v>1810</v>
      </c>
      <c r="H45" s="12" t="s">
        <v>1420</v>
      </c>
      <c r="I45" s="12" t="s">
        <v>1420</v>
      </c>
      <c r="J45" s="12" t="s">
        <v>1415</v>
      </c>
      <c r="K45" s="12" t="s">
        <v>1415</v>
      </c>
      <c r="L45" s="12" t="s">
        <v>1415</v>
      </c>
      <c r="M45" s="12" t="s">
        <v>1415</v>
      </c>
      <c r="N45" s="12" t="s">
        <v>1415</v>
      </c>
      <c r="O45" s="12" t="s">
        <v>1415</v>
      </c>
      <c r="P45" s="12" t="s">
        <v>1415</v>
      </c>
      <c r="Q45" s="12" t="s">
        <v>1415</v>
      </c>
      <c r="R45" s="12" t="s">
        <v>1415</v>
      </c>
      <c r="S45" s="12" t="s">
        <v>1415</v>
      </c>
      <c r="T45" s="12" t="s">
        <v>1415</v>
      </c>
      <c r="U45" s="12" t="s">
        <v>1415</v>
      </c>
      <c r="V45" s="12" t="s">
        <v>1415</v>
      </c>
      <c r="W45" s="12" t="s">
        <v>1415</v>
      </c>
      <c r="X45" s="12" t="s">
        <v>1415</v>
      </c>
      <c r="Y45" s="12" t="s">
        <v>1415</v>
      </c>
      <c r="Z45" s="12" t="s">
        <v>1415</v>
      </c>
      <c r="AA45" s="12" t="s">
        <v>1415</v>
      </c>
      <c r="AB45" s="12" t="s">
        <v>1415</v>
      </c>
      <c r="AC45" s="12" t="s">
        <v>1415</v>
      </c>
      <c r="AD45" s="12" t="s">
        <v>1415</v>
      </c>
      <c r="AE45" s="12" t="s">
        <v>1415</v>
      </c>
      <c r="AF45" s="12" t="s">
        <v>1415</v>
      </c>
      <c r="AG45" s="12" t="s">
        <v>1415</v>
      </c>
    </row>
    <row r="46" spans="1:33" ht="14.4" x14ac:dyDescent="0.3">
      <c r="A46" s="12" t="s">
        <v>25</v>
      </c>
      <c r="B46" s="12" t="s">
        <v>299</v>
      </c>
      <c r="C46" s="12" t="s">
        <v>760</v>
      </c>
      <c r="D46" s="12" t="s">
        <v>1410</v>
      </c>
      <c r="E46" s="12" t="s">
        <v>2846</v>
      </c>
      <c r="F46" s="12" t="s">
        <v>2847</v>
      </c>
      <c r="G46" s="12" t="s">
        <v>2848</v>
      </c>
      <c r="H46" s="12" t="s">
        <v>1452</v>
      </c>
      <c r="I46" s="12" t="s">
        <v>1420</v>
      </c>
      <c r="J46" s="12" t="s">
        <v>1420</v>
      </c>
      <c r="K46" s="12" t="s">
        <v>1420</v>
      </c>
      <c r="L46" s="12" t="s">
        <v>1420</v>
      </c>
      <c r="M46" s="12" t="s">
        <v>1420</v>
      </c>
      <c r="N46" s="12" t="s">
        <v>1420</v>
      </c>
      <c r="O46" s="12" t="s">
        <v>1420</v>
      </c>
      <c r="P46" s="12" t="s">
        <v>1420</v>
      </c>
      <c r="Q46" s="12" t="s">
        <v>1420</v>
      </c>
      <c r="R46" s="12" t="s">
        <v>1420</v>
      </c>
      <c r="S46" s="12" t="s">
        <v>1420</v>
      </c>
      <c r="T46" s="12" t="s">
        <v>1420</v>
      </c>
      <c r="U46" s="12" t="s">
        <v>1420</v>
      </c>
      <c r="V46" s="12" t="s">
        <v>1420</v>
      </c>
      <c r="W46" s="12" t="s">
        <v>1420</v>
      </c>
      <c r="X46" s="12" t="s">
        <v>1420</v>
      </c>
      <c r="Y46" s="12" t="s">
        <v>1420</v>
      </c>
      <c r="Z46" s="12" t="s">
        <v>1420</v>
      </c>
      <c r="AA46" s="12" t="s">
        <v>1420</v>
      </c>
      <c r="AB46" s="12" t="s">
        <v>1420</v>
      </c>
      <c r="AC46" s="12" t="s">
        <v>1420</v>
      </c>
      <c r="AD46" s="12" t="s">
        <v>1414</v>
      </c>
      <c r="AE46" s="12" t="s">
        <v>1420</v>
      </c>
      <c r="AF46" s="12" t="s">
        <v>1420</v>
      </c>
      <c r="AG46" s="12" t="s">
        <v>1420</v>
      </c>
    </row>
    <row r="47" spans="1:33" ht="14.4" x14ac:dyDescent="0.3">
      <c r="A47" s="12" t="s">
        <v>25</v>
      </c>
      <c r="B47" s="12" t="s">
        <v>762</v>
      </c>
      <c r="C47" s="12" t="s">
        <v>761</v>
      </c>
      <c r="D47" s="12" t="s">
        <v>1410</v>
      </c>
      <c r="E47" s="12" t="s">
        <v>2222</v>
      </c>
      <c r="F47" s="12" t="s">
        <v>2223</v>
      </c>
      <c r="G47" s="12" t="s">
        <v>2163</v>
      </c>
      <c r="H47" s="12" t="s">
        <v>1488</v>
      </c>
      <c r="I47" s="12" t="s">
        <v>1414</v>
      </c>
      <c r="J47" s="12" t="s">
        <v>1420</v>
      </c>
      <c r="K47" s="12" t="s">
        <v>1420</v>
      </c>
      <c r="L47" s="12" t="s">
        <v>1414</v>
      </c>
      <c r="M47" s="12" t="s">
        <v>1420</v>
      </c>
      <c r="N47" s="12" t="s">
        <v>1420</v>
      </c>
      <c r="O47" s="12" t="s">
        <v>1414</v>
      </c>
      <c r="P47" s="12" t="s">
        <v>1420</v>
      </c>
      <c r="Q47" s="12" t="s">
        <v>1420</v>
      </c>
      <c r="R47" s="12" t="s">
        <v>1420</v>
      </c>
      <c r="S47" s="12" t="s">
        <v>1420</v>
      </c>
      <c r="T47" s="12" t="s">
        <v>1420</v>
      </c>
      <c r="U47" s="12" t="s">
        <v>1420</v>
      </c>
      <c r="V47" s="12" t="s">
        <v>1420</v>
      </c>
      <c r="W47" s="12" t="s">
        <v>1420</v>
      </c>
      <c r="X47" s="12" t="s">
        <v>1420</v>
      </c>
      <c r="Y47" s="12" t="s">
        <v>1420</v>
      </c>
      <c r="Z47" s="12" t="s">
        <v>1420</v>
      </c>
      <c r="AA47" s="12" t="s">
        <v>1420</v>
      </c>
      <c r="AB47" s="12" t="s">
        <v>1414</v>
      </c>
      <c r="AC47" s="12" t="s">
        <v>1420</v>
      </c>
      <c r="AD47" s="12" t="s">
        <v>1420</v>
      </c>
      <c r="AE47" s="12" t="s">
        <v>1420</v>
      </c>
      <c r="AF47" s="12" t="s">
        <v>1420</v>
      </c>
      <c r="AG47" s="12" t="s">
        <v>1420</v>
      </c>
    </row>
    <row r="48" spans="1:33" ht="14.4" x14ac:dyDescent="0.3">
      <c r="A48" s="12" t="s">
        <v>25</v>
      </c>
      <c r="B48" s="12" t="s">
        <v>24</v>
      </c>
      <c r="C48" s="12" t="s">
        <v>23</v>
      </c>
      <c r="D48" s="12" t="s">
        <v>1410</v>
      </c>
      <c r="E48" s="12" t="s">
        <v>2130</v>
      </c>
      <c r="F48" s="12" t="s">
        <v>2112</v>
      </c>
      <c r="G48" s="12" t="s">
        <v>2138</v>
      </c>
      <c r="H48" s="12" t="s">
        <v>1424</v>
      </c>
      <c r="I48" s="12" t="s">
        <v>1420</v>
      </c>
      <c r="J48" s="12" t="s">
        <v>1420</v>
      </c>
      <c r="K48" s="12" t="s">
        <v>1420</v>
      </c>
      <c r="L48" s="12" t="s">
        <v>1420</v>
      </c>
      <c r="M48" s="12" t="s">
        <v>1420</v>
      </c>
      <c r="N48" s="12" t="s">
        <v>1420</v>
      </c>
      <c r="O48" s="12" t="s">
        <v>1420</v>
      </c>
      <c r="P48" s="12" t="s">
        <v>1420</v>
      </c>
      <c r="Q48" s="12" t="s">
        <v>1420</v>
      </c>
      <c r="R48" s="12" t="s">
        <v>1420</v>
      </c>
      <c r="S48" s="12" t="s">
        <v>1420</v>
      </c>
      <c r="T48" s="12" t="s">
        <v>1420</v>
      </c>
      <c r="U48" s="12" t="s">
        <v>1420</v>
      </c>
      <c r="V48" s="12" t="s">
        <v>1414</v>
      </c>
      <c r="W48" s="12" t="s">
        <v>1420</v>
      </c>
      <c r="X48" s="12" t="s">
        <v>1420</v>
      </c>
      <c r="Y48" s="12" t="s">
        <v>1420</v>
      </c>
      <c r="Z48" s="12" t="s">
        <v>1414</v>
      </c>
      <c r="AA48" s="12" t="s">
        <v>1420</v>
      </c>
      <c r="AB48" s="12" t="s">
        <v>1420</v>
      </c>
      <c r="AC48" s="12" t="s">
        <v>1420</v>
      </c>
      <c r="AD48" s="12" t="s">
        <v>1420</v>
      </c>
      <c r="AE48" s="12" t="s">
        <v>1420</v>
      </c>
      <c r="AF48" s="12" t="s">
        <v>1420</v>
      </c>
      <c r="AG48" s="12" t="s">
        <v>1414</v>
      </c>
    </row>
    <row r="49" spans="1:33" ht="14.4" x14ac:dyDescent="0.3">
      <c r="A49" s="12" t="s">
        <v>42</v>
      </c>
      <c r="B49" s="12" t="s">
        <v>24</v>
      </c>
      <c r="C49" s="12" t="s">
        <v>763</v>
      </c>
      <c r="D49" s="12" t="s">
        <v>1410</v>
      </c>
      <c r="E49" s="12" t="s">
        <v>2713</v>
      </c>
      <c r="F49" s="12" t="s">
        <v>2714</v>
      </c>
      <c r="G49" s="12" t="s">
        <v>2715</v>
      </c>
      <c r="H49" s="12" t="s">
        <v>1488</v>
      </c>
      <c r="I49" s="12" t="s">
        <v>1420</v>
      </c>
      <c r="J49" s="12" t="s">
        <v>1420</v>
      </c>
      <c r="K49" s="12" t="s">
        <v>1420</v>
      </c>
      <c r="L49" s="12" t="s">
        <v>1420</v>
      </c>
      <c r="M49" s="12" t="s">
        <v>1420</v>
      </c>
      <c r="N49" s="12" t="s">
        <v>1420</v>
      </c>
      <c r="O49" s="12" t="s">
        <v>1420</v>
      </c>
      <c r="P49" s="12" t="s">
        <v>1420</v>
      </c>
      <c r="Q49" s="12" t="s">
        <v>1420</v>
      </c>
      <c r="R49" s="12" t="s">
        <v>1414</v>
      </c>
      <c r="S49" s="12" t="s">
        <v>1420</v>
      </c>
      <c r="T49" s="12" t="s">
        <v>1414</v>
      </c>
      <c r="U49" s="12" t="s">
        <v>1420</v>
      </c>
      <c r="V49" s="12" t="s">
        <v>1414</v>
      </c>
      <c r="W49" s="12" t="s">
        <v>1420</v>
      </c>
      <c r="X49" s="12" t="s">
        <v>1420</v>
      </c>
      <c r="Y49" s="12" t="s">
        <v>1420</v>
      </c>
      <c r="Z49" s="12" t="s">
        <v>1420</v>
      </c>
      <c r="AA49" s="12" t="s">
        <v>1420</v>
      </c>
      <c r="AB49" s="12" t="s">
        <v>1420</v>
      </c>
      <c r="AC49" s="12" t="s">
        <v>1420</v>
      </c>
      <c r="AD49" s="12" t="s">
        <v>1420</v>
      </c>
      <c r="AE49" s="12" t="s">
        <v>1414</v>
      </c>
      <c r="AF49" s="12" t="s">
        <v>1420</v>
      </c>
      <c r="AG49" s="12" t="s">
        <v>1420</v>
      </c>
    </row>
    <row r="50" spans="1:33" ht="14.4" x14ac:dyDescent="0.3">
      <c r="A50" s="12" t="s">
        <v>170</v>
      </c>
      <c r="B50" s="12" t="s">
        <v>1154</v>
      </c>
      <c r="C50" s="12" t="s">
        <v>1153</v>
      </c>
      <c r="D50" s="12" t="s">
        <v>1410</v>
      </c>
      <c r="E50" s="12" t="s">
        <v>1435</v>
      </c>
      <c r="F50" s="12" t="s">
        <v>1436</v>
      </c>
      <c r="G50" s="12" t="s">
        <v>1437</v>
      </c>
      <c r="H50" s="12" t="s">
        <v>1438</v>
      </c>
      <c r="I50" s="12" t="s">
        <v>1420</v>
      </c>
      <c r="J50" s="12" t="s">
        <v>1420</v>
      </c>
      <c r="K50" s="12" t="s">
        <v>1420</v>
      </c>
      <c r="L50" s="12" t="s">
        <v>1420</v>
      </c>
      <c r="M50" s="12" t="s">
        <v>1420</v>
      </c>
      <c r="N50" s="12" t="s">
        <v>1420</v>
      </c>
      <c r="O50" s="12" t="s">
        <v>1420</v>
      </c>
      <c r="P50" s="12" t="s">
        <v>1414</v>
      </c>
      <c r="Q50" s="12" t="s">
        <v>1420</v>
      </c>
      <c r="R50" s="12" t="s">
        <v>1420</v>
      </c>
      <c r="S50" s="12" t="s">
        <v>1414</v>
      </c>
      <c r="T50" s="12" t="s">
        <v>1420</v>
      </c>
      <c r="U50" s="12" t="s">
        <v>1414</v>
      </c>
      <c r="V50" s="12" t="s">
        <v>1420</v>
      </c>
      <c r="W50" s="12" t="s">
        <v>1420</v>
      </c>
      <c r="X50" s="12" t="s">
        <v>1420</v>
      </c>
      <c r="Y50" s="12" t="s">
        <v>1414</v>
      </c>
      <c r="Z50" s="12" t="s">
        <v>1420</v>
      </c>
      <c r="AA50" s="12" t="s">
        <v>1420</v>
      </c>
      <c r="AB50" s="12" t="s">
        <v>1420</v>
      </c>
      <c r="AC50" s="12" t="s">
        <v>1414</v>
      </c>
      <c r="AD50" s="12" t="s">
        <v>1420</v>
      </c>
      <c r="AE50" s="12" t="s">
        <v>1414</v>
      </c>
      <c r="AF50" s="12" t="s">
        <v>1420</v>
      </c>
      <c r="AG50" s="12" t="s">
        <v>1420</v>
      </c>
    </row>
    <row r="51" spans="1:33" ht="14.4" x14ac:dyDescent="0.3">
      <c r="A51" s="12" t="s">
        <v>25</v>
      </c>
      <c r="B51" s="12" t="s">
        <v>446</v>
      </c>
      <c r="C51" s="12" t="s">
        <v>445</v>
      </c>
      <c r="D51" s="12" t="s">
        <v>1410</v>
      </c>
      <c r="E51" s="12" t="s">
        <v>2292</v>
      </c>
      <c r="F51" s="12" t="s">
        <v>2293</v>
      </c>
      <c r="G51" s="12" t="s">
        <v>1536</v>
      </c>
      <c r="H51" s="12" t="s">
        <v>1452</v>
      </c>
      <c r="I51" s="12" t="s">
        <v>1420</v>
      </c>
      <c r="J51" s="12" t="s">
        <v>1420</v>
      </c>
      <c r="K51" s="12" t="s">
        <v>1420</v>
      </c>
      <c r="L51" s="12" t="s">
        <v>1420</v>
      </c>
      <c r="M51" s="12" t="s">
        <v>1420</v>
      </c>
      <c r="N51" s="12" t="s">
        <v>1414</v>
      </c>
      <c r="O51" s="12" t="s">
        <v>1420</v>
      </c>
      <c r="P51" s="12" t="s">
        <v>1420</v>
      </c>
      <c r="Q51" s="12" t="s">
        <v>1420</v>
      </c>
      <c r="R51" s="12" t="s">
        <v>1420</v>
      </c>
      <c r="S51" s="12" t="s">
        <v>1420</v>
      </c>
      <c r="T51" s="12" t="s">
        <v>1420</v>
      </c>
      <c r="U51" s="12" t="s">
        <v>1420</v>
      </c>
      <c r="V51" s="12" t="s">
        <v>1420</v>
      </c>
      <c r="W51" s="12" t="s">
        <v>1420</v>
      </c>
      <c r="X51" s="12" t="s">
        <v>1420</v>
      </c>
      <c r="Y51" s="12" t="s">
        <v>1420</v>
      </c>
      <c r="Z51" s="12" t="s">
        <v>1420</v>
      </c>
      <c r="AA51" s="12" t="s">
        <v>1420</v>
      </c>
      <c r="AB51" s="12" t="s">
        <v>1420</v>
      </c>
      <c r="AC51" s="12" t="s">
        <v>1420</v>
      </c>
      <c r="AD51" s="12" t="s">
        <v>1420</v>
      </c>
      <c r="AE51" s="12" t="s">
        <v>1420</v>
      </c>
      <c r="AF51" s="12" t="s">
        <v>1420</v>
      </c>
      <c r="AG51" s="12" t="s">
        <v>1420</v>
      </c>
    </row>
    <row r="52" spans="1:33" ht="14.4" x14ac:dyDescent="0.3">
      <c r="A52" s="12" t="s">
        <v>25</v>
      </c>
      <c r="B52" s="12" t="s">
        <v>1041</v>
      </c>
      <c r="C52" s="12" t="s">
        <v>1040</v>
      </c>
      <c r="D52" s="12" t="s">
        <v>1410</v>
      </c>
      <c r="E52" s="12" t="s">
        <v>2855</v>
      </c>
      <c r="F52" s="12" t="s">
        <v>2858</v>
      </c>
      <c r="G52" s="12" t="s">
        <v>2859</v>
      </c>
      <c r="H52" s="12" t="s">
        <v>1424</v>
      </c>
      <c r="I52" s="12" t="s">
        <v>1414</v>
      </c>
      <c r="J52" s="12" t="s">
        <v>1420</v>
      </c>
      <c r="K52" s="12" t="s">
        <v>1420</v>
      </c>
      <c r="L52" s="12" t="s">
        <v>1420</v>
      </c>
      <c r="M52" s="12" t="s">
        <v>1420</v>
      </c>
      <c r="N52" s="12" t="s">
        <v>1420</v>
      </c>
      <c r="O52" s="12" t="s">
        <v>1420</v>
      </c>
      <c r="P52" s="12" t="s">
        <v>1420</v>
      </c>
      <c r="Q52" s="12" t="s">
        <v>1420</v>
      </c>
      <c r="R52" s="12" t="s">
        <v>1420</v>
      </c>
      <c r="S52" s="12" t="s">
        <v>1414</v>
      </c>
      <c r="T52" s="12" t="s">
        <v>1420</v>
      </c>
      <c r="U52" s="12" t="s">
        <v>1420</v>
      </c>
      <c r="V52" s="12" t="s">
        <v>1420</v>
      </c>
      <c r="W52" s="12" t="s">
        <v>1420</v>
      </c>
      <c r="X52" s="12" t="s">
        <v>1420</v>
      </c>
      <c r="Y52" s="12" t="s">
        <v>1420</v>
      </c>
      <c r="Z52" s="12" t="s">
        <v>1420</v>
      </c>
      <c r="AA52" s="12" t="s">
        <v>1414</v>
      </c>
      <c r="AB52" s="12" t="s">
        <v>1420</v>
      </c>
      <c r="AC52" s="12" t="s">
        <v>1420</v>
      </c>
      <c r="AD52" s="12" t="s">
        <v>1420</v>
      </c>
      <c r="AE52" s="12" t="s">
        <v>1420</v>
      </c>
      <c r="AF52" s="12" t="s">
        <v>1420</v>
      </c>
      <c r="AG52" s="12" t="s">
        <v>1420</v>
      </c>
    </row>
    <row r="53" spans="1:33" ht="14.4" x14ac:dyDescent="0.3">
      <c r="A53" s="12" t="s">
        <v>55</v>
      </c>
      <c r="B53" s="12" t="s">
        <v>1292</v>
      </c>
      <c r="C53" s="12" t="s">
        <v>1291</v>
      </c>
      <c r="D53" s="12" t="s">
        <v>1410</v>
      </c>
      <c r="E53" s="12" t="s">
        <v>1904</v>
      </c>
      <c r="F53" s="12" t="s">
        <v>1913</v>
      </c>
      <c r="G53" s="12" t="s">
        <v>1441</v>
      </c>
      <c r="H53" s="12" t="s">
        <v>1452</v>
      </c>
      <c r="I53" s="12" t="s">
        <v>1420</v>
      </c>
      <c r="J53" s="12" t="s">
        <v>1420</v>
      </c>
      <c r="K53" s="12" t="s">
        <v>1420</v>
      </c>
      <c r="L53" s="12" t="s">
        <v>1420</v>
      </c>
      <c r="M53" s="12" t="s">
        <v>1420</v>
      </c>
      <c r="N53" s="12" t="s">
        <v>1420</v>
      </c>
      <c r="O53" s="12" t="s">
        <v>1420</v>
      </c>
      <c r="P53" s="12" t="s">
        <v>1420</v>
      </c>
      <c r="Q53" s="12" t="s">
        <v>1420</v>
      </c>
      <c r="R53" s="12" t="s">
        <v>1420</v>
      </c>
      <c r="S53" s="12" t="s">
        <v>1420</v>
      </c>
      <c r="T53" s="12" t="s">
        <v>1420</v>
      </c>
      <c r="U53" s="12" t="s">
        <v>1420</v>
      </c>
      <c r="V53" s="12" t="s">
        <v>1420</v>
      </c>
      <c r="W53" s="12" t="s">
        <v>1420</v>
      </c>
      <c r="X53" s="12" t="s">
        <v>1420</v>
      </c>
      <c r="Y53" s="12" t="s">
        <v>1420</v>
      </c>
      <c r="Z53" s="12" t="s">
        <v>1420</v>
      </c>
      <c r="AA53" s="12" t="s">
        <v>1420</v>
      </c>
      <c r="AB53" s="12" t="s">
        <v>1414</v>
      </c>
      <c r="AC53" s="12" t="s">
        <v>1420</v>
      </c>
      <c r="AD53" s="12" t="s">
        <v>1420</v>
      </c>
      <c r="AE53" s="12" t="s">
        <v>1420</v>
      </c>
      <c r="AF53" s="12" t="s">
        <v>1420</v>
      </c>
      <c r="AG53" s="12" t="s">
        <v>1420</v>
      </c>
    </row>
    <row r="54" spans="1:33" ht="14.4" x14ac:dyDescent="0.3">
      <c r="A54" s="12" t="s">
        <v>8</v>
      </c>
      <c r="B54" s="12" t="s">
        <v>448</v>
      </c>
      <c r="C54" s="12" t="s">
        <v>447</v>
      </c>
      <c r="D54" s="12" t="s">
        <v>1410</v>
      </c>
      <c r="E54" s="12" t="s">
        <v>1943</v>
      </c>
      <c r="F54" s="12" t="s">
        <v>1944</v>
      </c>
      <c r="G54" s="12" t="s">
        <v>1945</v>
      </c>
      <c r="H54" s="12" t="s">
        <v>1464</v>
      </c>
      <c r="I54" s="12" t="s">
        <v>1420</v>
      </c>
      <c r="J54" s="12" t="s">
        <v>1420</v>
      </c>
      <c r="K54" s="12" t="s">
        <v>1420</v>
      </c>
      <c r="L54" s="12" t="s">
        <v>1420</v>
      </c>
      <c r="M54" s="12" t="s">
        <v>1420</v>
      </c>
      <c r="N54" s="12" t="s">
        <v>1420</v>
      </c>
      <c r="O54" s="12" t="s">
        <v>1420</v>
      </c>
      <c r="P54" s="12" t="s">
        <v>1420</v>
      </c>
      <c r="Q54" s="12" t="s">
        <v>1420</v>
      </c>
      <c r="R54" s="12" t="s">
        <v>1420</v>
      </c>
      <c r="S54" s="12" t="s">
        <v>1420</v>
      </c>
      <c r="T54" s="12" t="s">
        <v>1420</v>
      </c>
      <c r="U54" s="12" t="s">
        <v>1420</v>
      </c>
      <c r="V54" s="12" t="s">
        <v>1420</v>
      </c>
      <c r="W54" s="12" t="s">
        <v>1420</v>
      </c>
      <c r="X54" s="12" t="s">
        <v>1420</v>
      </c>
      <c r="Y54" s="12" t="s">
        <v>1420</v>
      </c>
      <c r="Z54" s="12" t="s">
        <v>1420</v>
      </c>
      <c r="AA54" s="12" t="s">
        <v>1420</v>
      </c>
      <c r="AB54" s="12" t="s">
        <v>1420</v>
      </c>
      <c r="AC54" s="12" t="s">
        <v>1420</v>
      </c>
      <c r="AD54" s="12" t="s">
        <v>1420</v>
      </c>
      <c r="AE54" s="12" t="s">
        <v>1420</v>
      </c>
      <c r="AF54" s="12" t="s">
        <v>1420</v>
      </c>
      <c r="AG54" s="12" t="s">
        <v>1420</v>
      </c>
    </row>
    <row r="55" spans="1:33" ht="14.4" x14ac:dyDescent="0.3">
      <c r="A55" s="12" t="s">
        <v>123</v>
      </c>
      <c r="B55" s="12" t="s">
        <v>450</v>
      </c>
      <c r="C55" s="12" t="s">
        <v>449</v>
      </c>
      <c r="D55" s="12" t="s">
        <v>1410</v>
      </c>
      <c r="E55" s="12" t="s">
        <v>1668</v>
      </c>
      <c r="F55" s="12" t="s">
        <v>1666</v>
      </c>
      <c r="G55" s="12" t="s">
        <v>1669</v>
      </c>
      <c r="H55" s="12" t="s">
        <v>1452</v>
      </c>
      <c r="I55" s="12" t="s">
        <v>1420</v>
      </c>
      <c r="J55" s="12" t="s">
        <v>1420</v>
      </c>
      <c r="K55" s="12" t="s">
        <v>1420</v>
      </c>
      <c r="L55" s="12" t="s">
        <v>1420</v>
      </c>
      <c r="M55" s="12" t="s">
        <v>1420</v>
      </c>
      <c r="N55" s="12" t="s">
        <v>1420</v>
      </c>
      <c r="O55" s="12" t="s">
        <v>1420</v>
      </c>
      <c r="P55" s="12" t="s">
        <v>1420</v>
      </c>
      <c r="Q55" s="12" t="s">
        <v>1420</v>
      </c>
      <c r="R55" s="12" t="s">
        <v>1420</v>
      </c>
      <c r="S55" s="12" t="s">
        <v>1420</v>
      </c>
      <c r="T55" s="12" t="s">
        <v>1414</v>
      </c>
      <c r="U55" s="12" t="s">
        <v>1420</v>
      </c>
      <c r="V55" s="12" t="s">
        <v>1420</v>
      </c>
      <c r="W55" s="12" t="s">
        <v>1420</v>
      </c>
      <c r="X55" s="12" t="s">
        <v>1420</v>
      </c>
      <c r="Y55" s="12" t="s">
        <v>1420</v>
      </c>
      <c r="Z55" s="12" t="s">
        <v>1420</v>
      </c>
      <c r="AA55" s="12" t="s">
        <v>1420</v>
      </c>
      <c r="AB55" s="12" t="s">
        <v>1420</v>
      </c>
      <c r="AC55" s="12" t="s">
        <v>1420</v>
      </c>
      <c r="AD55" s="12" t="s">
        <v>1420</v>
      </c>
      <c r="AE55" s="12" t="s">
        <v>1420</v>
      </c>
      <c r="AF55" s="12" t="s">
        <v>1420</v>
      </c>
      <c r="AG55" s="12" t="s">
        <v>1420</v>
      </c>
    </row>
    <row r="56" spans="1:33" ht="14.4" x14ac:dyDescent="0.3">
      <c r="A56" s="12" t="s">
        <v>28</v>
      </c>
      <c r="B56" s="12" t="s">
        <v>27</v>
      </c>
      <c r="C56" s="12" t="s">
        <v>26</v>
      </c>
      <c r="D56" s="12" t="s">
        <v>1410</v>
      </c>
      <c r="E56" s="12" t="s">
        <v>2118</v>
      </c>
      <c r="F56" s="12" t="s">
        <v>2114</v>
      </c>
      <c r="G56" s="12" t="s">
        <v>2119</v>
      </c>
      <c r="H56" s="12" t="s">
        <v>1424</v>
      </c>
      <c r="I56" s="12" t="s">
        <v>1420</v>
      </c>
      <c r="J56" s="12" t="s">
        <v>1414</v>
      </c>
      <c r="K56" s="12" t="s">
        <v>1420</v>
      </c>
      <c r="L56" s="12" t="s">
        <v>1420</v>
      </c>
      <c r="M56" s="12" t="s">
        <v>1420</v>
      </c>
      <c r="N56" s="12" t="s">
        <v>1414</v>
      </c>
      <c r="O56" s="12" t="s">
        <v>1420</v>
      </c>
      <c r="P56" s="12" t="s">
        <v>1414</v>
      </c>
      <c r="Q56" s="12" t="s">
        <v>1420</v>
      </c>
      <c r="R56" s="12" t="s">
        <v>1420</v>
      </c>
      <c r="S56" s="12" t="s">
        <v>1420</v>
      </c>
      <c r="T56" s="12" t="s">
        <v>1420</v>
      </c>
      <c r="U56" s="12" t="s">
        <v>1420</v>
      </c>
      <c r="V56" s="12" t="s">
        <v>1420</v>
      </c>
      <c r="W56" s="12" t="s">
        <v>1420</v>
      </c>
      <c r="X56" s="12" t="s">
        <v>1420</v>
      </c>
      <c r="Y56" s="12" t="s">
        <v>1420</v>
      </c>
      <c r="Z56" s="12" t="s">
        <v>1420</v>
      </c>
      <c r="AA56" s="12" t="s">
        <v>1420</v>
      </c>
      <c r="AB56" s="12" t="s">
        <v>1420</v>
      </c>
      <c r="AC56" s="12" t="s">
        <v>1420</v>
      </c>
      <c r="AD56" s="12" t="s">
        <v>1420</v>
      </c>
      <c r="AE56" s="12" t="s">
        <v>1420</v>
      </c>
      <c r="AF56" s="12" t="s">
        <v>1420</v>
      </c>
      <c r="AG56" s="12" t="s">
        <v>1420</v>
      </c>
    </row>
    <row r="57" spans="1:33" ht="14.4" x14ac:dyDescent="0.3">
      <c r="A57" s="12" t="s">
        <v>71</v>
      </c>
      <c r="B57" s="12" t="s">
        <v>765</v>
      </c>
      <c r="C57" s="12" t="s">
        <v>764</v>
      </c>
      <c r="D57" s="12" t="s">
        <v>1410</v>
      </c>
      <c r="E57" s="12" t="s">
        <v>2199</v>
      </c>
      <c r="F57" s="12" t="s">
        <v>2200</v>
      </c>
      <c r="G57" s="12" t="s">
        <v>2201</v>
      </c>
      <c r="H57" s="12" t="s">
        <v>1452</v>
      </c>
      <c r="I57" s="12" t="s">
        <v>1420</v>
      </c>
      <c r="J57" s="12" t="s">
        <v>1420</v>
      </c>
      <c r="K57" s="12" t="s">
        <v>1420</v>
      </c>
      <c r="L57" s="12" t="s">
        <v>1420</v>
      </c>
      <c r="M57" s="12" t="s">
        <v>1420</v>
      </c>
      <c r="N57" s="12" t="s">
        <v>1414</v>
      </c>
      <c r="O57" s="12" t="s">
        <v>1420</v>
      </c>
      <c r="P57" s="12" t="s">
        <v>1420</v>
      </c>
      <c r="Q57" s="12" t="s">
        <v>1420</v>
      </c>
      <c r="R57" s="12" t="s">
        <v>1420</v>
      </c>
      <c r="S57" s="12" t="s">
        <v>1420</v>
      </c>
      <c r="T57" s="12" t="s">
        <v>1420</v>
      </c>
      <c r="U57" s="12" t="s">
        <v>1420</v>
      </c>
      <c r="V57" s="12" t="s">
        <v>1420</v>
      </c>
      <c r="W57" s="12" t="s">
        <v>1420</v>
      </c>
      <c r="X57" s="12" t="s">
        <v>1420</v>
      </c>
      <c r="Y57" s="12" t="s">
        <v>1420</v>
      </c>
      <c r="Z57" s="12" t="s">
        <v>1420</v>
      </c>
      <c r="AA57" s="12" t="s">
        <v>1420</v>
      </c>
      <c r="AB57" s="12" t="s">
        <v>1420</v>
      </c>
      <c r="AC57" s="12" t="s">
        <v>1420</v>
      </c>
      <c r="AD57" s="12" t="s">
        <v>1420</v>
      </c>
      <c r="AE57" s="12" t="s">
        <v>1420</v>
      </c>
      <c r="AF57" s="12" t="s">
        <v>1420</v>
      </c>
      <c r="AG57" s="12" t="s">
        <v>1420</v>
      </c>
    </row>
    <row r="58" spans="1:33" ht="14.4" x14ac:dyDescent="0.3">
      <c r="A58" s="12" t="s">
        <v>42</v>
      </c>
      <c r="B58" s="12" t="s">
        <v>767</v>
      </c>
      <c r="C58" s="12" t="s">
        <v>766</v>
      </c>
      <c r="D58" s="12" t="s">
        <v>1410</v>
      </c>
      <c r="E58" s="12" t="s">
        <v>2730</v>
      </c>
      <c r="F58" s="12" t="s">
        <v>2731</v>
      </c>
      <c r="G58" s="12" t="s">
        <v>2732</v>
      </c>
      <c r="H58" s="12" t="s">
        <v>1452</v>
      </c>
      <c r="I58" s="12" t="s">
        <v>1420</v>
      </c>
      <c r="J58" s="12" t="s">
        <v>1414</v>
      </c>
      <c r="K58" s="12" t="s">
        <v>1420</v>
      </c>
      <c r="L58" s="12" t="s">
        <v>1420</v>
      </c>
      <c r="M58" s="12" t="s">
        <v>1420</v>
      </c>
      <c r="N58" s="12" t="s">
        <v>1420</v>
      </c>
      <c r="O58" s="12" t="s">
        <v>1420</v>
      </c>
      <c r="P58" s="12" t="s">
        <v>1420</v>
      </c>
      <c r="Q58" s="12" t="s">
        <v>1420</v>
      </c>
      <c r="R58" s="12" t="s">
        <v>1420</v>
      </c>
      <c r="S58" s="12" t="s">
        <v>1420</v>
      </c>
      <c r="T58" s="12" t="s">
        <v>1420</v>
      </c>
      <c r="U58" s="12" t="s">
        <v>1420</v>
      </c>
      <c r="V58" s="12" t="s">
        <v>1420</v>
      </c>
      <c r="W58" s="12" t="s">
        <v>1420</v>
      </c>
      <c r="X58" s="12" t="s">
        <v>1420</v>
      </c>
      <c r="Y58" s="12" t="s">
        <v>1420</v>
      </c>
      <c r="Z58" s="12" t="s">
        <v>1420</v>
      </c>
      <c r="AA58" s="12" t="s">
        <v>1420</v>
      </c>
      <c r="AB58" s="12" t="s">
        <v>1420</v>
      </c>
      <c r="AC58" s="12" t="s">
        <v>1420</v>
      </c>
      <c r="AD58" s="12" t="s">
        <v>1420</v>
      </c>
      <c r="AE58" s="12" t="s">
        <v>1420</v>
      </c>
      <c r="AF58" s="12" t="s">
        <v>1420</v>
      </c>
      <c r="AG58" s="12" t="s">
        <v>1420</v>
      </c>
    </row>
    <row r="59" spans="1:33" ht="14.4" x14ac:dyDescent="0.3">
      <c r="A59" s="12" t="s">
        <v>123</v>
      </c>
      <c r="B59" s="12" t="s">
        <v>769</v>
      </c>
      <c r="C59" s="12" t="s">
        <v>768</v>
      </c>
      <c r="D59" s="12" t="s">
        <v>1410</v>
      </c>
      <c r="E59" s="12" t="s">
        <v>2689</v>
      </c>
      <c r="F59" s="12" t="s">
        <v>2690</v>
      </c>
      <c r="G59" s="12" t="s">
        <v>1413</v>
      </c>
      <c r="H59" s="12" t="s">
        <v>1424</v>
      </c>
      <c r="I59" s="12" t="s">
        <v>1420</v>
      </c>
      <c r="J59" s="12" t="s">
        <v>1420</v>
      </c>
      <c r="K59" s="12" t="s">
        <v>1420</v>
      </c>
      <c r="L59" s="12" t="s">
        <v>1420</v>
      </c>
      <c r="M59" s="12" t="s">
        <v>1420</v>
      </c>
      <c r="N59" s="12" t="s">
        <v>1420</v>
      </c>
      <c r="O59" s="12" t="s">
        <v>1420</v>
      </c>
      <c r="P59" s="12" t="s">
        <v>1420</v>
      </c>
      <c r="Q59" s="12" t="s">
        <v>1420</v>
      </c>
      <c r="R59" s="12" t="s">
        <v>1420</v>
      </c>
      <c r="S59" s="12" t="s">
        <v>1420</v>
      </c>
      <c r="T59" s="12" t="s">
        <v>1420</v>
      </c>
      <c r="U59" s="12" t="s">
        <v>1420</v>
      </c>
      <c r="V59" s="12" t="s">
        <v>1420</v>
      </c>
      <c r="W59" s="12" t="s">
        <v>1414</v>
      </c>
      <c r="X59" s="12" t="s">
        <v>1420</v>
      </c>
      <c r="Y59" s="12" t="s">
        <v>1420</v>
      </c>
      <c r="Z59" s="12" t="s">
        <v>1420</v>
      </c>
      <c r="AA59" s="12" t="s">
        <v>1420</v>
      </c>
      <c r="AB59" s="12" t="s">
        <v>1420</v>
      </c>
      <c r="AC59" s="12" t="s">
        <v>1420</v>
      </c>
      <c r="AD59" s="12" t="s">
        <v>1420</v>
      </c>
      <c r="AE59" s="12" t="s">
        <v>1420</v>
      </c>
      <c r="AF59" s="12" t="s">
        <v>1414</v>
      </c>
      <c r="AG59" s="12" t="s">
        <v>1415</v>
      </c>
    </row>
    <row r="60" spans="1:33" ht="14.4" x14ac:dyDescent="0.3">
      <c r="A60" s="12" t="s">
        <v>1070</v>
      </c>
      <c r="B60" s="12" t="s">
        <v>5505</v>
      </c>
      <c r="C60" s="12" t="s">
        <v>451</v>
      </c>
      <c r="D60" s="12" t="s">
        <v>1410</v>
      </c>
      <c r="E60" s="12" t="s">
        <v>1994</v>
      </c>
      <c r="F60" s="12" t="s">
        <v>1995</v>
      </c>
      <c r="G60" s="12" t="s">
        <v>1898</v>
      </c>
      <c r="H60" s="12" t="s">
        <v>1452</v>
      </c>
      <c r="I60" s="12" t="s">
        <v>1420</v>
      </c>
      <c r="J60" s="12" t="s">
        <v>1420</v>
      </c>
      <c r="K60" s="12" t="s">
        <v>1420</v>
      </c>
      <c r="L60" s="12" t="s">
        <v>1420</v>
      </c>
      <c r="M60" s="12" t="s">
        <v>1420</v>
      </c>
      <c r="N60" s="12" t="s">
        <v>1420</v>
      </c>
      <c r="O60" s="12" t="s">
        <v>1414</v>
      </c>
      <c r="P60" s="12" t="s">
        <v>1420</v>
      </c>
      <c r="Q60" s="12" t="s">
        <v>1420</v>
      </c>
      <c r="R60" s="12" t="s">
        <v>1420</v>
      </c>
      <c r="S60" s="12" t="s">
        <v>1420</v>
      </c>
      <c r="T60" s="12" t="s">
        <v>1420</v>
      </c>
      <c r="U60" s="12" t="s">
        <v>1420</v>
      </c>
      <c r="V60" s="12" t="s">
        <v>1420</v>
      </c>
      <c r="W60" s="12" t="s">
        <v>1420</v>
      </c>
      <c r="X60" s="12" t="s">
        <v>1420</v>
      </c>
      <c r="Y60" s="12" t="s">
        <v>1420</v>
      </c>
      <c r="Z60" s="12" t="s">
        <v>1420</v>
      </c>
      <c r="AA60" s="12" t="s">
        <v>1420</v>
      </c>
      <c r="AB60" s="12" t="s">
        <v>1420</v>
      </c>
      <c r="AC60" s="12" t="s">
        <v>1420</v>
      </c>
      <c r="AD60" s="12" t="s">
        <v>1420</v>
      </c>
      <c r="AE60" s="12" t="s">
        <v>1420</v>
      </c>
      <c r="AF60" s="12" t="s">
        <v>1420</v>
      </c>
      <c r="AG60" s="12" t="s">
        <v>1420</v>
      </c>
    </row>
    <row r="61" spans="1:33" ht="14.4" x14ac:dyDescent="0.3">
      <c r="A61" s="12" t="s">
        <v>19</v>
      </c>
      <c r="B61" s="12" t="s">
        <v>454</v>
      </c>
      <c r="C61" s="12" t="s">
        <v>453</v>
      </c>
      <c r="D61" s="12" t="s">
        <v>1410</v>
      </c>
      <c r="E61" s="12" t="s">
        <v>1658</v>
      </c>
      <c r="F61" s="12" t="s">
        <v>1659</v>
      </c>
      <c r="G61" s="12" t="s">
        <v>1413</v>
      </c>
      <c r="H61" s="12" t="s">
        <v>1438</v>
      </c>
      <c r="I61" s="12" t="s">
        <v>1420</v>
      </c>
      <c r="J61" s="12" t="s">
        <v>1420</v>
      </c>
      <c r="K61" s="12" t="s">
        <v>1420</v>
      </c>
      <c r="L61" s="12" t="s">
        <v>1420</v>
      </c>
      <c r="M61" s="12" t="s">
        <v>1420</v>
      </c>
      <c r="N61" s="12" t="s">
        <v>1420</v>
      </c>
      <c r="O61" s="12" t="s">
        <v>1420</v>
      </c>
      <c r="P61" s="12" t="s">
        <v>1420</v>
      </c>
      <c r="Q61" s="12" t="s">
        <v>1420</v>
      </c>
      <c r="R61" s="12" t="s">
        <v>1420</v>
      </c>
      <c r="S61" s="12" t="s">
        <v>1420</v>
      </c>
      <c r="T61" s="12" t="s">
        <v>1420</v>
      </c>
      <c r="U61" s="12" t="s">
        <v>1420</v>
      </c>
      <c r="V61" s="12" t="s">
        <v>1420</v>
      </c>
      <c r="W61" s="12" t="s">
        <v>1414</v>
      </c>
      <c r="X61" s="12" t="s">
        <v>1420</v>
      </c>
      <c r="Y61" s="12" t="s">
        <v>1420</v>
      </c>
      <c r="Z61" s="12" t="s">
        <v>1420</v>
      </c>
      <c r="AA61" s="12" t="s">
        <v>1420</v>
      </c>
      <c r="AB61" s="12" t="s">
        <v>1420</v>
      </c>
      <c r="AC61" s="12" t="s">
        <v>1415</v>
      </c>
      <c r="AD61" s="12" t="s">
        <v>1415</v>
      </c>
      <c r="AE61" s="12" t="s">
        <v>1415</v>
      </c>
      <c r="AF61" s="12" t="s">
        <v>1415</v>
      </c>
      <c r="AG61" s="12" t="s">
        <v>1415</v>
      </c>
    </row>
    <row r="62" spans="1:33" ht="14.4" x14ac:dyDescent="0.3">
      <c r="A62" s="12" t="s">
        <v>19</v>
      </c>
      <c r="B62" s="12" t="s">
        <v>454</v>
      </c>
      <c r="C62" s="12" t="s">
        <v>453</v>
      </c>
      <c r="D62" s="12" t="s">
        <v>1410</v>
      </c>
      <c r="E62" s="12" t="s">
        <v>1889</v>
      </c>
      <c r="F62" s="12" t="s">
        <v>1880</v>
      </c>
      <c r="G62" s="12" t="s">
        <v>1890</v>
      </c>
      <c r="H62" s="12" t="s">
        <v>1464</v>
      </c>
      <c r="I62" s="12" t="s">
        <v>1420</v>
      </c>
      <c r="J62" s="12" t="s">
        <v>1420</v>
      </c>
      <c r="K62" s="12" t="s">
        <v>1420</v>
      </c>
      <c r="L62" s="12" t="s">
        <v>1420</v>
      </c>
      <c r="M62" s="12" t="s">
        <v>1420</v>
      </c>
      <c r="N62" s="12" t="s">
        <v>1420</v>
      </c>
      <c r="O62" s="12" t="s">
        <v>1420</v>
      </c>
      <c r="P62" s="12" t="s">
        <v>1420</v>
      </c>
      <c r="Q62" s="12" t="s">
        <v>1420</v>
      </c>
      <c r="R62" s="12" t="s">
        <v>1420</v>
      </c>
      <c r="S62" s="12" t="s">
        <v>1420</v>
      </c>
      <c r="T62" s="12" t="s">
        <v>1420</v>
      </c>
      <c r="U62" s="12" t="s">
        <v>1420</v>
      </c>
      <c r="V62" s="12" t="s">
        <v>1420</v>
      </c>
      <c r="W62" s="12" t="s">
        <v>1420</v>
      </c>
      <c r="X62" s="12" t="s">
        <v>1420</v>
      </c>
      <c r="Y62" s="12" t="s">
        <v>1420</v>
      </c>
      <c r="Z62" s="12" t="s">
        <v>1420</v>
      </c>
      <c r="AA62" s="12" t="s">
        <v>1420</v>
      </c>
      <c r="AB62" s="12" t="s">
        <v>1420</v>
      </c>
      <c r="AC62" s="12" t="s">
        <v>1420</v>
      </c>
      <c r="AD62" s="12" t="s">
        <v>1420</v>
      </c>
      <c r="AE62" s="12" t="s">
        <v>1420</v>
      </c>
      <c r="AF62" s="12" t="s">
        <v>1420</v>
      </c>
      <c r="AG62" s="12" t="s">
        <v>1420</v>
      </c>
    </row>
    <row r="63" spans="1:33" ht="14.4" x14ac:dyDescent="0.3">
      <c r="A63" s="12" t="s">
        <v>25</v>
      </c>
      <c r="B63" s="12" t="s">
        <v>456</v>
      </c>
      <c r="C63" s="12" t="s">
        <v>455</v>
      </c>
      <c r="D63" s="12" t="s">
        <v>1410</v>
      </c>
      <c r="E63" s="12" t="s">
        <v>2353</v>
      </c>
      <c r="F63" s="12" t="s">
        <v>2354</v>
      </c>
      <c r="G63" s="12" t="s">
        <v>2355</v>
      </c>
      <c r="H63" s="12" t="s">
        <v>1438</v>
      </c>
      <c r="I63" s="12" t="s">
        <v>1420</v>
      </c>
      <c r="J63" s="12" t="s">
        <v>1420</v>
      </c>
      <c r="K63" s="12" t="s">
        <v>1420</v>
      </c>
      <c r="L63" s="12" t="s">
        <v>1420</v>
      </c>
      <c r="M63" s="12" t="s">
        <v>1420</v>
      </c>
      <c r="N63" s="12" t="s">
        <v>1414</v>
      </c>
      <c r="O63" s="12" t="s">
        <v>1414</v>
      </c>
      <c r="P63" s="12" t="s">
        <v>1414</v>
      </c>
      <c r="Q63" s="12" t="s">
        <v>1420</v>
      </c>
      <c r="R63" s="12" t="s">
        <v>1414</v>
      </c>
      <c r="S63" s="12" t="s">
        <v>1414</v>
      </c>
      <c r="T63" s="12" t="s">
        <v>1420</v>
      </c>
      <c r="U63" s="12" t="s">
        <v>1420</v>
      </c>
      <c r="V63" s="12" t="s">
        <v>1420</v>
      </c>
      <c r="W63" s="12" t="s">
        <v>1420</v>
      </c>
      <c r="X63" s="12" t="s">
        <v>1420</v>
      </c>
      <c r="Y63" s="12" t="s">
        <v>1420</v>
      </c>
      <c r="Z63" s="12" t="s">
        <v>1420</v>
      </c>
      <c r="AA63" s="12" t="s">
        <v>1420</v>
      </c>
      <c r="AB63" s="12" t="s">
        <v>1420</v>
      </c>
      <c r="AC63" s="12" t="s">
        <v>1420</v>
      </c>
      <c r="AD63" s="12" t="s">
        <v>1420</v>
      </c>
      <c r="AE63" s="12" t="s">
        <v>1414</v>
      </c>
      <c r="AF63" s="12" t="s">
        <v>1420</v>
      </c>
      <c r="AG63" s="12" t="s">
        <v>1420</v>
      </c>
    </row>
    <row r="64" spans="1:33" ht="14.4" x14ac:dyDescent="0.3">
      <c r="A64" s="12" t="s">
        <v>31</v>
      </c>
      <c r="B64" s="12" t="s">
        <v>30</v>
      </c>
      <c r="C64" s="12" t="s">
        <v>29</v>
      </c>
      <c r="D64" s="12" t="s">
        <v>1410</v>
      </c>
      <c r="E64" s="12" t="s">
        <v>2376</v>
      </c>
      <c r="F64" s="12" t="s">
        <v>2377</v>
      </c>
      <c r="G64" s="12" t="s">
        <v>2378</v>
      </c>
      <c r="H64" s="12" t="s">
        <v>1452</v>
      </c>
      <c r="I64" s="12" t="s">
        <v>1420</v>
      </c>
      <c r="J64" s="12" t="s">
        <v>1420</v>
      </c>
      <c r="K64" s="12" t="s">
        <v>1420</v>
      </c>
      <c r="L64" s="12" t="s">
        <v>1420</v>
      </c>
      <c r="M64" s="12" t="s">
        <v>1420</v>
      </c>
      <c r="N64" s="12" t="s">
        <v>1420</v>
      </c>
      <c r="O64" s="12" t="s">
        <v>1420</v>
      </c>
      <c r="P64" s="12" t="s">
        <v>1420</v>
      </c>
      <c r="Q64" s="12" t="s">
        <v>1420</v>
      </c>
      <c r="R64" s="12" t="s">
        <v>1420</v>
      </c>
      <c r="S64" s="12" t="s">
        <v>1420</v>
      </c>
      <c r="T64" s="12" t="s">
        <v>1420</v>
      </c>
      <c r="U64" s="12" t="s">
        <v>1420</v>
      </c>
      <c r="V64" s="12" t="s">
        <v>1420</v>
      </c>
      <c r="W64" s="12" t="s">
        <v>1420</v>
      </c>
      <c r="X64" s="12" t="s">
        <v>1420</v>
      </c>
      <c r="Y64" s="12" t="s">
        <v>1420</v>
      </c>
      <c r="Z64" s="12" t="s">
        <v>1420</v>
      </c>
      <c r="AA64" s="12" t="s">
        <v>1420</v>
      </c>
      <c r="AB64" s="12" t="s">
        <v>1420</v>
      </c>
      <c r="AC64" s="12" t="s">
        <v>1414</v>
      </c>
      <c r="AD64" s="12" t="s">
        <v>1420</v>
      </c>
      <c r="AE64" s="12" t="s">
        <v>1420</v>
      </c>
      <c r="AF64" s="12" t="s">
        <v>1420</v>
      </c>
      <c r="AG64" s="12" t="s">
        <v>1420</v>
      </c>
    </row>
    <row r="65" spans="1:33" ht="14.4" x14ac:dyDescent="0.3">
      <c r="A65" s="12" t="s">
        <v>8</v>
      </c>
      <c r="B65" s="12" t="s">
        <v>1156</v>
      </c>
      <c r="C65" s="12" t="s">
        <v>1155</v>
      </c>
      <c r="D65" s="12" t="s">
        <v>1410</v>
      </c>
      <c r="E65" s="12" t="s">
        <v>2983</v>
      </c>
      <c r="F65" s="12" t="s">
        <v>2984</v>
      </c>
      <c r="G65" s="12" t="s">
        <v>1999</v>
      </c>
      <c r="H65" s="12" t="s">
        <v>1419</v>
      </c>
      <c r="I65" s="12" t="s">
        <v>1420</v>
      </c>
      <c r="J65" s="12" t="s">
        <v>1420</v>
      </c>
      <c r="K65" s="12" t="s">
        <v>1420</v>
      </c>
      <c r="L65" s="12" t="s">
        <v>1420</v>
      </c>
      <c r="M65" s="12" t="s">
        <v>1420</v>
      </c>
      <c r="N65" s="12" t="s">
        <v>1420</v>
      </c>
      <c r="O65" s="12" t="s">
        <v>1420</v>
      </c>
      <c r="P65" s="12" t="s">
        <v>1414</v>
      </c>
      <c r="Q65" s="12" t="s">
        <v>1420</v>
      </c>
      <c r="R65" s="12" t="s">
        <v>1420</v>
      </c>
      <c r="S65" s="12" t="s">
        <v>1420</v>
      </c>
      <c r="T65" s="12" t="s">
        <v>1420</v>
      </c>
      <c r="U65" s="12" t="s">
        <v>1420</v>
      </c>
      <c r="V65" s="12" t="s">
        <v>1420</v>
      </c>
      <c r="W65" s="12" t="s">
        <v>1420</v>
      </c>
      <c r="X65" s="12" t="s">
        <v>1420</v>
      </c>
      <c r="Y65" s="12" t="s">
        <v>1420</v>
      </c>
      <c r="Z65" s="12" t="s">
        <v>1420</v>
      </c>
      <c r="AA65" s="12" t="s">
        <v>1420</v>
      </c>
      <c r="AB65" s="12" t="s">
        <v>1420</v>
      </c>
      <c r="AC65" s="12" t="s">
        <v>1420</v>
      </c>
      <c r="AD65" s="12" t="s">
        <v>1414</v>
      </c>
      <c r="AE65" s="12" t="s">
        <v>1420</v>
      </c>
      <c r="AF65" s="12" t="s">
        <v>1420</v>
      </c>
      <c r="AG65" s="12" t="s">
        <v>1420</v>
      </c>
    </row>
    <row r="66" spans="1:33" ht="14.4" x14ac:dyDescent="0.3">
      <c r="A66" s="12" t="s">
        <v>28</v>
      </c>
      <c r="B66" s="12" t="s">
        <v>33</v>
      </c>
      <c r="C66" s="12" t="s">
        <v>32</v>
      </c>
      <c r="D66" s="12" t="s">
        <v>1410</v>
      </c>
      <c r="E66" s="12" t="s">
        <v>2145</v>
      </c>
      <c r="F66" s="12" t="s">
        <v>2109</v>
      </c>
      <c r="G66" s="12" t="s">
        <v>2149</v>
      </c>
      <c r="H66" s="12" t="s">
        <v>1452</v>
      </c>
      <c r="I66" s="12" t="s">
        <v>1420</v>
      </c>
      <c r="J66" s="12" t="s">
        <v>1420</v>
      </c>
      <c r="K66" s="12" t="s">
        <v>1420</v>
      </c>
      <c r="L66" s="12" t="s">
        <v>1420</v>
      </c>
      <c r="M66" s="12" t="s">
        <v>1420</v>
      </c>
      <c r="N66" s="12" t="s">
        <v>1420</v>
      </c>
      <c r="O66" s="12" t="s">
        <v>1420</v>
      </c>
      <c r="P66" s="12" t="s">
        <v>1420</v>
      </c>
      <c r="Q66" s="12" t="s">
        <v>1420</v>
      </c>
      <c r="R66" s="12" t="s">
        <v>1420</v>
      </c>
      <c r="S66" s="12" t="s">
        <v>1420</v>
      </c>
      <c r="T66" s="12" t="s">
        <v>1414</v>
      </c>
      <c r="U66" s="12" t="s">
        <v>1420</v>
      </c>
      <c r="V66" s="12" t="s">
        <v>1420</v>
      </c>
      <c r="W66" s="12" t="s">
        <v>1420</v>
      </c>
      <c r="X66" s="12" t="s">
        <v>1420</v>
      </c>
      <c r="Y66" s="12" t="s">
        <v>1420</v>
      </c>
      <c r="Z66" s="12" t="s">
        <v>1420</v>
      </c>
      <c r="AA66" s="12" t="s">
        <v>1420</v>
      </c>
      <c r="AB66" s="12" t="s">
        <v>1420</v>
      </c>
      <c r="AC66" s="12" t="s">
        <v>1420</v>
      </c>
      <c r="AD66" s="12" t="s">
        <v>1420</v>
      </c>
      <c r="AE66" s="12" t="s">
        <v>1420</v>
      </c>
      <c r="AF66" s="12" t="s">
        <v>1420</v>
      </c>
      <c r="AG66" s="12" t="s">
        <v>1420</v>
      </c>
    </row>
    <row r="67" spans="1:33" ht="14.4" x14ac:dyDescent="0.3">
      <c r="A67" s="12" t="s">
        <v>547</v>
      </c>
      <c r="B67" s="12" t="s">
        <v>1158</v>
      </c>
      <c r="C67" s="12" t="s">
        <v>1157</v>
      </c>
      <c r="D67" s="12" t="s">
        <v>1410</v>
      </c>
      <c r="E67" s="12" t="s">
        <v>3141</v>
      </c>
      <c r="F67" s="12" t="s">
        <v>3142</v>
      </c>
      <c r="G67" s="12" t="s">
        <v>1866</v>
      </c>
      <c r="H67" s="12" t="s">
        <v>1488</v>
      </c>
      <c r="I67" s="12" t="s">
        <v>1420</v>
      </c>
      <c r="J67" s="12" t="s">
        <v>1420</v>
      </c>
      <c r="K67" s="12" t="s">
        <v>1420</v>
      </c>
      <c r="L67" s="12" t="s">
        <v>1420</v>
      </c>
      <c r="M67" s="12" t="s">
        <v>1420</v>
      </c>
      <c r="N67" s="12" t="s">
        <v>1420</v>
      </c>
      <c r="O67" s="12" t="s">
        <v>1420</v>
      </c>
      <c r="P67" s="12" t="s">
        <v>1420</v>
      </c>
      <c r="Q67" s="12" t="s">
        <v>1420</v>
      </c>
      <c r="R67" s="12" t="s">
        <v>1420</v>
      </c>
      <c r="S67" s="12" t="s">
        <v>1420</v>
      </c>
      <c r="T67" s="12" t="s">
        <v>1420</v>
      </c>
      <c r="U67" s="12" t="s">
        <v>1420</v>
      </c>
      <c r="V67" s="12" t="s">
        <v>1420</v>
      </c>
      <c r="W67" s="12" t="s">
        <v>1414</v>
      </c>
      <c r="X67" s="12" t="s">
        <v>1420</v>
      </c>
      <c r="Y67" s="12" t="s">
        <v>1420</v>
      </c>
      <c r="Z67" s="12" t="s">
        <v>1420</v>
      </c>
      <c r="AA67" s="12" t="s">
        <v>1414</v>
      </c>
      <c r="AB67" s="12" t="s">
        <v>1414</v>
      </c>
      <c r="AC67" s="12" t="s">
        <v>1420</v>
      </c>
      <c r="AD67" s="12" t="s">
        <v>1420</v>
      </c>
      <c r="AE67" s="12" t="s">
        <v>1414</v>
      </c>
      <c r="AF67" s="12" t="s">
        <v>1420</v>
      </c>
      <c r="AG67" s="12" t="s">
        <v>1420</v>
      </c>
    </row>
    <row r="68" spans="1:33" ht="14.4" x14ac:dyDescent="0.3">
      <c r="A68" s="12" t="s">
        <v>11</v>
      </c>
      <c r="B68" s="12" t="s">
        <v>727</v>
      </c>
      <c r="C68" s="12" t="s">
        <v>726</v>
      </c>
      <c r="D68" s="12" t="s">
        <v>1410</v>
      </c>
      <c r="E68" s="12" t="s">
        <v>2677</v>
      </c>
      <c r="F68" s="12" t="s">
        <v>2678</v>
      </c>
      <c r="G68" s="12" t="s">
        <v>2410</v>
      </c>
      <c r="H68" s="12" t="s">
        <v>1424</v>
      </c>
      <c r="I68" s="12" t="s">
        <v>1420</v>
      </c>
      <c r="J68" s="12" t="s">
        <v>1420</v>
      </c>
      <c r="K68" s="12" t="s">
        <v>1420</v>
      </c>
      <c r="L68" s="12" t="s">
        <v>1420</v>
      </c>
      <c r="M68" s="12" t="s">
        <v>1420</v>
      </c>
      <c r="N68" s="12" t="s">
        <v>1420</v>
      </c>
      <c r="O68" s="12" t="s">
        <v>1414</v>
      </c>
      <c r="P68" s="12" t="s">
        <v>1420</v>
      </c>
      <c r="Q68" s="12" t="s">
        <v>1420</v>
      </c>
      <c r="R68" s="12" t="s">
        <v>1420</v>
      </c>
      <c r="S68" s="12" t="s">
        <v>1420</v>
      </c>
      <c r="T68" s="12" t="s">
        <v>1420</v>
      </c>
      <c r="U68" s="12" t="s">
        <v>1420</v>
      </c>
      <c r="V68" s="12" t="s">
        <v>1420</v>
      </c>
      <c r="W68" s="12" t="s">
        <v>1420</v>
      </c>
      <c r="X68" s="12" t="s">
        <v>1420</v>
      </c>
      <c r="Y68" s="12" t="s">
        <v>1420</v>
      </c>
      <c r="Z68" s="12" t="s">
        <v>1414</v>
      </c>
      <c r="AA68" s="12" t="s">
        <v>1420</v>
      </c>
      <c r="AB68" s="12" t="s">
        <v>1420</v>
      </c>
      <c r="AC68" s="12" t="s">
        <v>1420</v>
      </c>
      <c r="AD68" s="12" t="s">
        <v>1414</v>
      </c>
      <c r="AE68" s="12" t="s">
        <v>1420</v>
      </c>
      <c r="AF68" s="12" t="s">
        <v>1420</v>
      </c>
      <c r="AG68" s="12" t="s">
        <v>1420</v>
      </c>
    </row>
    <row r="69" spans="1:33" ht="14.4" x14ac:dyDescent="0.3">
      <c r="A69" s="12" t="s">
        <v>8</v>
      </c>
      <c r="B69" s="12" t="s">
        <v>458</v>
      </c>
      <c r="C69" s="12" t="s">
        <v>457</v>
      </c>
      <c r="D69" s="12" t="s">
        <v>1410</v>
      </c>
      <c r="E69" s="12" t="s">
        <v>1929</v>
      </c>
      <c r="F69" s="12" t="s">
        <v>1930</v>
      </c>
      <c r="G69" s="12" t="s">
        <v>1931</v>
      </c>
      <c r="H69" s="12" t="s">
        <v>1448</v>
      </c>
      <c r="I69" s="12" t="s">
        <v>1420</v>
      </c>
      <c r="J69" s="12" t="s">
        <v>1420</v>
      </c>
      <c r="K69" s="12" t="s">
        <v>1420</v>
      </c>
      <c r="L69" s="12" t="s">
        <v>1420</v>
      </c>
      <c r="M69" s="12" t="s">
        <v>1420</v>
      </c>
      <c r="N69" s="12" t="s">
        <v>1414</v>
      </c>
      <c r="O69" s="12" t="s">
        <v>1420</v>
      </c>
      <c r="P69" s="12" t="s">
        <v>1414</v>
      </c>
      <c r="Q69" s="12" t="s">
        <v>1420</v>
      </c>
      <c r="R69" s="12" t="s">
        <v>1420</v>
      </c>
      <c r="S69" s="12" t="s">
        <v>1414</v>
      </c>
      <c r="T69" s="12" t="s">
        <v>1420</v>
      </c>
      <c r="U69" s="12" t="s">
        <v>1420</v>
      </c>
      <c r="V69" s="12" t="s">
        <v>1420</v>
      </c>
      <c r="W69" s="12" t="s">
        <v>1420</v>
      </c>
      <c r="X69" s="12" t="s">
        <v>1414</v>
      </c>
      <c r="Y69" s="12" t="s">
        <v>1420</v>
      </c>
      <c r="Z69" s="12" t="s">
        <v>1420</v>
      </c>
      <c r="AA69" s="12" t="s">
        <v>1420</v>
      </c>
      <c r="AB69" s="12" t="s">
        <v>1420</v>
      </c>
      <c r="AC69" s="12" t="s">
        <v>1414</v>
      </c>
      <c r="AD69" s="12" t="s">
        <v>1420</v>
      </c>
      <c r="AE69" s="12" t="s">
        <v>1420</v>
      </c>
      <c r="AF69" s="12" t="s">
        <v>1420</v>
      </c>
      <c r="AG69" s="12" t="s">
        <v>1420</v>
      </c>
    </row>
    <row r="70" spans="1:33" ht="14.4" x14ac:dyDescent="0.3">
      <c r="A70" s="12" t="s">
        <v>8</v>
      </c>
      <c r="B70" s="12" t="s">
        <v>1072</v>
      </c>
      <c r="C70" s="12" t="s">
        <v>1071</v>
      </c>
      <c r="D70" s="12" t="s">
        <v>1410</v>
      </c>
      <c r="E70" s="12" t="s">
        <v>3026</v>
      </c>
      <c r="F70" s="12" t="s">
        <v>3027</v>
      </c>
      <c r="G70" s="12" t="s">
        <v>1888</v>
      </c>
      <c r="H70" s="12" t="s">
        <v>1419</v>
      </c>
      <c r="I70" s="12" t="s">
        <v>1420</v>
      </c>
      <c r="J70" s="12" t="s">
        <v>1420</v>
      </c>
      <c r="K70" s="12" t="s">
        <v>1420</v>
      </c>
      <c r="L70" s="12" t="s">
        <v>1420</v>
      </c>
      <c r="M70" s="12" t="s">
        <v>1420</v>
      </c>
      <c r="N70" s="12" t="s">
        <v>1420</v>
      </c>
      <c r="O70" s="12" t="s">
        <v>1420</v>
      </c>
      <c r="P70" s="12" t="s">
        <v>1420</v>
      </c>
      <c r="Q70" s="12" t="s">
        <v>1420</v>
      </c>
      <c r="R70" s="12" t="s">
        <v>1420</v>
      </c>
      <c r="S70" s="12" t="s">
        <v>1420</v>
      </c>
      <c r="T70" s="12" t="s">
        <v>1420</v>
      </c>
      <c r="U70" s="12" t="s">
        <v>1420</v>
      </c>
      <c r="V70" s="12" t="s">
        <v>1420</v>
      </c>
      <c r="W70" s="12" t="s">
        <v>1414</v>
      </c>
      <c r="X70" s="12" t="s">
        <v>1414</v>
      </c>
      <c r="Y70" s="12" t="s">
        <v>1420</v>
      </c>
      <c r="Z70" s="12" t="s">
        <v>1420</v>
      </c>
      <c r="AA70" s="12" t="s">
        <v>1420</v>
      </c>
      <c r="AB70" s="12" t="s">
        <v>1420</v>
      </c>
      <c r="AC70" s="12" t="s">
        <v>1420</v>
      </c>
      <c r="AD70" s="12" t="s">
        <v>1420</v>
      </c>
      <c r="AE70" s="12" t="s">
        <v>1420</v>
      </c>
      <c r="AF70" s="12" t="s">
        <v>1420</v>
      </c>
      <c r="AG70" s="12" t="s">
        <v>1420</v>
      </c>
    </row>
    <row r="71" spans="1:33" ht="14.4" x14ac:dyDescent="0.3">
      <c r="A71" s="12" t="s">
        <v>8</v>
      </c>
      <c r="B71" s="12" t="s">
        <v>1160</v>
      </c>
      <c r="C71" s="12" t="s">
        <v>1159</v>
      </c>
      <c r="D71" s="12" t="s">
        <v>1410</v>
      </c>
      <c r="E71" s="12" t="s">
        <v>2985</v>
      </c>
      <c r="F71" s="12" t="s">
        <v>2984</v>
      </c>
      <c r="G71" s="12" t="s">
        <v>2986</v>
      </c>
      <c r="H71" s="12" t="s">
        <v>1452</v>
      </c>
      <c r="I71" s="12" t="s">
        <v>1420</v>
      </c>
      <c r="J71" s="12" t="s">
        <v>1420</v>
      </c>
      <c r="K71" s="12" t="s">
        <v>1420</v>
      </c>
      <c r="L71" s="12" t="s">
        <v>1420</v>
      </c>
      <c r="M71" s="12" t="s">
        <v>1420</v>
      </c>
      <c r="N71" s="12" t="s">
        <v>1420</v>
      </c>
      <c r="O71" s="12" t="s">
        <v>1420</v>
      </c>
      <c r="P71" s="12" t="s">
        <v>1414</v>
      </c>
      <c r="Q71" s="12" t="s">
        <v>1420</v>
      </c>
      <c r="R71" s="12" t="s">
        <v>1420</v>
      </c>
      <c r="S71" s="12" t="s">
        <v>1420</v>
      </c>
      <c r="T71" s="12" t="s">
        <v>1420</v>
      </c>
      <c r="U71" s="12" t="s">
        <v>1420</v>
      </c>
      <c r="V71" s="12" t="s">
        <v>1420</v>
      </c>
      <c r="W71" s="12" t="s">
        <v>1420</v>
      </c>
      <c r="X71" s="12" t="s">
        <v>1420</v>
      </c>
      <c r="Y71" s="12" t="s">
        <v>1420</v>
      </c>
      <c r="Z71" s="12" t="s">
        <v>1420</v>
      </c>
      <c r="AA71" s="12" t="s">
        <v>1420</v>
      </c>
      <c r="AB71" s="12" t="s">
        <v>1420</v>
      </c>
      <c r="AC71" s="12" t="s">
        <v>1420</v>
      </c>
      <c r="AD71" s="12" t="s">
        <v>1420</v>
      </c>
      <c r="AE71" s="12" t="s">
        <v>1420</v>
      </c>
      <c r="AF71" s="12" t="s">
        <v>1420</v>
      </c>
      <c r="AG71" s="12" t="s">
        <v>1420</v>
      </c>
    </row>
    <row r="72" spans="1:33" ht="14.4" x14ac:dyDescent="0.3">
      <c r="A72" s="12" t="s">
        <v>8</v>
      </c>
      <c r="B72" s="12" t="s">
        <v>267</v>
      </c>
      <c r="C72" s="12" t="s">
        <v>266</v>
      </c>
      <c r="D72" s="12" t="s">
        <v>1410</v>
      </c>
      <c r="E72" s="12" t="s">
        <v>2122</v>
      </c>
      <c r="F72" s="12" t="s">
        <v>2127</v>
      </c>
      <c r="G72" s="12" t="s">
        <v>1590</v>
      </c>
      <c r="H72" s="12" t="s">
        <v>1438</v>
      </c>
      <c r="I72" s="12" t="s">
        <v>1420</v>
      </c>
      <c r="J72" s="12" t="s">
        <v>1420</v>
      </c>
      <c r="K72" s="12" t="s">
        <v>1420</v>
      </c>
      <c r="L72" s="12" t="s">
        <v>1420</v>
      </c>
      <c r="M72" s="12" t="s">
        <v>1420</v>
      </c>
      <c r="N72" s="12" t="s">
        <v>1420</v>
      </c>
      <c r="O72" s="12" t="s">
        <v>1420</v>
      </c>
      <c r="P72" s="12" t="s">
        <v>1414</v>
      </c>
      <c r="Q72" s="12" t="s">
        <v>1420</v>
      </c>
      <c r="R72" s="12" t="s">
        <v>1420</v>
      </c>
      <c r="S72" s="12" t="s">
        <v>1414</v>
      </c>
      <c r="T72" s="12" t="s">
        <v>1420</v>
      </c>
      <c r="U72" s="12" t="s">
        <v>1420</v>
      </c>
      <c r="V72" s="12" t="s">
        <v>1420</v>
      </c>
      <c r="W72" s="12" t="s">
        <v>1420</v>
      </c>
      <c r="X72" s="12" t="s">
        <v>1420</v>
      </c>
      <c r="Y72" s="12" t="s">
        <v>1414</v>
      </c>
      <c r="Z72" s="12" t="s">
        <v>1414</v>
      </c>
      <c r="AA72" s="12" t="s">
        <v>1414</v>
      </c>
      <c r="AB72" s="12" t="s">
        <v>1420</v>
      </c>
      <c r="AC72" s="12" t="s">
        <v>1420</v>
      </c>
      <c r="AD72" s="12" t="s">
        <v>1420</v>
      </c>
      <c r="AE72" s="12" t="s">
        <v>1414</v>
      </c>
      <c r="AF72" s="12" t="s">
        <v>1420</v>
      </c>
      <c r="AG72" s="12" t="s">
        <v>1420</v>
      </c>
    </row>
    <row r="73" spans="1:33" ht="14.4" x14ac:dyDescent="0.3">
      <c r="A73" s="12" t="s">
        <v>8</v>
      </c>
      <c r="B73" s="12" t="s">
        <v>267</v>
      </c>
      <c r="C73" s="12" t="s">
        <v>266</v>
      </c>
      <c r="D73" s="12" t="s">
        <v>1410</v>
      </c>
      <c r="E73" s="12" t="s">
        <v>2148</v>
      </c>
      <c r="F73" s="12" t="s">
        <v>2174</v>
      </c>
      <c r="G73" s="12" t="s">
        <v>2175</v>
      </c>
      <c r="H73" s="12" t="s">
        <v>1488</v>
      </c>
      <c r="I73" s="12" t="s">
        <v>1414</v>
      </c>
      <c r="J73" s="12" t="s">
        <v>1420</v>
      </c>
      <c r="K73" s="12" t="s">
        <v>1420</v>
      </c>
      <c r="L73" s="12" t="s">
        <v>1420</v>
      </c>
      <c r="M73" s="12" t="s">
        <v>1420</v>
      </c>
      <c r="N73" s="12" t="s">
        <v>1420</v>
      </c>
      <c r="O73" s="12" t="s">
        <v>1420</v>
      </c>
      <c r="P73" s="12" t="s">
        <v>1414</v>
      </c>
      <c r="Q73" s="12" t="s">
        <v>1420</v>
      </c>
      <c r="R73" s="12" t="s">
        <v>1420</v>
      </c>
      <c r="S73" s="12" t="s">
        <v>1420</v>
      </c>
      <c r="T73" s="12" t="s">
        <v>1420</v>
      </c>
      <c r="U73" s="12" t="s">
        <v>1420</v>
      </c>
      <c r="V73" s="12" t="s">
        <v>1420</v>
      </c>
      <c r="W73" s="12" t="s">
        <v>1420</v>
      </c>
      <c r="X73" s="12" t="s">
        <v>1420</v>
      </c>
      <c r="Y73" s="12" t="s">
        <v>1420</v>
      </c>
      <c r="Z73" s="12" t="s">
        <v>1420</v>
      </c>
      <c r="AA73" s="12" t="s">
        <v>1420</v>
      </c>
      <c r="AB73" s="12" t="s">
        <v>1414</v>
      </c>
      <c r="AC73" s="12" t="s">
        <v>1420</v>
      </c>
      <c r="AD73" s="12" t="s">
        <v>1414</v>
      </c>
      <c r="AE73" s="12" t="s">
        <v>1420</v>
      </c>
      <c r="AF73" s="12" t="s">
        <v>1420</v>
      </c>
      <c r="AG73" s="12" t="s">
        <v>1420</v>
      </c>
    </row>
    <row r="74" spans="1:33" ht="14.4" x14ac:dyDescent="0.3">
      <c r="A74" s="12" t="s">
        <v>8</v>
      </c>
      <c r="B74" s="12" t="s">
        <v>5506</v>
      </c>
      <c r="C74" s="12" t="s">
        <v>5507</v>
      </c>
      <c r="D74" s="12" t="s">
        <v>1410</v>
      </c>
      <c r="E74" s="12" t="s">
        <v>5508</v>
      </c>
      <c r="F74" s="12" t="s">
        <v>5509</v>
      </c>
      <c r="G74" s="12" t="s">
        <v>1413</v>
      </c>
      <c r="H74" s="12" t="s">
        <v>1755</v>
      </c>
      <c r="I74" s="12" t="s">
        <v>1420</v>
      </c>
      <c r="J74" s="12" t="s">
        <v>1420</v>
      </c>
      <c r="K74" s="12" t="s">
        <v>1420</v>
      </c>
      <c r="L74" s="12" t="s">
        <v>1420</v>
      </c>
      <c r="M74" s="12" t="s">
        <v>1420</v>
      </c>
      <c r="N74" s="12" t="s">
        <v>1420</v>
      </c>
      <c r="O74" s="12" t="s">
        <v>1420</v>
      </c>
      <c r="P74" s="12" t="s">
        <v>1420</v>
      </c>
      <c r="Q74" s="12" t="s">
        <v>1420</v>
      </c>
      <c r="R74" s="12" t="s">
        <v>1420</v>
      </c>
      <c r="S74" s="12" t="s">
        <v>1420</v>
      </c>
      <c r="T74" s="12" t="s">
        <v>1420</v>
      </c>
      <c r="U74" s="12" t="s">
        <v>1420</v>
      </c>
      <c r="V74" s="12" t="s">
        <v>1420</v>
      </c>
      <c r="W74" s="12" t="s">
        <v>1420</v>
      </c>
      <c r="X74" s="12" t="s">
        <v>1415</v>
      </c>
      <c r="Y74" s="12" t="s">
        <v>1415</v>
      </c>
      <c r="Z74" s="12" t="s">
        <v>1415</v>
      </c>
      <c r="AA74" s="12" t="s">
        <v>1415</v>
      </c>
      <c r="AB74" s="12" t="s">
        <v>1415</v>
      </c>
      <c r="AC74" s="12" t="s">
        <v>1415</v>
      </c>
      <c r="AD74" s="12" t="s">
        <v>1415</v>
      </c>
      <c r="AE74" s="12" t="s">
        <v>1415</v>
      </c>
      <c r="AF74" s="12" t="s">
        <v>1415</v>
      </c>
      <c r="AG74" s="12" t="s">
        <v>1415</v>
      </c>
    </row>
    <row r="75" spans="1:33" ht="14.4" x14ac:dyDescent="0.3">
      <c r="A75" s="12" t="s">
        <v>8</v>
      </c>
      <c r="B75" s="12" t="s">
        <v>5506</v>
      </c>
      <c r="C75" s="12" t="s">
        <v>5507</v>
      </c>
      <c r="D75" s="12" t="s">
        <v>1410</v>
      </c>
      <c r="E75" s="12" t="s">
        <v>5510</v>
      </c>
      <c r="F75" s="12" t="s">
        <v>5511</v>
      </c>
      <c r="G75" s="12" t="s">
        <v>4085</v>
      </c>
      <c r="H75" s="12" t="s">
        <v>1464</v>
      </c>
      <c r="I75" s="12" t="s">
        <v>1420</v>
      </c>
      <c r="J75" s="12" t="s">
        <v>1420</v>
      </c>
      <c r="K75" s="12" t="s">
        <v>1420</v>
      </c>
      <c r="L75" s="12" t="s">
        <v>1420</v>
      </c>
      <c r="M75" s="12" t="s">
        <v>1420</v>
      </c>
      <c r="N75" s="12" t="s">
        <v>1420</v>
      </c>
      <c r="O75" s="12" t="s">
        <v>1420</v>
      </c>
      <c r="P75" s="12" t="s">
        <v>1420</v>
      </c>
      <c r="Q75" s="12" t="s">
        <v>1420</v>
      </c>
      <c r="R75" s="12" t="s">
        <v>1420</v>
      </c>
      <c r="S75" s="12" t="s">
        <v>1420</v>
      </c>
      <c r="T75" s="12" t="s">
        <v>1420</v>
      </c>
      <c r="U75" s="12" t="s">
        <v>1420</v>
      </c>
      <c r="V75" s="12" t="s">
        <v>1420</v>
      </c>
      <c r="W75" s="12" t="s">
        <v>1420</v>
      </c>
      <c r="X75" s="12" t="s">
        <v>1420</v>
      </c>
      <c r="Y75" s="12" t="s">
        <v>1420</v>
      </c>
      <c r="Z75" s="12" t="s">
        <v>1420</v>
      </c>
      <c r="AA75" s="12" t="s">
        <v>1420</v>
      </c>
      <c r="AB75" s="12" t="s">
        <v>1420</v>
      </c>
      <c r="AC75" s="12" t="s">
        <v>1420</v>
      </c>
      <c r="AD75" s="12" t="s">
        <v>1420</v>
      </c>
      <c r="AE75" s="12" t="s">
        <v>1420</v>
      </c>
      <c r="AF75" s="12" t="s">
        <v>1420</v>
      </c>
      <c r="AG75" s="12" t="s">
        <v>1420</v>
      </c>
    </row>
    <row r="76" spans="1:33" ht="14.4" x14ac:dyDescent="0.3">
      <c r="A76" s="12" t="s">
        <v>31</v>
      </c>
      <c r="B76" s="12" t="s">
        <v>771</v>
      </c>
      <c r="C76" s="12" t="s">
        <v>770</v>
      </c>
      <c r="D76" s="12" t="s">
        <v>1410</v>
      </c>
      <c r="E76" s="12" t="s">
        <v>2727</v>
      </c>
      <c r="F76" s="12" t="s">
        <v>2728</v>
      </c>
      <c r="G76" s="12" t="s">
        <v>2729</v>
      </c>
      <c r="H76" s="12" t="s">
        <v>1452</v>
      </c>
      <c r="I76" s="12" t="s">
        <v>1420</v>
      </c>
      <c r="J76" s="12" t="s">
        <v>1420</v>
      </c>
      <c r="K76" s="12" t="s">
        <v>1420</v>
      </c>
      <c r="L76" s="12" t="s">
        <v>1420</v>
      </c>
      <c r="M76" s="12" t="s">
        <v>1420</v>
      </c>
      <c r="N76" s="12" t="s">
        <v>1414</v>
      </c>
      <c r="O76" s="12" t="s">
        <v>1420</v>
      </c>
      <c r="P76" s="12" t="s">
        <v>1420</v>
      </c>
      <c r="Q76" s="12" t="s">
        <v>1420</v>
      </c>
      <c r="R76" s="12" t="s">
        <v>1420</v>
      </c>
      <c r="S76" s="12" t="s">
        <v>1420</v>
      </c>
      <c r="T76" s="12" t="s">
        <v>1420</v>
      </c>
      <c r="U76" s="12" t="s">
        <v>1420</v>
      </c>
      <c r="V76" s="12" t="s">
        <v>1420</v>
      </c>
      <c r="W76" s="12" t="s">
        <v>1420</v>
      </c>
      <c r="X76" s="12" t="s">
        <v>1420</v>
      </c>
      <c r="Y76" s="12" t="s">
        <v>1420</v>
      </c>
      <c r="Z76" s="12" t="s">
        <v>1420</v>
      </c>
      <c r="AA76" s="12" t="s">
        <v>1420</v>
      </c>
      <c r="AB76" s="12" t="s">
        <v>1420</v>
      </c>
      <c r="AC76" s="12" t="s">
        <v>1420</v>
      </c>
      <c r="AD76" s="12" t="s">
        <v>1420</v>
      </c>
      <c r="AE76" s="12" t="s">
        <v>1420</v>
      </c>
      <c r="AF76" s="12" t="s">
        <v>1420</v>
      </c>
      <c r="AG76" s="12" t="s">
        <v>1420</v>
      </c>
    </row>
    <row r="77" spans="1:33" ht="14.4" x14ac:dyDescent="0.3">
      <c r="A77" s="12" t="s">
        <v>31</v>
      </c>
      <c r="B77" s="12" t="s">
        <v>301</v>
      </c>
      <c r="C77" s="12" t="s">
        <v>300</v>
      </c>
      <c r="D77" s="12" t="s">
        <v>1410</v>
      </c>
      <c r="E77" s="12" t="s">
        <v>1844</v>
      </c>
      <c r="F77" s="12" t="s">
        <v>1845</v>
      </c>
      <c r="G77" s="12" t="s">
        <v>1846</v>
      </c>
      <c r="H77" s="12" t="s">
        <v>1424</v>
      </c>
      <c r="I77" s="12" t="s">
        <v>1420</v>
      </c>
      <c r="J77" s="12" t="s">
        <v>1420</v>
      </c>
      <c r="K77" s="12" t="s">
        <v>1420</v>
      </c>
      <c r="L77" s="12" t="s">
        <v>1420</v>
      </c>
      <c r="M77" s="12" t="s">
        <v>1420</v>
      </c>
      <c r="N77" s="12" t="s">
        <v>1414</v>
      </c>
      <c r="O77" s="12" t="s">
        <v>1420</v>
      </c>
      <c r="P77" s="12" t="s">
        <v>1420</v>
      </c>
      <c r="Q77" s="12" t="s">
        <v>1420</v>
      </c>
      <c r="R77" s="12" t="s">
        <v>1420</v>
      </c>
      <c r="S77" s="12" t="s">
        <v>1414</v>
      </c>
      <c r="T77" s="12" t="s">
        <v>1420</v>
      </c>
      <c r="U77" s="12" t="s">
        <v>1420</v>
      </c>
      <c r="V77" s="12" t="s">
        <v>1420</v>
      </c>
      <c r="W77" s="12" t="s">
        <v>1420</v>
      </c>
      <c r="X77" s="12" t="s">
        <v>1420</v>
      </c>
      <c r="Y77" s="12" t="s">
        <v>1420</v>
      </c>
      <c r="Z77" s="12" t="s">
        <v>1420</v>
      </c>
      <c r="AA77" s="12" t="s">
        <v>1420</v>
      </c>
      <c r="AB77" s="12" t="s">
        <v>1420</v>
      </c>
      <c r="AC77" s="12" t="s">
        <v>1420</v>
      </c>
      <c r="AD77" s="12" t="s">
        <v>1414</v>
      </c>
      <c r="AE77" s="12" t="s">
        <v>1420</v>
      </c>
      <c r="AF77" s="12" t="s">
        <v>1420</v>
      </c>
      <c r="AG77" s="12" t="s">
        <v>1420</v>
      </c>
    </row>
    <row r="78" spans="1:33" ht="14.4" x14ac:dyDescent="0.3">
      <c r="A78" s="12" t="s">
        <v>19</v>
      </c>
      <c r="B78" s="12" t="s">
        <v>35</v>
      </c>
      <c r="C78" s="12" t="s">
        <v>34</v>
      </c>
      <c r="D78" s="12" t="s">
        <v>1410</v>
      </c>
      <c r="E78" s="12" t="s">
        <v>2088</v>
      </c>
      <c r="F78" s="12" t="s">
        <v>2091</v>
      </c>
      <c r="G78" s="12" t="s">
        <v>2092</v>
      </c>
      <c r="H78" s="12" t="s">
        <v>1606</v>
      </c>
      <c r="I78" s="12" t="s">
        <v>1420</v>
      </c>
      <c r="J78" s="12" t="s">
        <v>1420</v>
      </c>
      <c r="K78" s="12" t="s">
        <v>1420</v>
      </c>
      <c r="L78" s="12" t="s">
        <v>1420</v>
      </c>
      <c r="M78" s="12" t="s">
        <v>1420</v>
      </c>
      <c r="N78" s="12" t="s">
        <v>1414</v>
      </c>
      <c r="O78" s="12" t="s">
        <v>1414</v>
      </c>
      <c r="P78" s="12" t="s">
        <v>1420</v>
      </c>
      <c r="Q78" s="12" t="s">
        <v>1420</v>
      </c>
      <c r="R78" s="12" t="s">
        <v>1420</v>
      </c>
      <c r="S78" s="12" t="s">
        <v>1414</v>
      </c>
      <c r="T78" s="12" t="s">
        <v>1414</v>
      </c>
      <c r="U78" s="12" t="s">
        <v>1420</v>
      </c>
      <c r="V78" s="12" t="s">
        <v>1420</v>
      </c>
      <c r="W78" s="12" t="s">
        <v>1414</v>
      </c>
      <c r="X78" s="12" t="s">
        <v>1414</v>
      </c>
      <c r="Y78" s="12" t="s">
        <v>1420</v>
      </c>
      <c r="Z78" s="12" t="s">
        <v>1420</v>
      </c>
      <c r="AA78" s="12" t="s">
        <v>1420</v>
      </c>
      <c r="AB78" s="12" t="s">
        <v>1420</v>
      </c>
      <c r="AC78" s="12" t="s">
        <v>1420</v>
      </c>
      <c r="AD78" s="12" t="s">
        <v>1420</v>
      </c>
      <c r="AE78" s="12" t="s">
        <v>1414</v>
      </c>
      <c r="AF78" s="12" t="s">
        <v>1420</v>
      </c>
      <c r="AG78" s="12" t="s">
        <v>1414</v>
      </c>
    </row>
    <row r="79" spans="1:33" ht="14.4" x14ac:dyDescent="0.3">
      <c r="A79" s="12" t="s">
        <v>19</v>
      </c>
      <c r="B79" s="12" t="s">
        <v>35</v>
      </c>
      <c r="C79" s="12" t="s">
        <v>34</v>
      </c>
      <c r="D79" s="12" t="s">
        <v>1410</v>
      </c>
      <c r="E79" s="12" t="s">
        <v>2128</v>
      </c>
      <c r="F79" s="12" t="s">
        <v>2166</v>
      </c>
      <c r="G79" s="12" t="s">
        <v>1447</v>
      </c>
      <c r="H79" s="12" t="s">
        <v>1452</v>
      </c>
      <c r="I79" s="12" t="s">
        <v>1420</v>
      </c>
      <c r="J79" s="12" t="s">
        <v>1420</v>
      </c>
      <c r="K79" s="12" t="s">
        <v>1420</v>
      </c>
      <c r="L79" s="12" t="s">
        <v>1420</v>
      </c>
      <c r="M79" s="12" t="s">
        <v>1420</v>
      </c>
      <c r="N79" s="12" t="s">
        <v>1420</v>
      </c>
      <c r="O79" s="12" t="s">
        <v>1420</v>
      </c>
      <c r="P79" s="12" t="s">
        <v>1420</v>
      </c>
      <c r="Q79" s="12" t="s">
        <v>1420</v>
      </c>
      <c r="R79" s="12" t="s">
        <v>1420</v>
      </c>
      <c r="S79" s="12" t="s">
        <v>1420</v>
      </c>
      <c r="T79" s="12" t="s">
        <v>1420</v>
      </c>
      <c r="U79" s="12" t="s">
        <v>1420</v>
      </c>
      <c r="V79" s="12" t="s">
        <v>1420</v>
      </c>
      <c r="W79" s="12" t="s">
        <v>1420</v>
      </c>
      <c r="X79" s="12" t="s">
        <v>1420</v>
      </c>
      <c r="Y79" s="12" t="s">
        <v>1420</v>
      </c>
      <c r="Z79" s="12" t="s">
        <v>1420</v>
      </c>
      <c r="AA79" s="12" t="s">
        <v>1420</v>
      </c>
      <c r="AB79" s="12" t="s">
        <v>1420</v>
      </c>
      <c r="AC79" s="12" t="s">
        <v>1420</v>
      </c>
      <c r="AD79" s="12" t="s">
        <v>1414</v>
      </c>
      <c r="AE79" s="12" t="s">
        <v>1420</v>
      </c>
      <c r="AF79" s="12" t="s">
        <v>1420</v>
      </c>
      <c r="AG79" s="12" t="s">
        <v>1420</v>
      </c>
    </row>
    <row r="80" spans="1:33" ht="14.4" x14ac:dyDescent="0.3">
      <c r="A80" s="12" t="s">
        <v>11</v>
      </c>
      <c r="B80" s="12" t="s">
        <v>460</v>
      </c>
      <c r="C80" s="12" t="s">
        <v>459</v>
      </c>
      <c r="D80" s="12" t="s">
        <v>1410</v>
      </c>
      <c r="E80" s="12" t="s">
        <v>1477</v>
      </c>
      <c r="F80" s="12" t="s">
        <v>1475</v>
      </c>
      <c r="G80" s="12" t="s">
        <v>1478</v>
      </c>
      <c r="H80" s="12" t="s">
        <v>1452</v>
      </c>
      <c r="I80" s="12" t="s">
        <v>1420</v>
      </c>
      <c r="J80" s="12" t="s">
        <v>1420</v>
      </c>
      <c r="K80" s="12" t="s">
        <v>1420</v>
      </c>
      <c r="L80" s="12" t="s">
        <v>1420</v>
      </c>
      <c r="M80" s="12" t="s">
        <v>1420</v>
      </c>
      <c r="N80" s="12" t="s">
        <v>1420</v>
      </c>
      <c r="O80" s="12" t="s">
        <v>1420</v>
      </c>
      <c r="P80" s="12" t="s">
        <v>1420</v>
      </c>
      <c r="Q80" s="12" t="s">
        <v>1420</v>
      </c>
      <c r="R80" s="12" t="s">
        <v>1420</v>
      </c>
      <c r="S80" s="12" t="s">
        <v>1420</v>
      </c>
      <c r="T80" s="12" t="s">
        <v>1420</v>
      </c>
      <c r="U80" s="12" t="s">
        <v>1420</v>
      </c>
      <c r="V80" s="12" t="s">
        <v>1420</v>
      </c>
      <c r="W80" s="12" t="s">
        <v>1420</v>
      </c>
      <c r="X80" s="12" t="s">
        <v>1414</v>
      </c>
      <c r="Y80" s="12" t="s">
        <v>1420</v>
      </c>
      <c r="Z80" s="12" t="s">
        <v>1420</v>
      </c>
      <c r="AA80" s="12" t="s">
        <v>1420</v>
      </c>
      <c r="AB80" s="12" t="s">
        <v>1420</v>
      </c>
      <c r="AC80" s="12" t="s">
        <v>1420</v>
      </c>
      <c r="AD80" s="12" t="s">
        <v>1420</v>
      </c>
      <c r="AE80" s="12" t="s">
        <v>1420</v>
      </c>
      <c r="AF80" s="12" t="s">
        <v>1420</v>
      </c>
      <c r="AG80" s="12" t="s">
        <v>1420</v>
      </c>
    </row>
    <row r="81" spans="1:33" ht="14.4" x14ac:dyDescent="0.3">
      <c r="A81" s="12" t="s">
        <v>42</v>
      </c>
      <c r="B81" s="12" t="s">
        <v>462</v>
      </c>
      <c r="C81" s="12" t="s">
        <v>461</v>
      </c>
      <c r="D81" s="12" t="s">
        <v>1410</v>
      </c>
      <c r="E81" s="12" t="s">
        <v>1622</v>
      </c>
      <c r="F81" s="12" t="s">
        <v>1623</v>
      </c>
      <c r="G81" s="12" t="s">
        <v>1624</v>
      </c>
      <c r="H81" s="12" t="s">
        <v>1452</v>
      </c>
      <c r="I81" s="12" t="s">
        <v>1420</v>
      </c>
      <c r="J81" s="12" t="s">
        <v>1414</v>
      </c>
      <c r="K81" s="12" t="s">
        <v>1420</v>
      </c>
      <c r="L81" s="12" t="s">
        <v>1420</v>
      </c>
      <c r="M81" s="12" t="s">
        <v>1420</v>
      </c>
      <c r="N81" s="12" t="s">
        <v>1420</v>
      </c>
      <c r="O81" s="12" t="s">
        <v>1420</v>
      </c>
      <c r="P81" s="12" t="s">
        <v>1420</v>
      </c>
      <c r="Q81" s="12" t="s">
        <v>1420</v>
      </c>
      <c r="R81" s="12" t="s">
        <v>1420</v>
      </c>
      <c r="S81" s="12" t="s">
        <v>1420</v>
      </c>
      <c r="T81" s="12" t="s">
        <v>1420</v>
      </c>
      <c r="U81" s="12" t="s">
        <v>1420</v>
      </c>
      <c r="V81" s="12" t="s">
        <v>1420</v>
      </c>
      <c r="W81" s="12" t="s">
        <v>1420</v>
      </c>
      <c r="X81" s="12" t="s">
        <v>1420</v>
      </c>
      <c r="Y81" s="12" t="s">
        <v>1420</v>
      </c>
      <c r="Z81" s="12" t="s">
        <v>1420</v>
      </c>
      <c r="AA81" s="12" t="s">
        <v>1420</v>
      </c>
      <c r="AB81" s="12" t="s">
        <v>1420</v>
      </c>
      <c r="AC81" s="12" t="s">
        <v>1420</v>
      </c>
      <c r="AD81" s="12" t="s">
        <v>1420</v>
      </c>
      <c r="AE81" s="12" t="s">
        <v>1420</v>
      </c>
      <c r="AF81" s="12" t="s">
        <v>1420</v>
      </c>
      <c r="AG81" s="12" t="s">
        <v>1420</v>
      </c>
    </row>
    <row r="82" spans="1:33" ht="14.4" x14ac:dyDescent="0.3">
      <c r="A82" s="12" t="s">
        <v>28</v>
      </c>
      <c r="B82" s="12" t="s">
        <v>37</v>
      </c>
      <c r="C82" s="12" t="s">
        <v>36</v>
      </c>
      <c r="D82" s="12" t="s">
        <v>1410</v>
      </c>
      <c r="E82" s="12" t="s">
        <v>2111</v>
      </c>
      <c r="F82" s="12" t="s">
        <v>2116</v>
      </c>
      <c r="G82" s="12" t="s">
        <v>2117</v>
      </c>
      <c r="H82" s="12" t="s">
        <v>1908</v>
      </c>
      <c r="I82" s="12" t="s">
        <v>1420</v>
      </c>
      <c r="J82" s="12" t="s">
        <v>1420</v>
      </c>
      <c r="K82" s="12" t="s">
        <v>1420</v>
      </c>
      <c r="L82" s="12" t="s">
        <v>1420</v>
      </c>
      <c r="M82" s="12" t="s">
        <v>1420</v>
      </c>
      <c r="N82" s="12" t="s">
        <v>1414</v>
      </c>
      <c r="O82" s="12" t="s">
        <v>1414</v>
      </c>
      <c r="P82" s="12" t="s">
        <v>1420</v>
      </c>
      <c r="Q82" s="12" t="s">
        <v>1420</v>
      </c>
      <c r="R82" s="12" t="s">
        <v>1420</v>
      </c>
      <c r="S82" s="12" t="s">
        <v>1414</v>
      </c>
      <c r="T82" s="12" t="s">
        <v>1414</v>
      </c>
      <c r="U82" s="12" t="s">
        <v>1420</v>
      </c>
      <c r="V82" s="12" t="s">
        <v>1420</v>
      </c>
      <c r="W82" s="12" t="s">
        <v>1414</v>
      </c>
      <c r="X82" s="12" t="s">
        <v>1414</v>
      </c>
      <c r="Y82" s="12" t="s">
        <v>1420</v>
      </c>
      <c r="Z82" s="12" t="s">
        <v>1420</v>
      </c>
      <c r="AA82" s="12" t="s">
        <v>1420</v>
      </c>
      <c r="AB82" s="12" t="s">
        <v>1420</v>
      </c>
      <c r="AC82" s="12" t="s">
        <v>1420</v>
      </c>
      <c r="AD82" s="12" t="s">
        <v>1414</v>
      </c>
      <c r="AE82" s="12" t="s">
        <v>1414</v>
      </c>
      <c r="AF82" s="12" t="s">
        <v>1420</v>
      </c>
      <c r="AG82" s="12" t="s">
        <v>1414</v>
      </c>
    </row>
    <row r="83" spans="1:33" ht="14.4" x14ac:dyDescent="0.3">
      <c r="A83" s="12" t="s">
        <v>28</v>
      </c>
      <c r="B83" s="12" t="s">
        <v>37</v>
      </c>
      <c r="C83" s="12" t="s">
        <v>36</v>
      </c>
      <c r="D83" s="12" t="s">
        <v>1410</v>
      </c>
      <c r="E83" s="12" t="s">
        <v>2208</v>
      </c>
      <c r="F83" s="12" t="s">
        <v>2209</v>
      </c>
      <c r="G83" s="12" t="s">
        <v>2210</v>
      </c>
      <c r="H83" s="12" t="s">
        <v>1464</v>
      </c>
      <c r="I83" s="12" t="s">
        <v>1420</v>
      </c>
      <c r="J83" s="12" t="s">
        <v>1420</v>
      </c>
      <c r="K83" s="12" t="s">
        <v>1420</v>
      </c>
      <c r="L83" s="12" t="s">
        <v>1420</v>
      </c>
      <c r="M83" s="12" t="s">
        <v>1420</v>
      </c>
      <c r="N83" s="12" t="s">
        <v>1420</v>
      </c>
      <c r="O83" s="12" t="s">
        <v>1420</v>
      </c>
      <c r="P83" s="12" t="s">
        <v>1420</v>
      </c>
      <c r="Q83" s="12" t="s">
        <v>1420</v>
      </c>
      <c r="R83" s="12" t="s">
        <v>1420</v>
      </c>
      <c r="S83" s="12" t="s">
        <v>1420</v>
      </c>
      <c r="T83" s="12" t="s">
        <v>1420</v>
      </c>
      <c r="U83" s="12" t="s">
        <v>1420</v>
      </c>
      <c r="V83" s="12" t="s">
        <v>1420</v>
      </c>
      <c r="W83" s="12" t="s">
        <v>1420</v>
      </c>
      <c r="X83" s="12" t="s">
        <v>1420</v>
      </c>
      <c r="Y83" s="12" t="s">
        <v>1420</v>
      </c>
      <c r="Z83" s="12" t="s">
        <v>1420</v>
      </c>
      <c r="AA83" s="12" t="s">
        <v>1420</v>
      </c>
      <c r="AB83" s="12" t="s">
        <v>1420</v>
      </c>
      <c r="AC83" s="12" t="s">
        <v>1420</v>
      </c>
      <c r="AD83" s="12" t="s">
        <v>1420</v>
      </c>
      <c r="AE83" s="12" t="s">
        <v>1420</v>
      </c>
      <c r="AF83" s="12" t="s">
        <v>1420</v>
      </c>
      <c r="AG83" s="12" t="s">
        <v>1420</v>
      </c>
    </row>
    <row r="84" spans="1:33" ht="14.4" x14ac:dyDescent="0.3">
      <c r="A84" s="12" t="s">
        <v>123</v>
      </c>
      <c r="B84" s="12" t="s">
        <v>464</v>
      </c>
      <c r="C84" s="12" t="s">
        <v>463</v>
      </c>
      <c r="D84" s="12" t="s">
        <v>1410</v>
      </c>
      <c r="E84" s="12" t="s">
        <v>1589</v>
      </c>
      <c r="F84" s="12" t="s">
        <v>1607</v>
      </c>
      <c r="G84" s="12" t="s">
        <v>1608</v>
      </c>
      <c r="H84" s="12" t="s">
        <v>1452</v>
      </c>
      <c r="I84" s="12" t="s">
        <v>1420</v>
      </c>
      <c r="J84" s="12" t="s">
        <v>1420</v>
      </c>
      <c r="K84" s="12" t="s">
        <v>1420</v>
      </c>
      <c r="L84" s="12" t="s">
        <v>1420</v>
      </c>
      <c r="M84" s="12" t="s">
        <v>1420</v>
      </c>
      <c r="N84" s="12" t="s">
        <v>1420</v>
      </c>
      <c r="O84" s="12" t="s">
        <v>1420</v>
      </c>
      <c r="P84" s="12" t="s">
        <v>1420</v>
      </c>
      <c r="Q84" s="12" t="s">
        <v>1420</v>
      </c>
      <c r="R84" s="12" t="s">
        <v>1420</v>
      </c>
      <c r="S84" s="12" t="s">
        <v>1420</v>
      </c>
      <c r="T84" s="12" t="s">
        <v>1420</v>
      </c>
      <c r="U84" s="12" t="s">
        <v>1420</v>
      </c>
      <c r="V84" s="12" t="s">
        <v>1420</v>
      </c>
      <c r="W84" s="12" t="s">
        <v>1420</v>
      </c>
      <c r="X84" s="12" t="s">
        <v>1420</v>
      </c>
      <c r="Y84" s="12" t="s">
        <v>1420</v>
      </c>
      <c r="Z84" s="12" t="s">
        <v>1420</v>
      </c>
      <c r="AA84" s="12" t="s">
        <v>1420</v>
      </c>
      <c r="AB84" s="12" t="s">
        <v>1420</v>
      </c>
      <c r="AC84" s="12" t="s">
        <v>1414</v>
      </c>
      <c r="AD84" s="12" t="s">
        <v>1420</v>
      </c>
      <c r="AE84" s="12" t="s">
        <v>1420</v>
      </c>
      <c r="AF84" s="12" t="s">
        <v>1420</v>
      </c>
      <c r="AG84" s="12" t="s">
        <v>1420</v>
      </c>
    </row>
    <row r="85" spans="1:33" ht="14.4" x14ac:dyDescent="0.3">
      <c r="A85" s="12" t="s">
        <v>16</v>
      </c>
      <c r="B85" s="12" t="s">
        <v>1162</v>
      </c>
      <c r="C85" s="12" t="s">
        <v>1161</v>
      </c>
      <c r="D85" s="12" t="s">
        <v>1410</v>
      </c>
      <c r="E85" s="12" t="s">
        <v>3109</v>
      </c>
      <c r="F85" s="12" t="s">
        <v>3104</v>
      </c>
      <c r="G85" s="12" t="s">
        <v>3110</v>
      </c>
      <c r="H85" s="12" t="s">
        <v>1464</v>
      </c>
      <c r="I85" s="12" t="s">
        <v>1420</v>
      </c>
      <c r="J85" s="12" t="s">
        <v>1420</v>
      </c>
      <c r="K85" s="12" t="s">
        <v>1420</v>
      </c>
      <c r="L85" s="12" t="s">
        <v>1420</v>
      </c>
      <c r="M85" s="12" t="s">
        <v>1420</v>
      </c>
      <c r="N85" s="12" t="s">
        <v>1420</v>
      </c>
      <c r="O85" s="12" t="s">
        <v>1420</v>
      </c>
      <c r="P85" s="12" t="s">
        <v>1420</v>
      </c>
      <c r="Q85" s="12" t="s">
        <v>1420</v>
      </c>
      <c r="R85" s="12" t="s">
        <v>1420</v>
      </c>
      <c r="S85" s="12" t="s">
        <v>1420</v>
      </c>
      <c r="T85" s="12" t="s">
        <v>1420</v>
      </c>
      <c r="U85" s="12" t="s">
        <v>1420</v>
      </c>
      <c r="V85" s="12" t="s">
        <v>1420</v>
      </c>
      <c r="W85" s="12" t="s">
        <v>1420</v>
      </c>
      <c r="X85" s="12" t="s">
        <v>1420</v>
      </c>
      <c r="Y85" s="12" t="s">
        <v>1420</v>
      </c>
      <c r="Z85" s="12" t="s">
        <v>1420</v>
      </c>
      <c r="AA85" s="12" t="s">
        <v>1420</v>
      </c>
      <c r="AB85" s="12" t="s">
        <v>1420</v>
      </c>
      <c r="AC85" s="12" t="s">
        <v>1420</v>
      </c>
      <c r="AD85" s="12" t="s">
        <v>1420</v>
      </c>
      <c r="AE85" s="12" t="s">
        <v>1420</v>
      </c>
      <c r="AF85" s="12" t="s">
        <v>1420</v>
      </c>
      <c r="AG85" s="12" t="s">
        <v>1420</v>
      </c>
    </row>
    <row r="86" spans="1:33" ht="14.4" x14ac:dyDescent="0.3">
      <c r="A86" s="12" t="s">
        <v>8</v>
      </c>
      <c r="B86" s="12" t="s">
        <v>1294</v>
      </c>
      <c r="C86" s="12" t="s">
        <v>1293</v>
      </c>
      <c r="D86" s="12" t="s">
        <v>1410</v>
      </c>
      <c r="E86" s="12" t="s">
        <v>1879</v>
      </c>
      <c r="F86" s="12" t="s">
        <v>1880</v>
      </c>
      <c r="G86" s="12" t="s">
        <v>1881</v>
      </c>
      <c r="H86" s="12" t="s">
        <v>1488</v>
      </c>
      <c r="I86" s="12" t="s">
        <v>1420</v>
      </c>
      <c r="J86" s="12" t="s">
        <v>1420</v>
      </c>
      <c r="K86" s="12" t="s">
        <v>1420</v>
      </c>
      <c r="L86" s="12" t="s">
        <v>1420</v>
      </c>
      <c r="M86" s="12" t="s">
        <v>1420</v>
      </c>
      <c r="N86" s="12" t="s">
        <v>1414</v>
      </c>
      <c r="O86" s="12" t="s">
        <v>1414</v>
      </c>
      <c r="P86" s="12" t="s">
        <v>1420</v>
      </c>
      <c r="Q86" s="12" t="s">
        <v>1420</v>
      </c>
      <c r="R86" s="12" t="s">
        <v>1420</v>
      </c>
      <c r="S86" s="12" t="s">
        <v>1420</v>
      </c>
      <c r="T86" s="12" t="s">
        <v>1420</v>
      </c>
      <c r="U86" s="12" t="s">
        <v>1414</v>
      </c>
      <c r="V86" s="12" t="s">
        <v>1420</v>
      </c>
      <c r="W86" s="12" t="s">
        <v>1414</v>
      </c>
      <c r="X86" s="12" t="s">
        <v>1420</v>
      </c>
      <c r="Y86" s="12" t="s">
        <v>1420</v>
      </c>
      <c r="Z86" s="12" t="s">
        <v>1420</v>
      </c>
      <c r="AA86" s="12" t="s">
        <v>1420</v>
      </c>
      <c r="AB86" s="12" t="s">
        <v>1420</v>
      </c>
      <c r="AC86" s="12" t="s">
        <v>1420</v>
      </c>
      <c r="AD86" s="12" t="s">
        <v>1420</v>
      </c>
      <c r="AE86" s="12" t="s">
        <v>1420</v>
      </c>
      <c r="AF86" s="12" t="s">
        <v>1420</v>
      </c>
      <c r="AG86" s="12" t="s">
        <v>1420</v>
      </c>
    </row>
    <row r="87" spans="1:33" ht="14.4" x14ac:dyDescent="0.3">
      <c r="A87" s="12" t="s">
        <v>170</v>
      </c>
      <c r="B87" s="12" t="s">
        <v>466</v>
      </c>
      <c r="C87" s="12" t="s">
        <v>465</v>
      </c>
      <c r="D87" s="12" t="s">
        <v>1410</v>
      </c>
      <c r="E87" s="12" t="s">
        <v>1900</v>
      </c>
      <c r="F87" s="12" t="s">
        <v>1901</v>
      </c>
      <c r="G87" s="12" t="s">
        <v>1902</v>
      </c>
      <c r="H87" s="12" t="s">
        <v>1464</v>
      </c>
      <c r="I87" s="12" t="s">
        <v>1420</v>
      </c>
      <c r="J87" s="12" t="s">
        <v>1420</v>
      </c>
      <c r="K87" s="12" t="s">
        <v>1420</v>
      </c>
      <c r="L87" s="12" t="s">
        <v>1420</v>
      </c>
      <c r="M87" s="12" t="s">
        <v>1420</v>
      </c>
      <c r="N87" s="12" t="s">
        <v>1420</v>
      </c>
      <c r="O87" s="12" t="s">
        <v>1420</v>
      </c>
      <c r="P87" s="12" t="s">
        <v>1420</v>
      </c>
      <c r="Q87" s="12" t="s">
        <v>1420</v>
      </c>
      <c r="R87" s="12" t="s">
        <v>1420</v>
      </c>
      <c r="S87" s="12" t="s">
        <v>1420</v>
      </c>
      <c r="T87" s="12" t="s">
        <v>1420</v>
      </c>
      <c r="U87" s="12" t="s">
        <v>1420</v>
      </c>
      <c r="V87" s="12" t="s">
        <v>1420</v>
      </c>
      <c r="W87" s="12" t="s">
        <v>1420</v>
      </c>
      <c r="X87" s="12" t="s">
        <v>1420</v>
      </c>
      <c r="Y87" s="12" t="s">
        <v>1420</v>
      </c>
      <c r="Z87" s="12" t="s">
        <v>1420</v>
      </c>
      <c r="AA87" s="12" t="s">
        <v>1420</v>
      </c>
      <c r="AB87" s="12" t="s">
        <v>1420</v>
      </c>
      <c r="AC87" s="12" t="s">
        <v>1420</v>
      </c>
      <c r="AD87" s="12" t="s">
        <v>1420</v>
      </c>
      <c r="AE87" s="12" t="s">
        <v>1420</v>
      </c>
      <c r="AF87" s="12" t="s">
        <v>1420</v>
      </c>
      <c r="AG87" s="12" t="s">
        <v>1420</v>
      </c>
    </row>
    <row r="88" spans="1:33" ht="14.4" x14ac:dyDescent="0.3">
      <c r="A88" s="12" t="s">
        <v>49</v>
      </c>
      <c r="B88" s="12" t="s">
        <v>773</v>
      </c>
      <c r="C88" s="12" t="s">
        <v>772</v>
      </c>
      <c r="D88" s="12" t="s">
        <v>1410</v>
      </c>
      <c r="E88" s="12" t="s">
        <v>2815</v>
      </c>
      <c r="F88" s="12" t="s">
        <v>2816</v>
      </c>
      <c r="G88" s="12" t="s">
        <v>2817</v>
      </c>
      <c r="H88" s="12" t="s">
        <v>1438</v>
      </c>
      <c r="I88" s="12" t="s">
        <v>1420</v>
      </c>
      <c r="J88" s="12" t="s">
        <v>1420</v>
      </c>
      <c r="K88" s="12" t="s">
        <v>1420</v>
      </c>
      <c r="L88" s="12" t="s">
        <v>1420</v>
      </c>
      <c r="M88" s="12" t="s">
        <v>1420</v>
      </c>
      <c r="N88" s="12" t="s">
        <v>1420</v>
      </c>
      <c r="O88" s="12" t="s">
        <v>1414</v>
      </c>
      <c r="P88" s="12" t="s">
        <v>1420</v>
      </c>
      <c r="Q88" s="12" t="s">
        <v>1420</v>
      </c>
      <c r="R88" s="12" t="s">
        <v>1420</v>
      </c>
      <c r="S88" s="12" t="s">
        <v>1420</v>
      </c>
      <c r="T88" s="12" t="s">
        <v>1420</v>
      </c>
      <c r="U88" s="12" t="s">
        <v>1420</v>
      </c>
      <c r="V88" s="12" t="s">
        <v>1420</v>
      </c>
      <c r="W88" s="12" t="s">
        <v>1420</v>
      </c>
      <c r="X88" s="12" t="s">
        <v>1420</v>
      </c>
      <c r="Y88" s="12" t="s">
        <v>1420</v>
      </c>
      <c r="Z88" s="12" t="s">
        <v>1414</v>
      </c>
      <c r="AA88" s="12" t="s">
        <v>1420</v>
      </c>
      <c r="AB88" s="12" t="s">
        <v>1414</v>
      </c>
      <c r="AC88" s="12" t="s">
        <v>1415</v>
      </c>
      <c r="AD88" s="12" t="s">
        <v>1420</v>
      </c>
      <c r="AE88" s="12" t="s">
        <v>1414</v>
      </c>
      <c r="AF88" s="12" t="s">
        <v>1420</v>
      </c>
      <c r="AG88" s="12" t="s">
        <v>1414</v>
      </c>
    </row>
    <row r="89" spans="1:33" ht="14.4" x14ac:dyDescent="0.3">
      <c r="A89" s="12" t="s">
        <v>25</v>
      </c>
      <c r="B89" s="12" t="s">
        <v>1164</v>
      </c>
      <c r="C89" s="12" t="s">
        <v>1163</v>
      </c>
      <c r="D89" s="12" t="s">
        <v>1410</v>
      </c>
      <c r="E89" s="12" t="s">
        <v>1421</v>
      </c>
      <c r="F89" s="12" t="s">
        <v>1422</v>
      </c>
      <c r="G89" s="12" t="s">
        <v>1423</v>
      </c>
      <c r="H89" s="12" t="s">
        <v>1424</v>
      </c>
      <c r="I89" s="12" t="s">
        <v>1420</v>
      </c>
      <c r="J89" s="12" t="s">
        <v>1420</v>
      </c>
      <c r="K89" s="12" t="s">
        <v>1420</v>
      </c>
      <c r="L89" s="12" t="s">
        <v>1420</v>
      </c>
      <c r="M89" s="12" t="s">
        <v>1420</v>
      </c>
      <c r="N89" s="12" t="s">
        <v>1420</v>
      </c>
      <c r="O89" s="12" t="s">
        <v>1420</v>
      </c>
      <c r="P89" s="12" t="s">
        <v>1414</v>
      </c>
      <c r="Q89" s="12" t="s">
        <v>1420</v>
      </c>
      <c r="R89" s="12" t="s">
        <v>1414</v>
      </c>
      <c r="S89" s="12" t="s">
        <v>1414</v>
      </c>
      <c r="T89" s="12" t="s">
        <v>1420</v>
      </c>
      <c r="U89" s="12" t="s">
        <v>1420</v>
      </c>
      <c r="V89" s="12" t="s">
        <v>1420</v>
      </c>
      <c r="W89" s="12" t="s">
        <v>1420</v>
      </c>
      <c r="X89" s="12" t="s">
        <v>1420</v>
      </c>
      <c r="Y89" s="12" t="s">
        <v>1420</v>
      </c>
      <c r="Z89" s="12" t="s">
        <v>1420</v>
      </c>
      <c r="AA89" s="12" t="s">
        <v>1420</v>
      </c>
      <c r="AB89" s="12" t="s">
        <v>1420</v>
      </c>
      <c r="AC89" s="12" t="s">
        <v>1420</v>
      </c>
      <c r="AD89" s="12" t="s">
        <v>1420</v>
      </c>
      <c r="AE89" s="12" t="s">
        <v>1420</v>
      </c>
      <c r="AF89" s="12" t="s">
        <v>1420</v>
      </c>
      <c r="AG89" s="12" t="s">
        <v>1420</v>
      </c>
    </row>
    <row r="90" spans="1:33" ht="14.4" x14ac:dyDescent="0.3">
      <c r="A90" s="12" t="s">
        <v>8</v>
      </c>
      <c r="B90" s="12" t="s">
        <v>39</v>
      </c>
      <c r="C90" s="12" t="s">
        <v>38</v>
      </c>
      <c r="D90" s="12" t="s">
        <v>1410</v>
      </c>
      <c r="E90" s="12" t="s">
        <v>2197</v>
      </c>
      <c r="F90" s="12" t="s">
        <v>2198</v>
      </c>
      <c r="G90" s="12" t="s">
        <v>1413</v>
      </c>
      <c r="H90" s="12" t="s">
        <v>1488</v>
      </c>
      <c r="I90" s="12" t="s">
        <v>1420</v>
      </c>
      <c r="J90" s="12" t="s">
        <v>1420</v>
      </c>
      <c r="K90" s="12" t="s">
        <v>1420</v>
      </c>
      <c r="L90" s="12" t="s">
        <v>1420</v>
      </c>
      <c r="M90" s="12" t="s">
        <v>1420</v>
      </c>
      <c r="N90" s="12" t="s">
        <v>1420</v>
      </c>
      <c r="O90" s="12" t="s">
        <v>1420</v>
      </c>
      <c r="P90" s="12" t="s">
        <v>1420</v>
      </c>
      <c r="Q90" s="12" t="s">
        <v>1420</v>
      </c>
      <c r="R90" s="12" t="s">
        <v>1420</v>
      </c>
      <c r="S90" s="12" t="s">
        <v>1420</v>
      </c>
      <c r="T90" s="12" t="s">
        <v>1420</v>
      </c>
      <c r="U90" s="12" t="s">
        <v>1420</v>
      </c>
      <c r="V90" s="12" t="s">
        <v>1420</v>
      </c>
      <c r="W90" s="12" t="s">
        <v>1420</v>
      </c>
      <c r="X90" s="12" t="s">
        <v>1420</v>
      </c>
      <c r="Y90" s="12" t="s">
        <v>1420</v>
      </c>
      <c r="Z90" s="12" t="s">
        <v>1420</v>
      </c>
      <c r="AA90" s="12" t="s">
        <v>1420</v>
      </c>
      <c r="AB90" s="12" t="s">
        <v>1420</v>
      </c>
      <c r="AC90" s="12" t="s">
        <v>1420</v>
      </c>
      <c r="AD90" s="12" t="s">
        <v>1415</v>
      </c>
      <c r="AE90" s="12" t="s">
        <v>1415</v>
      </c>
      <c r="AF90" s="12" t="s">
        <v>1415</v>
      </c>
      <c r="AG90" s="12" t="s">
        <v>1415</v>
      </c>
    </row>
    <row r="91" spans="1:33" ht="14.4" x14ac:dyDescent="0.3">
      <c r="A91" s="12" t="s">
        <v>8</v>
      </c>
      <c r="B91" s="12" t="s">
        <v>39</v>
      </c>
      <c r="C91" s="12" t="s">
        <v>38</v>
      </c>
      <c r="D91" s="12" t="s">
        <v>1410</v>
      </c>
      <c r="E91" s="12" t="s">
        <v>2234</v>
      </c>
      <c r="F91" s="12" t="s">
        <v>2235</v>
      </c>
      <c r="G91" s="12" t="s">
        <v>2236</v>
      </c>
      <c r="H91" s="12" t="s">
        <v>1419</v>
      </c>
      <c r="I91" s="12" t="s">
        <v>1420</v>
      </c>
      <c r="J91" s="12" t="s">
        <v>1420</v>
      </c>
      <c r="K91" s="12" t="s">
        <v>1420</v>
      </c>
      <c r="L91" s="12" t="s">
        <v>1420</v>
      </c>
      <c r="M91" s="12" t="s">
        <v>1420</v>
      </c>
      <c r="N91" s="12" t="s">
        <v>1420</v>
      </c>
      <c r="O91" s="12" t="s">
        <v>1420</v>
      </c>
      <c r="P91" s="12" t="s">
        <v>1420</v>
      </c>
      <c r="Q91" s="12" t="s">
        <v>1420</v>
      </c>
      <c r="R91" s="12" t="s">
        <v>1420</v>
      </c>
      <c r="S91" s="12" t="s">
        <v>1420</v>
      </c>
      <c r="T91" s="12" t="s">
        <v>1420</v>
      </c>
      <c r="U91" s="12" t="s">
        <v>1420</v>
      </c>
      <c r="V91" s="12" t="s">
        <v>1420</v>
      </c>
      <c r="W91" s="12" t="s">
        <v>1420</v>
      </c>
      <c r="X91" s="12" t="s">
        <v>1414</v>
      </c>
      <c r="Y91" s="12" t="s">
        <v>1420</v>
      </c>
      <c r="Z91" s="12" t="s">
        <v>1420</v>
      </c>
      <c r="AA91" s="12" t="s">
        <v>1420</v>
      </c>
      <c r="AB91" s="12" t="s">
        <v>1420</v>
      </c>
      <c r="AC91" s="12" t="s">
        <v>1414</v>
      </c>
      <c r="AD91" s="12" t="s">
        <v>1420</v>
      </c>
      <c r="AE91" s="12" t="s">
        <v>1420</v>
      </c>
      <c r="AF91" s="12" t="s">
        <v>1420</v>
      </c>
      <c r="AG91" s="12" t="s">
        <v>1420</v>
      </c>
    </row>
    <row r="92" spans="1:33" ht="14.4" x14ac:dyDescent="0.3">
      <c r="A92" s="12" t="s">
        <v>304</v>
      </c>
      <c r="B92" s="12" t="s">
        <v>303</v>
      </c>
      <c r="C92" s="12" t="s">
        <v>302</v>
      </c>
      <c r="D92" s="12" t="s">
        <v>1410</v>
      </c>
      <c r="E92" s="12" t="s">
        <v>1847</v>
      </c>
      <c r="F92" s="12" t="s">
        <v>1848</v>
      </c>
      <c r="G92" s="12" t="s">
        <v>1849</v>
      </c>
      <c r="H92" s="12" t="s">
        <v>1438</v>
      </c>
      <c r="I92" s="12" t="s">
        <v>1420</v>
      </c>
      <c r="J92" s="12" t="s">
        <v>1420</v>
      </c>
      <c r="K92" s="12" t="s">
        <v>1420</v>
      </c>
      <c r="L92" s="12" t="s">
        <v>1420</v>
      </c>
      <c r="M92" s="12" t="s">
        <v>1420</v>
      </c>
      <c r="N92" s="12" t="s">
        <v>1420</v>
      </c>
      <c r="O92" s="12" t="s">
        <v>1420</v>
      </c>
      <c r="P92" s="12" t="s">
        <v>1414</v>
      </c>
      <c r="Q92" s="12" t="s">
        <v>1420</v>
      </c>
      <c r="R92" s="12" t="s">
        <v>1420</v>
      </c>
      <c r="S92" s="12" t="s">
        <v>1414</v>
      </c>
      <c r="T92" s="12" t="s">
        <v>1420</v>
      </c>
      <c r="U92" s="12" t="s">
        <v>1420</v>
      </c>
      <c r="V92" s="12" t="s">
        <v>1420</v>
      </c>
      <c r="W92" s="12" t="s">
        <v>1420</v>
      </c>
      <c r="X92" s="12" t="s">
        <v>1414</v>
      </c>
      <c r="Y92" s="12" t="s">
        <v>1420</v>
      </c>
      <c r="Z92" s="12" t="s">
        <v>1420</v>
      </c>
      <c r="AA92" s="12" t="s">
        <v>1420</v>
      </c>
      <c r="AB92" s="12" t="s">
        <v>1420</v>
      </c>
      <c r="AC92" s="12" t="s">
        <v>1414</v>
      </c>
      <c r="AD92" s="12" t="s">
        <v>1420</v>
      </c>
      <c r="AE92" s="12" t="s">
        <v>1420</v>
      </c>
      <c r="AF92" s="12" t="s">
        <v>1414</v>
      </c>
      <c r="AG92" s="12" t="s">
        <v>1414</v>
      </c>
    </row>
    <row r="93" spans="1:33" ht="14.4" x14ac:dyDescent="0.3">
      <c r="A93" s="12" t="s">
        <v>42</v>
      </c>
      <c r="B93" s="12" t="s">
        <v>775</v>
      </c>
      <c r="C93" s="12" t="s">
        <v>774</v>
      </c>
      <c r="D93" s="12" t="s">
        <v>1410</v>
      </c>
      <c r="E93" s="12" t="s">
        <v>2337</v>
      </c>
      <c r="F93" s="12" t="s">
        <v>2339</v>
      </c>
      <c r="G93" s="12" t="s">
        <v>2340</v>
      </c>
      <c r="H93" s="12" t="s">
        <v>1452</v>
      </c>
      <c r="I93" s="12" t="s">
        <v>1420</v>
      </c>
      <c r="J93" s="12" t="s">
        <v>1420</v>
      </c>
      <c r="K93" s="12" t="s">
        <v>1420</v>
      </c>
      <c r="L93" s="12" t="s">
        <v>1420</v>
      </c>
      <c r="M93" s="12" t="s">
        <v>1420</v>
      </c>
      <c r="N93" s="12" t="s">
        <v>1414</v>
      </c>
      <c r="O93" s="12" t="s">
        <v>1420</v>
      </c>
      <c r="P93" s="12" t="s">
        <v>1420</v>
      </c>
      <c r="Q93" s="12" t="s">
        <v>1420</v>
      </c>
      <c r="R93" s="12" t="s">
        <v>1420</v>
      </c>
      <c r="S93" s="12" t="s">
        <v>1420</v>
      </c>
      <c r="T93" s="12" t="s">
        <v>1420</v>
      </c>
      <c r="U93" s="12" t="s">
        <v>1420</v>
      </c>
      <c r="V93" s="12" t="s">
        <v>1420</v>
      </c>
      <c r="W93" s="12" t="s">
        <v>1420</v>
      </c>
      <c r="X93" s="12" t="s">
        <v>1420</v>
      </c>
      <c r="Y93" s="12" t="s">
        <v>1420</v>
      </c>
      <c r="Z93" s="12" t="s">
        <v>1420</v>
      </c>
      <c r="AA93" s="12" t="s">
        <v>1420</v>
      </c>
      <c r="AB93" s="12" t="s">
        <v>1420</v>
      </c>
      <c r="AC93" s="12" t="s">
        <v>1420</v>
      </c>
      <c r="AD93" s="12" t="s">
        <v>1420</v>
      </c>
      <c r="AE93" s="12" t="s">
        <v>1420</v>
      </c>
      <c r="AF93" s="12" t="s">
        <v>1420</v>
      </c>
      <c r="AG93" s="12" t="s">
        <v>1420</v>
      </c>
    </row>
    <row r="94" spans="1:33" ht="14.4" x14ac:dyDescent="0.3">
      <c r="A94" s="12" t="s">
        <v>16</v>
      </c>
      <c r="B94" s="12" t="s">
        <v>5512</v>
      </c>
      <c r="C94" s="12" t="s">
        <v>5513</v>
      </c>
      <c r="D94" s="12" t="s">
        <v>1410</v>
      </c>
      <c r="E94" s="12" t="s">
        <v>5514</v>
      </c>
      <c r="F94" s="12" t="s">
        <v>5515</v>
      </c>
      <c r="G94" s="12" t="s">
        <v>5516</v>
      </c>
      <c r="H94" s="12" t="s">
        <v>1419</v>
      </c>
      <c r="I94" s="12" t="s">
        <v>1420</v>
      </c>
      <c r="J94" s="12" t="s">
        <v>1420</v>
      </c>
      <c r="K94" s="12" t="s">
        <v>1420</v>
      </c>
      <c r="L94" s="12" t="s">
        <v>1420</v>
      </c>
      <c r="M94" s="12" t="s">
        <v>1420</v>
      </c>
      <c r="N94" s="12" t="s">
        <v>1420</v>
      </c>
      <c r="O94" s="12" t="s">
        <v>1420</v>
      </c>
      <c r="P94" s="12" t="s">
        <v>1414</v>
      </c>
      <c r="Q94" s="12" t="s">
        <v>1420</v>
      </c>
      <c r="R94" s="12" t="s">
        <v>1420</v>
      </c>
      <c r="S94" s="12" t="s">
        <v>1414</v>
      </c>
      <c r="T94" s="12" t="s">
        <v>1420</v>
      </c>
      <c r="U94" s="12" t="s">
        <v>1420</v>
      </c>
      <c r="V94" s="12" t="s">
        <v>1420</v>
      </c>
      <c r="W94" s="12" t="s">
        <v>1420</v>
      </c>
      <c r="X94" s="12" t="s">
        <v>1420</v>
      </c>
      <c r="Y94" s="12" t="s">
        <v>1420</v>
      </c>
      <c r="Z94" s="12" t="s">
        <v>1420</v>
      </c>
      <c r="AA94" s="12" t="s">
        <v>1420</v>
      </c>
      <c r="AB94" s="12" t="s">
        <v>1420</v>
      </c>
      <c r="AC94" s="12" t="s">
        <v>1420</v>
      </c>
      <c r="AD94" s="12" t="s">
        <v>1420</v>
      </c>
      <c r="AE94" s="12" t="s">
        <v>1420</v>
      </c>
      <c r="AF94" s="12" t="s">
        <v>1420</v>
      </c>
      <c r="AG94" s="12" t="s">
        <v>1420</v>
      </c>
    </row>
    <row r="95" spans="1:33" ht="14.4" x14ac:dyDescent="0.3">
      <c r="A95" s="12" t="s">
        <v>55</v>
      </c>
      <c r="B95" s="12" t="s">
        <v>468</v>
      </c>
      <c r="C95" s="12" t="s">
        <v>467</v>
      </c>
      <c r="D95" s="12" t="s">
        <v>1410</v>
      </c>
      <c r="E95" s="12" t="s">
        <v>2626</v>
      </c>
      <c r="F95" s="12" t="s">
        <v>2627</v>
      </c>
      <c r="G95" s="12" t="s">
        <v>2628</v>
      </c>
      <c r="H95" s="12" t="s">
        <v>1452</v>
      </c>
      <c r="I95" s="12" t="s">
        <v>1420</v>
      </c>
      <c r="J95" s="12" t="s">
        <v>1420</v>
      </c>
      <c r="K95" s="12" t="s">
        <v>1420</v>
      </c>
      <c r="L95" s="12" t="s">
        <v>1420</v>
      </c>
      <c r="M95" s="12" t="s">
        <v>1420</v>
      </c>
      <c r="N95" s="12" t="s">
        <v>1420</v>
      </c>
      <c r="O95" s="12" t="s">
        <v>1420</v>
      </c>
      <c r="P95" s="12" t="s">
        <v>1420</v>
      </c>
      <c r="Q95" s="12" t="s">
        <v>1420</v>
      </c>
      <c r="R95" s="12" t="s">
        <v>1420</v>
      </c>
      <c r="S95" s="12" t="s">
        <v>1420</v>
      </c>
      <c r="T95" s="12" t="s">
        <v>1420</v>
      </c>
      <c r="U95" s="12" t="s">
        <v>1420</v>
      </c>
      <c r="V95" s="12" t="s">
        <v>1420</v>
      </c>
      <c r="W95" s="12" t="s">
        <v>1414</v>
      </c>
      <c r="X95" s="12" t="s">
        <v>1420</v>
      </c>
      <c r="Y95" s="12" t="s">
        <v>1420</v>
      </c>
      <c r="Z95" s="12" t="s">
        <v>1420</v>
      </c>
      <c r="AA95" s="12" t="s">
        <v>1420</v>
      </c>
      <c r="AB95" s="12" t="s">
        <v>1420</v>
      </c>
      <c r="AC95" s="12" t="s">
        <v>1420</v>
      </c>
      <c r="AD95" s="12" t="s">
        <v>1420</v>
      </c>
      <c r="AE95" s="12" t="s">
        <v>1420</v>
      </c>
      <c r="AF95" s="12" t="s">
        <v>1420</v>
      </c>
      <c r="AG95" s="12" t="s">
        <v>1420</v>
      </c>
    </row>
    <row r="96" spans="1:33" ht="14.4" x14ac:dyDescent="0.3">
      <c r="A96" s="12" t="s">
        <v>80</v>
      </c>
      <c r="B96" s="12" t="s">
        <v>468</v>
      </c>
      <c r="C96" s="12" t="s">
        <v>1165</v>
      </c>
      <c r="D96" s="12" t="s">
        <v>1410</v>
      </c>
      <c r="E96" s="12" t="s">
        <v>1975</v>
      </c>
      <c r="F96" s="12" t="s">
        <v>1953</v>
      </c>
      <c r="G96" s="12" t="s">
        <v>1978</v>
      </c>
      <c r="H96" s="12" t="s">
        <v>1452</v>
      </c>
      <c r="I96" s="12" t="s">
        <v>1420</v>
      </c>
      <c r="J96" s="12" t="s">
        <v>1420</v>
      </c>
      <c r="K96" s="12" t="s">
        <v>1420</v>
      </c>
      <c r="L96" s="12" t="s">
        <v>1420</v>
      </c>
      <c r="M96" s="12" t="s">
        <v>1420</v>
      </c>
      <c r="N96" s="12" t="s">
        <v>1420</v>
      </c>
      <c r="O96" s="12" t="s">
        <v>1420</v>
      </c>
      <c r="P96" s="12" t="s">
        <v>1414</v>
      </c>
      <c r="Q96" s="12" t="s">
        <v>1420</v>
      </c>
      <c r="R96" s="12" t="s">
        <v>1420</v>
      </c>
      <c r="S96" s="12" t="s">
        <v>1420</v>
      </c>
      <c r="T96" s="12" t="s">
        <v>1420</v>
      </c>
      <c r="U96" s="12" t="s">
        <v>1420</v>
      </c>
      <c r="V96" s="12" t="s">
        <v>1420</v>
      </c>
      <c r="W96" s="12" t="s">
        <v>1420</v>
      </c>
      <c r="X96" s="12" t="s">
        <v>1420</v>
      </c>
      <c r="Y96" s="12" t="s">
        <v>1420</v>
      </c>
      <c r="Z96" s="12" t="s">
        <v>1420</v>
      </c>
      <c r="AA96" s="12" t="s">
        <v>1420</v>
      </c>
      <c r="AB96" s="12" t="s">
        <v>1420</v>
      </c>
      <c r="AC96" s="12" t="s">
        <v>1420</v>
      </c>
      <c r="AD96" s="12" t="s">
        <v>1420</v>
      </c>
      <c r="AE96" s="12" t="s">
        <v>1420</v>
      </c>
      <c r="AF96" s="12" t="s">
        <v>1420</v>
      </c>
      <c r="AG96" s="12" t="s">
        <v>1420</v>
      </c>
    </row>
    <row r="97" spans="1:33" ht="14.4" x14ac:dyDescent="0.3">
      <c r="A97" s="12" t="s">
        <v>42</v>
      </c>
      <c r="B97" s="12" t="s">
        <v>731</v>
      </c>
      <c r="C97" s="12" t="s">
        <v>730</v>
      </c>
      <c r="D97" s="12" t="s">
        <v>1410</v>
      </c>
      <c r="E97" s="12" t="s">
        <v>2849</v>
      </c>
      <c r="F97" s="12" t="s">
        <v>2850</v>
      </c>
      <c r="G97" s="12" t="s">
        <v>2851</v>
      </c>
      <c r="H97" s="12" t="s">
        <v>1452</v>
      </c>
      <c r="I97" s="12" t="s">
        <v>1420</v>
      </c>
      <c r="J97" s="12" t="s">
        <v>1420</v>
      </c>
      <c r="K97" s="12" t="s">
        <v>1420</v>
      </c>
      <c r="L97" s="12" t="s">
        <v>1420</v>
      </c>
      <c r="M97" s="12" t="s">
        <v>1420</v>
      </c>
      <c r="N97" s="12" t="s">
        <v>1420</v>
      </c>
      <c r="O97" s="12" t="s">
        <v>1420</v>
      </c>
      <c r="P97" s="12" t="s">
        <v>1420</v>
      </c>
      <c r="Q97" s="12" t="s">
        <v>1420</v>
      </c>
      <c r="R97" s="12" t="s">
        <v>1420</v>
      </c>
      <c r="S97" s="12" t="s">
        <v>1414</v>
      </c>
      <c r="T97" s="12" t="s">
        <v>1420</v>
      </c>
      <c r="U97" s="12" t="s">
        <v>1420</v>
      </c>
      <c r="V97" s="12" t="s">
        <v>1420</v>
      </c>
      <c r="W97" s="12" t="s">
        <v>1420</v>
      </c>
      <c r="X97" s="12" t="s">
        <v>1420</v>
      </c>
      <c r="Y97" s="12" t="s">
        <v>1420</v>
      </c>
      <c r="Z97" s="12" t="s">
        <v>1420</v>
      </c>
      <c r="AA97" s="12" t="s">
        <v>1420</v>
      </c>
      <c r="AB97" s="12" t="s">
        <v>1420</v>
      </c>
      <c r="AC97" s="12" t="s">
        <v>1420</v>
      </c>
      <c r="AD97" s="12" t="s">
        <v>1420</v>
      </c>
      <c r="AE97" s="12" t="s">
        <v>1420</v>
      </c>
      <c r="AF97" s="12" t="s">
        <v>1420</v>
      </c>
      <c r="AG97" s="12" t="s">
        <v>1420</v>
      </c>
    </row>
    <row r="98" spans="1:33" ht="14.4" x14ac:dyDescent="0.3">
      <c r="A98" s="12" t="s">
        <v>471</v>
      </c>
      <c r="B98" s="12" t="s">
        <v>470</v>
      </c>
      <c r="C98" s="12" t="s">
        <v>469</v>
      </c>
      <c r="D98" s="12" t="s">
        <v>1410</v>
      </c>
      <c r="E98" s="12" t="s">
        <v>1445</v>
      </c>
      <c r="F98" s="12" t="s">
        <v>1446</v>
      </c>
      <c r="G98" s="12" t="s">
        <v>1447</v>
      </c>
      <c r="H98" s="12" t="s">
        <v>1448</v>
      </c>
      <c r="I98" s="12" t="s">
        <v>1420</v>
      </c>
      <c r="J98" s="12" t="s">
        <v>1420</v>
      </c>
      <c r="K98" s="12" t="s">
        <v>1420</v>
      </c>
      <c r="L98" s="12" t="s">
        <v>1420</v>
      </c>
      <c r="M98" s="12" t="s">
        <v>1420</v>
      </c>
      <c r="N98" s="12" t="s">
        <v>1420</v>
      </c>
      <c r="O98" s="12" t="s">
        <v>1420</v>
      </c>
      <c r="P98" s="12" t="s">
        <v>1420</v>
      </c>
      <c r="Q98" s="12" t="s">
        <v>1420</v>
      </c>
      <c r="R98" s="12" t="s">
        <v>1420</v>
      </c>
      <c r="S98" s="12" t="s">
        <v>1414</v>
      </c>
      <c r="T98" s="12" t="s">
        <v>1420</v>
      </c>
      <c r="U98" s="12" t="s">
        <v>1420</v>
      </c>
      <c r="V98" s="12" t="s">
        <v>1420</v>
      </c>
      <c r="W98" s="12" t="s">
        <v>1420</v>
      </c>
      <c r="X98" s="12" t="s">
        <v>1420</v>
      </c>
      <c r="Y98" s="12" t="s">
        <v>1420</v>
      </c>
      <c r="Z98" s="12" t="s">
        <v>1420</v>
      </c>
      <c r="AA98" s="12" t="s">
        <v>1414</v>
      </c>
      <c r="AB98" s="12" t="s">
        <v>1414</v>
      </c>
      <c r="AC98" s="12" t="s">
        <v>1414</v>
      </c>
      <c r="AD98" s="12" t="s">
        <v>1420</v>
      </c>
      <c r="AE98" s="12" t="s">
        <v>1414</v>
      </c>
      <c r="AF98" s="12" t="s">
        <v>1420</v>
      </c>
      <c r="AG98" s="12" t="s">
        <v>1420</v>
      </c>
    </row>
    <row r="99" spans="1:33" ht="14.4" x14ac:dyDescent="0.3">
      <c r="A99" s="12" t="s">
        <v>471</v>
      </c>
      <c r="B99" s="12" t="s">
        <v>470</v>
      </c>
      <c r="C99" s="12" t="s">
        <v>469</v>
      </c>
      <c r="D99" s="12" t="s">
        <v>1410</v>
      </c>
      <c r="E99" s="12" t="s">
        <v>1479</v>
      </c>
      <c r="F99" s="12" t="s">
        <v>1480</v>
      </c>
      <c r="G99" s="12" t="s">
        <v>1481</v>
      </c>
      <c r="H99" s="12" t="s">
        <v>1452</v>
      </c>
      <c r="I99" s="12" t="s">
        <v>1420</v>
      </c>
      <c r="J99" s="12" t="s">
        <v>1420</v>
      </c>
      <c r="K99" s="12" t="s">
        <v>1420</v>
      </c>
      <c r="L99" s="12" t="s">
        <v>1420</v>
      </c>
      <c r="M99" s="12" t="s">
        <v>1420</v>
      </c>
      <c r="N99" s="12" t="s">
        <v>1420</v>
      </c>
      <c r="O99" s="12" t="s">
        <v>1420</v>
      </c>
      <c r="P99" s="12" t="s">
        <v>1420</v>
      </c>
      <c r="Q99" s="12" t="s">
        <v>1420</v>
      </c>
      <c r="R99" s="12" t="s">
        <v>1420</v>
      </c>
      <c r="S99" s="12" t="s">
        <v>1420</v>
      </c>
      <c r="T99" s="12" t="s">
        <v>1420</v>
      </c>
      <c r="U99" s="12" t="s">
        <v>1420</v>
      </c>
      <c r="V99" s="12" t="s">
        <v>1420</v>
      </c>
      <c r="W99" s="12" t="s">
        <v>1420</v>
      </c>
      <c r="X99" s="12" t="s">
        <v>1420</v>
      </c>
      <c r="Y99" s="12" t="s">
        <v>1420</v>
      </c>
      <c r="Z99" s="12" t="s">
        <v>1420</v>
      </c>
      <c r="AA99" s="12" t="s">
        <v>1420</v>
      </c>
      <c r="AB99" s="12" t="s">
        <v>1420</v>
      </c>
      <c r="AC99" s="12" t="s">
        <v>1414</v>
      </c>
      <c r="AD99" s="12" t="s">
        <v>1420</v>
      </c>
      <c r="AE99" s="12" t="s">
        <v>1420</v>
      </c>
      <c r="AF99" s="12" t="s">
        <v>1420</v>
      </c>
      <c r="AG99" s="12" t="s">
        <v>1420</v>
      </c>
    </row>
    <row r="100" spans="1:33" ht="14.4" x14ac:dyDescent="0.3">
      <c r="A100" s="12" t="s">
        <v>471</v>
      </c>
      <c r="B100" s="12" t="s">
        <v>470</v>
      </c>
      <c r="C100" s="12" t="s">
        <v>469</v>
      </c>
      <c r="D100" s="12" t="s">
        <v>1410</v>
      </c>
      <c r="E100" s="12" t="s">
        <v>1482</v>
      </c>
      <c r="F100" s="12" t="s">
        <v>1483</v>
      </c>
      <c r="G100" s="12" t="s">
        <v>1484</v>
      </c>
      <c r="H100" s="12" t="s">
        <v>1464</v>
      </c>
      <c r="I100" s="12" t="s">
        <v>1420</v>
      </c>
      <c r="J100" s="12" t="s">
        <v>1420</v>
      </c>
      <c r="K100" s="12" t="s">
        <v>1420</v>
      </c>
      <c r="L100" s="12" t="s">
        <v>1420</v>
      </c>
      <c r="M100" s="12" t="s">
        <v>1420</v>
      </c>
      <c r="N100" s="12" t="s">
        <v>1420</v>
      </c>
      <c r="O100" s="12" t="s">
        <v>1420</v>
      </c>
      <c r="P100" s="12" t="s">
        <v>1420</v>
      </c>
      <c r="Q100" s="12" t="s">
        <v>1420</v>
      </c>
      <c r="R100" s="12" t="s">
        <v>1420</v>
      </c>
      <c r="S100" s="12" t="s">
        <v>1420</v>
      </c>
      <c r="T100" s="12" t="s">
        <v>1420</v>
      </c>
      <c r="U100" s="12" t="s">
        <v>1420</v>
      </c>
      <c r="V100" s="12" t="s">
        <v>1420</v>
      </c>
      <c r="W100" s="12" t="s">
        <v>1420</v>
      </c>
      <c r="X100" s="12" t="s">
        <v>1420</v>
      </c>
      <c r="Y100" s="12" t="s">
        <v>1420</v>
      </c>
      <c r="Z100" s="12" t="s">
        <v>1420</v>
      </c>
      <c r="AA100" s="12" t="s">
        <v>1420</v>
      </c>
      <c r="AB100" s="12" t="s">
        <v>1420</v>
      </c>
      <c r="AC100" s="12" t="s">
        <v>1420</v>
      </c>
      <c r="AD100" s="12" t="s">
        <v>1420</v>
      </c>
      <c r="AE100" s="12" t="s">
        <v>1420</v>
      </c>
      <c r="AF100" s="12" t="s">
        <v>1420</v>
      </c>
      <c r="AG100" s="12" t="s">
        <v>1420</v>
      </c>
    </row>
    <row r="101" spans="1:33" ht="14.4" x14ac:dyDescent="0.3">
      <c r="A101" s="12" t="s">
        <v>55</v>
      </c>
      <c r="B101" s="12" t="s">
        <v>777</v>
      </c>
      <c r="C101" s="12" t="s">
        <v>776</v>
      </c>
      <c r="D101" s="12" t="s">
        <v>1410</v>
      </c>
      <c r="E101" s="12" t="s">
        <v>2470</v>
      </c>
      <c r="F101" s="12" t="s">
        <v>2471</v>
      </c>
      <c r="G101" s="12" t="s">
        <v>2472</v>
      </c>
      <c r="H101" s="12" t="s">
        <v>1452</v>
      </c>
      <c r="I101" s="12" t="s">
        <v>1420</v>
      </c>
      <c r="J101" s="12" t="s">
        <v>1420</v>
      </c>
      <c r="K101" s="12" t="s">
        <v>1420</v>
      </c>
      <c r="L101" s="12" t="s">
        <v>1420</v>
      </c>
      <c r="M101" s="12" t="s">
        <v>1420</v>
      </c>
      <c r="N101" s="12" t="s">
        <v>1420</v>
      </c>
      <c r="O101" s="12" t="s">
        <v>1420</v>
      </c>
      <c r="P101" s="12" t="s">
        <v>1414</v>
      </c>
      <c r="Q101" s="12" t="s">
        <v>1420</v>
      </c>
      <c r="R101" s="12" t="s">
        <v>1420</v>
      </c>
      <c r="S101" s="12" t="s">
        <v>1420</v>
      </c>
      <c r="T101" s="12" t="s">
        <v>1420</v>
      </c>
      <c r="U101" s="12" t="s">
        <v>1420</v>
      </c>
      <c r="V101" s="12" t="s">
        <v>1420</v>
      </c>
      <c r="W101" s="12" t="s">
        <v>1420</v>
      </c>
      <c r="X101" s="12" t="s">
        <v>1420</v>
      </c>
      <c r="Y101" s="12" t="s">
        <v>1420</v>
      </c>
      <c r="Z101" s="12" t="s">
        <v>1420</v>
      </c>
      <c r="AA101" s="12" t="s">
        <v>1420</v>
      </c>
      <c r="AB101" s="12" t="s">
        <v>1420</v>
      </c>
      <c r="AC101" s="12" t="s">
        <v>1420</v>
      </c>
      <c r="AD101" s="12" t="s">
        <v>1420</v>
      </c>
      <c r="AE101" s="12" t="s">
        <v>1420</v>
      </c>
      <c r="AF101" s="12" t="s">
        <v>1420</v>
      </c>
      <c r="AG101" s="12" t="s">
        <v>1420</v>
      </c>
    </row>
    <row r="102" spans="1:33" ht="14.4" x14ac:dyDescent="0.3">
      <c r="A102" s="12" t="s">
        <v>8</v>
      </c>
      <c r="B102" s="12" t="s">
        <v>777</v>
      </c>
      <c r="C102" s="12" t="s">
        <v>1042</v>
      </c>
      <c r="D102" s="12" t="s">
        <v>1410</v>
      </c>
      <c r="E102" s="12" t="s">
        <v>2370</v>
      </c>
      <c r="F102" s="12" t="s">
        <v>2371</v>
      </c>
      <c r="G102" s="12" t="s">
        <v>2372</v>
      </c>
      <c r="H102" s="12" t="s">
        <v>1419</v>
      </c>
      <c r="I102" s="12" t="s">
        <v>1420</v>
      </c>
      <c r="J102" s="12" t="s">
        <v>1420</v>
      </c>
      <c r="K102" s="12" t="s">
        <v>1420</v>
      </c>
      <c r="L102" s="12" t="s">
        <v>1420</v>
      </c>
      <c r="M102" s="12" t="s">
        <v>1420</v>
      </c>
      <c r="N102" s="12" t="s">
        <v>1420</v>
      </c>
      <c r="O102" s="12" t="s">
        <v>1420</v>
      </c>
      <c r="P102" s="12" t="s">
        <v>1420</v>
      </c>
      <c r="Q102" s="12" t="s">
        <v>1420</v>
      </c>
      <c r="R102" s="12" t="s">
        <v>1414</v>
      </c>
      <c r="S102" s="12" t="s">
        <v>1420</v>
      </c>
      <c r="T102" s="12" t="s">
        <v>1420</v>
      </c>
      <c r="U102" s="12" t="s">
        <v>1420</v>
      </c>
      <c r="V102" s="12" t="s">
        <v>1420</v>
      </c>
      <c r="W102" s="12" t="s">
        <v>1420</v>
      </c>
      <c r="X102" s="12" t="s">
        <v>1420</v>
      </c>
      <c r="Y102" s="12" t="s">
        <v>1420</v>
      </c>
      <c r="Z102" s="12" t="s">
        <v>1420</v>
      </c>
      <c r="AA102" s="12" t="s">
        <v>1420</v>
      </c>
      <c r="AB102" s="12" t="s">
        <v>1420</v>
      </c>
      <c r="AC102" s="12" t="s">
        <v>1420</v>
      </c>
      <c r="AD102" s="12" t="s">
        <v>1414</v>
      </c>
      <c r="AE102" s="12" t="s">
        <v>1420</v>
      </c>
      <c r="AF102" s="12" t="s">
        <v>1420</v>
      </c>
      <c r="AG102" s="12" t="s">
        <v>1420</v>
      </c>
    </row>
    <row r="103" spans="1:33" ht="14.4" x14ac:dyDescent="0.3">
      <c r="A103" s="12" t="s">
        <v>31</v>
      </c>
      <c r="B103" s="12" t="s">
        <v>470</v>
      </c>
      <c r="C103" s="12" t="s">
        <v>5517</v>
      </c>
      <c r="D103" s="12" t="s">
        <v>1410</v>
      </c>
      <c r="E103" s="12" t="s">
        <v>5518</v>
      </c>
      <c r="F103" s="12" t="s">
        <v>5519</v>
      </c>
      <c r="G103" s="12" t="s">
        <v>3095</v>
      </c>
      <c r="H103" s="12" t="s">
        <v>1424</v>
      </c>
      <c r="I103" s="12" t="s">
        <v>1420</v>
      </c>
      <c r="J103" s="12" t="s">
        <v>1420</v>
      </c>
      <c r="K103" s="12" t="s">
        <v>1420</v>
      </c>
      <c r="L103" s="12" t="s">
        <v>1420</v>
      </c>
      <c r="M103" s="12" t="s">
        <v>1420</v>
      </c>
      <c r="N103" s="12" t="s">
        <v>1420</v>
      </c>
      <c r="O103" s="12" t="s">
        <v>1420</v>
      </c>
      <c r="P103" s="12" t="s">
        <v>1420</v>
      </c>
      <c r="Q103" s="12" t="s">
        <v>1420</v>
      </c>
      <c r="R103" s="12" t="s">
        <v>1420</v>
      </c>
      <c r="S103" s="12" t="s">
        <v>1420</v>
      </c>
      <c r="T103" s="12" t="s">
        <v>1420</v>
      </c>
      <c r="U103" s="12" t="s">
        <v>1420</v>
      </c>
      <c r="V103" s="12" t="s">
        <v>1420</v>
      </c>
      <c r="W103" s="12" t="s">
        <v>1420</v>
      </c>
      <c r="X103" s="12" t="s">
        <v>1420</v>
      </c>
      <c r="Y103" s="12" t="s">
        <v>1420</v>
      </c>
      <c r="Z103" s="12" t="s">
        <v>1420</v>
      </c>
      <c r="AA103" s="12" t="s">
        <v>1414</v>
      </c>
      <c r="AB103" s="12" t="s">
        <v>1420</v>
      </c>
      <c r="AC103" s="12" t="s">
        <v>1414</v>
      </c>
      <c r="AD103" s="12" t="s">
        <v>1420</v>
      </c>
      <c r="AE103" s="12" t="s">
        <v>1414</v>
      </c>
      <c r="AF103" s="12" t="s">
        <v>1420</v>
      </c>
      <c r="AG103" s="12" t="s">
        <v>1420</v>
      </c>
    </row>
    <row r="104" spans="1:33" ht="14.4" x14ac:dyDescent="0.3">
      <c r="A104" s="12" t="s">
        <v>28</v>
      </c>
      <c r="B104" s="12" t="s">
        <v>1296</v>
      </c>
      <c r="C104" s="12" t="s">
        <v>1295</v>
      </c>
      <c r="D104" s="12" t="s">
        <v>1410</v>
      </c>
      <c r="E104" s="12" t="s">
        <v>2048</v>
      </c>
      <c r="F104" s="12" t="s">
        <v>2049</v>
      </c>
      <c r="G104" s="12" t="s">
        <v>2050</v>
      </c>
      <c r="H104" s="12" t="s">
        <v>1488</v>
      </c>
      <c r="I104" s="12" t="s">
        <v>1420</v>
      </c>
      <c r="J104" s="12" t="s">
        <v>1420</v>
      </c>
      <c r="K104" s="12" t="s">
        <v>1420</v>
      </c>
      <c r="L104" s="12" t="s">
        <v>1420</v>
      </c>
      <c r="M104" s="12" t="s">
        <v>1420</v>
      </c>
      <c r="N104" s="12" t="s">
        <v>1420</v>
      </c>
      <c r="O104" s="12" t="s">
        <v>1414</v>
      </c>
      <c r="P104" s="12" t="s">
        <v>1420</v>
      </c>
      <c r="Q104" s="12" t="s">
        <v>1420</v>
      </c>
      <c r="R104" s="12" t="s">
        <v>1420</v>
      </c>
      <c r="S104" s="12" t="s">
        <v>1414</v>
      </c>
      <c r="T104" s="12" t="s">
        <v>1420</v>
      </c>
      <c r="U104" s="12" t="s">
        <v>1420</v>
      </c>
      <c r="V104" s="12" t="s">
        <v>1420</v>
      </c>
      <c r="W104" s="12" t="s">
        <v>1420</v>
      </c>
      <c r="X104" s="12" t="s">
        <v>1420</v>
      </c>
      <c r="Y104" s="12" t="s">
        <v>1420</v>
      </c>
      <c r="Z104" s="12" t="s">
        <v>1420</v>
      </c>
      <c r="AA104" s="12" t="s">
        <v>1420</v>
      </c>
      <c r="AB104" s="12" t="s">
        <v>1420</v>
      </c>
      <c r="AC104" s="12" t="s">
        <v>1420</v>
      </c>
      <c r="AD104" s="12" t="s">
        <v>1414</v>
      </c>
      <c r="AE104" s="12" t="s">
        <v>1420</v>
      </c>
      <c r="AF104" s="12" t="s">
        <v>1414</v>
      </c>
      <c r="AG104" s="12" t="s">
        <v>1420</v>
      </c>
    </row>
    <row r="105" spans="1:33" ht="14.4" x14ac:dyDescent="0.3">
      <c r="A105" s="12" t="s">
        <v>42</v>
      </c>
      <c r="B105" s="12" t="s">
        <v>41</v>
      </c>
      <c r="C105" s="12" t="s">
        <v>40</v>
      </c>
      <c r="D105" s="12" t="s">
        <v>1410</v>
      </c>
      <c r="E105" s="12" t="s">
        <v>2176</v>
      </c>
      <c r="F105" s="12" t="s">
        <v>2177</v>
      </c>
      <c r="G105" s="12" t="s">
        <v>2178</v>
      </c>
      <c r="H105" s="12" t="s">
        <v>1424</v>
      </c>
      <c r="I105" s="12" t="s">
        <v>1420</v>
      </c>
      <c r="J105" s="12" t="s">
        <v>1420</v>
      </c>
      <c r="K105" s="12" t="s">
        <v>1420</v>
      </c>
      <c r="L105" s="12" t="s">
        <v>1420</v>
      </c>
      <c r="M105" s="12" t="s">
        <v>1420</v>
      </c>
      <c r="N105" s="12" t="s">
        <v>1414</v>
      </c>
      <c r="O105" s="12" t="s">
        <v>1420</v>
      </c>
      <c r="P105" s="12" t="s">
        <v>1420</v>
      </c>
      <c r="Q105" s="12" t="s">
        <v>1420</v>
      </c>
      <c r="R105" s="12" t="s">
        <v>1420</v>
      </c>
      <c r="S105" s="12" t="s">
        <v>1415</v>
      </c>
      <c r="T105" s="12" t="s">
        <v>1420</v>
      </c>
      <c r="U105" s="12" t="s">
        <v>1420</v>
      </c>
      <c r="V105" s="12" t="s">
        <v>1420</v>
      </c>
      <c r="W105" s="12" t="s">
        <v>1420</v>
      </c>
      <c r="X105" s="12" t="s">
        <v>1420</v>
      </c>
      <c r="Y105" s="12" t="s">
        <v>1420</v>
      </c>
      <c r="Z105" s="12" t="s">
        <v>1420</v>
      </c>
      <c r="AA105" s="12" t="s">
        <v>1414</v>
      </c>
      <c r="AB105" s="12" t="s">
        <v>1420</v>
      </c>
      <c r="AC105" s="12" t="s">
        <v>1420</v>
      </c>
      <c r="AD105" s="12" t="s">
        <v>1420</v>
      </c>
      <c r="AE105" s="12" t="s">
        <v>1420</v>
      </c>
      <c r="AF105" s="12" t="s">
        <v>1420</v>
      </c>
      <c r="AG105" s="12" t="s">
        <v>1420</v>
      </c>
    </row>
    <row r="106" spans="1:33" ht="14.4" x14ac:dyDescent="0.3">
      <c r="A106" s="12" t="s">
        <v>42</v>
      </c>
      <c r="B106" s="12" t="s">
        <v>1298</v>
      </c>
      <c r="C106" s="12" t="s">
        <v>1297</v>
      </c>
      <c r="D106" s="12" t="s">
        <v>1410</v>
      </c>
      <c r="E106" s="12" t="s">
        <v>1901</v>
      </c>
      <c r="F106" s="12" t="s">
        <v>1876</v>
      </c>
      <c r="G106" s="12" t="s">
        <v>1914</v>
      </c>
      <c r="H106" s="12" t="s">
        <v>1419</v>
      </c>
      <c r="I106" s="12" t="s">
        <v>1420</v>
      </c>
      <c r="J106" s="12" t="s">
        <v>1420</v>
      </c>
      <c r="K106" s="12" t="s">
        <v>1420</v>
      </c>
      <c r="L106" s="12" t="s">
        <v>1420</v>
      </c>
      <c r="M106" s="12" t="s">
        <v>1420</v>
      </c>
      <c r="N106" s="12" t="s">
        <v>1420</v>
      </c>
      <c r="O106" s="12" t="s">
        <v>1420</v>
      </c>
      <c r="P106" s="12" t="s">
        <v>1414</v>
      </c>
      <c r="Q106" s="12" t="s">
        <v>1420</v>
      </c>
      <c r="R106" s="12" t="s">
        <v>1420</v>
      </c>
      <c r="S106" s="12" t="s">
        <v>1420</v>
      </c>
      <c r="T106" s="12" t="s">
        <v>1420</v>
      </c>
      <c r="U106" s="12" t="s">
        <v>1420</v>
      </c>
      <c r="V106" s="12" t="s">
        <v>1420</v>
      </c>
      <c r="W106" s="12" t="s">
        <v>1420</v>
      </c>
      <c r="X106" s="12" t="s">
        <v>1414</v>
      </c>
      <c r="Y106" s="12" t="s">
        <v>1420</v>
      </c>
      <c r="Z106" s="12" t="s">
        <v>1420</v>
      </c>
      <c r="AA106" s="12" t="s">
        <v>1420</v>
      </c>
      <c r="AB106" s="12" t="s">
        <v>1420</v>
      </c>
      <c r="AC106" s="12" t="s">
        <v>1420</v>
      </c>
      <c r="AD106" s="12" t="s">
        <v>1420</v>
      </c>
      <c r="AE106" s="12" t="s">
        <v>1420</v>
      </c>
      <c r="AF106" s="12" t="s">
        <v>1420</v>
      </c>
      <c r="AG106" s="12" t="s">
        <v>1420</v>
      </c>
    </row>
    <row r="107" spans="1:33" ht="14.4" x14ac:dyDescent="0.3">
      <c r="A107" s="12" t="s">
        <v>16</v>
      </c>
      <c r="B107" s="12" t="s">
        <v>5520</v>
      </c>
      <c r="C107" s="12" t="s">
        <v>5521</v>
      </c>
      <c r="D107" s="12" t="s">
        <v>1410</v>
      </c>
      <c r="E107" s="12" t="s">
        <v>5522</v>
      </c>
      <c r="F107" s="12" t="s">
        <v>5523</v>
      </c>
      <c r="G107" s="12" t="s">
        <v>2758</v>
      </c>
      <c r="H107" s="12" t="s">
        <v>1419</v>
      </c>
      <c r="I107" s="12" t="s">
        <v>1420</v>
      </c>
      <c r="J107" s="12" t="s">
        <v>1420</v>
      </c>
      <c r="K107" s="12" t="s">
        <v>1420</v>
      </c>
      <c r="L107" s="12" t="s">
        <v>1420</v>
      </c>
      <c r="M107" s="12" t="s">
        <v>1420</v>
      </c>
      <c r="N107" s="12" t="s">
        <v>1420</v>
      </c>
      <c r="O107" s="12" t="s">
        <v>1420</v>
      </c>
      <c r="P107" s="12" t="s">
        <v>1420</v>
      </c>
      <c r="Q107" s="12" t="s">
        <v>1420</v>
      </c>
      <c r="R107" s="12" t="s">
        <v>1420</v>
      </c>
      <c r="S107" s="12" t="s">
        <v>1420</v>
      </c>
      <c r="T107" s="12" t="s">
        <v>1420</v>
      </c>
      <c r="U107" s="12" t="s">
        <v>1420</v>
      </c>
      <c r="V107" s="12" t="s">
        <v>1420</v>
      </c>
      <c r="W107" s="12" t="s">
        <v>1420</v>
      </c>
      <c r="X107" s="12" t="s">
        <v>1420</v>
      </c>
      <c r="Y107" s="12" t="s">
        <v>1420</v>
      </c>
      <c r="Z107" s="12" t="s">
        <v>1420</v>
      </c>
      <c r="AA107" s="12" t="s">
        <v>1420</v>
      </c>
      <c r="AB107" s="12" t="s">
        <v>1420</v>
      </c>
      <c r="AC107" s="12" t="s">
        <v>1420</v>
      </c>
      <c r="AD107" s="12" t="s">
        <v>1414</v>
      </c>
      <c r="AE107" s="12" t="s">
        <v>1414</v>
      </c>
      <c r="AF107" s="12" t="s">
        <v>1420</v>
      </c>
      <c r="AG107" s="12" t="s">
        <v>1420</v>
      </c>
    </row>
    <row r="108" spans="1:33" ht="14.4" x14ac:dyDescent="0.3">
      <c r="A108" s="12" t="s">
        <v>11</v>
      </c>
      <c r="B108" s="12" t="s">
        <v>5524</v>
      </c>
      <c r="C108" s="12" t="s">
        <v>5525</v>
      </c>
      <c r="D108" s="12" t="s">
        <v>1410</v>
      </c>
      <c r="E108" s="12" t="s">
        <v>5526</v>
      </c>
      <c r="F108" s="12" t="s">
        <v>5527</v>
      </c>
      <c r="G108" s="12" t="s">
        <v>5272</v>
      </c>
      <c r="H108" s="12" t="s">
        <v>1452</v>
      </c>
      <c r="I108" s="12" t="s">
        <v>1420</v>
      </c>
      <c r="J108" s="12" t="s">
        <v>1420</v>
      </c>
      <c r="K108" s="12" t="s">
        <v>1420</v>
      </c>
      <c r="L108" s="12" t="s">
        <v>1420</v>
      </c>
      <c r="M108" s="12" t="s">
        <v>1420</v>
      </c>
      <c r="N108" s="12" t="s">
        <v>1420</v>
      </c>
      <c r="O108" s="12" t="s">
        <v>1420</v>
      </c>
      <c r="P108" s="12" t="s">
        <v>1420</v>
      </c>
      <c r="Q108" s="12" t="s">
        <v>1420</v>
      </c>
      <c r="R108" s="12" t="s">
        <v>1420</v>
      </c>
      <c r="S108" s="12" t="s">
        <v>1420</v>
      </c>
      <c r="T108" s="12" t="s">
        <v>1420</v>
      </c>
      <c r="U108" s="12" t="s">
        <v>1420</v>
      </c>
      <c r="V108" s="12" t="s">
        <v>1420</v>
      </c>
      <c r="W108" s="12" t="s">
        <v>1420</v>
      </c>
      <c r="X108" s="12" t="s">
        <v>1420</v>
      </c>
      <c r="Y108" s="12" t="s">
        <v>1420</v>
      </c>
      <c r="Z108" s="12" t="s">
        <v>1420</v>
      </c>
      <c r="AA108" s="12" t="s">
        <v>1420</v>
      </c>
      <c r="AB108" s="12" t="s">
        <v>1420</v>
      </c>
      <c r="AC108" s="12" t="s">
        <v>1420</v>
      </c>
      <c r="AD108" s="12" t="s">
        <v>1414</v>
      </c>
      <c r="AE108" s="12" t="s">
        <v>1420</v>
      </c>
      <c r="AF108" s="12" t="s">
        <v>1420</v>
      </c>
      <c r="AG108" s="12" t="s">
        <v>1420</v>
      </c>
    </row>
    <row r="109" spans="1:33" ht="14.4" x14ac:dyDescent="0.3">
      <c r="A109" s="12" t="s">
        <v>25</v>
      </c>
      <c r="B109" s="12" t="s">
        <v>5528</v>
      </c>
      <c r="C109" s="12" t="s">
        <v>5529</v>
      </c>
      <c r="D109" s="12" t="s">
        <v>1410</v>
      </c>
      <c r="E109" s="12" t="s">
        <v>5530</v>
      </c>
      <c r="F109" s="12" t="s">
        <v>5531</v>
      </c>
      <c r="G109" s="12" t="s">
        <v>3064</v>
      </c>
      <c r="H109" s="12" t="s">
        <v>1424</v>
      </c>
      <c r="I109" s="12" t="s">
        <v>1420</v>
      </c>
      <c r="J109" s="12" t="s">
        <v>1420</v>
      </c>
      <c r="K109" s="12" t="s">
        <v>1420</v>
      </c>
      <c r="L109" s="12" t="s">
        <v>1420</v>
      </c>
      <c r="M109" s="12" t="s">
        <v>1420</v>
      </c>
      <c r="N109" s="12" t="s">
        <v>1420</v>
      </c>
      <c r="O109" s="12" t="s">
        <v>1420</v>
      </c>
      <c r="P109" s="12" t="s">
        <v>1414</v>
      </c>
      <c r="Q109" s="12" t="s">
        <v>1420</v>
      </c>
      <c r="R109" s="12" t="s">
        <v>1420</v>
      </c>
      <c r="S109" s="12" t="s">
        <v>1420</v>
      </c>
      <c r="T109" s="12" t="s">
        <v>1414</v>
      </c>
      <c r="U109" s="12" t="s">
        <v>1420</v>
      </c>
      <c r="V109" s="12" t="s">
        <v>1420</v>
      </c>
      <c r="W109" s="12" t="s">
        <v>1420</v>
      </c>
      <c r="X109" s="12" t="s">
        <v>1414</v>
      </c>
      <c r="Y109" s="12" t="s">
        <v>1420</v>
      </c>
      <c r="Z109" s="12" t="s">
        <v>1420</v>
      </c>
      <c r="AA109" s="12" t="s">
        <v>1420</v>
      </c>
      <c r="AB109" s="12" t="s">
        <v>1420</v>
      </c>
      <c r="AC109" s="12" t="s">
        <v>1420</v>
      </c>
      <c r="AD109" s="12" t="s">
        <v>1420</v>
      </c>
      <c r="AE109" s="12" t="s">
        <v>1420</v>
      </c>
      <c r="AF109" s="12" t="s">
        <v>1420</v>
      </c>
      <c r="AG109" s="12" t="s">
        <v>1420</v>
      </c>
    </row>
    <row r="110" spans="1:33" ht="14.4" x14ac:dyDescent="0.3">
      <c r="A110" s="12" t="s">
        <v>25</v>
      </c>
      <c r="B110" s="12" t="s">
        <v>1074</v>
      </c>
      <c r="C110" s="12" t="s">
        <v>1073</v>
      </c>
      <c r="D110" s="12" t="s">
        <v>1410</v>
      </c>
      <c r="E110" s="12" t="s">
        <v>1485</v>
      </c>
      <c r="F110" s="12" t="s">
        <v>1486</v>
      </c>
      <c r="G110" s="12" t="s">
        <v>1487</v>
      </c>
      <c r="H110" s="12" t="s">
        <v>1488</v>
      </c>
      <c r="I110" s="12" t="s">
        <v>1420</v>
      </c>
      <c r="J110" s="12" t="s">
        <v>1414</v>
      </c>
      <c r="K110" s="12" t="s">
        <v>1420</v>
      </c>
      <c r="L110" s="12" t="s">
        <v>1420</v>
      </c>
      <c r="M110" s="12" t="s">
        <v>1420</v>
      </c>
      <c r="N110" s="12" t="s">
        <v>1414</v>
      </c>
      <c r="O110" s="12" t="s">
        <v>1414</v>
      </c>
      <c r="P110" s="12" t="s">
        <v>1414</v>
      </c>
      <c r="Q110" s="12" t="s">
        <v>1420</v>
      </c>
      <c r="R110" s="12" t="s">
        <v>1420</v>
      </c>
      <c r="S110" s="12" t="s">
        <v>1420</v>
      </c>
      <c r="T110" s="12" t="s">
        <v>1420</v>
      </c>
      <c r="U110" s="12" t="s">
        <v>1420</v>
      </c>
      <c r="V110" s="12" t="s">
        <v>1420</v>
      </c>
      <c r="W110" s="12" t="s">
        <v>1420</v>
      </c>
      <c r="X110" s="12" t="s">
        <v>1420</v>
      </c>
      <c r="Y110" s="12" t="s">
        <v>1420</v>
      </c>
      <c r="Z110" s="12" t="s">
        <v>1420</v>
      </c>
      <c r="AA110" s="12" t="s">
        <v>1420</v>
      </c>
      <c r="AB110" s="12" t="s">
        <v>1420</v>
      </c>
      <c r="AC110" s="12" t="s">
        <v>1420</v>
      </c>
      <c r="AD110" s="12" t="s">
        <v>1420</v>
      </c>
      <c r="AE110" s="12" t="s">
        <v>1420</v>
      </c>
      <c r="AF110" s="12" t="s">
        <v>1420</v>
      </c>
      <c r="AG110" s="12" t="s">
        <v>1420</v>
      </c>
    </row>
    <row r="111" spans="1:33" ht="14.4" x14ac:dyDescent="0.3">
      <c r="A111" s="12" t="s">
        <v>31</v>
      </c>
      <c r="B111" s="12" t="s">
        <v>44</v>
      </c>
      <c r="C111" s="12" t="s">
        <v>43</v>
      </c>
      <c r="D111" s="12" t="s">
        <v>1410</v>
      </c>
      <c r="E111" s="12" t="s">
        <v>2130</v>
      </c>
      <c r="F111" s="12" t="s">
        <v>2112</v>
      </c>
      <c r="G111" s="12" t="s">
        <v>2137</v>
      </c>
      <c r="H111" s="12" t="s">
        <v>1424</v>
      </c>
      <c r="I111" s="12" t="s">
        <v>1420</v>
      </c>
      <c r="J111" s="12" t="s">
        <v>1420</v>
      </c>
      <c r="K111" s="12" t="s">
        <v>1420</v>
      </c>
      <c r="L111" s="12" t="s">
        <v>1420</v>
      </c>
      <c r="M111" s="12" t="s">
        <v>1420</v>
      </c>
      <c r="N111" s="12" t="s">
        <v>1420</v>
      </c>
      <c r="O111" s="12" t="s">
        <v>1420</v>
      </c>
      <c r="P111" s="12" t="s">
        <v>1420</v>
      </c>
      <c r="Q111" s="12" t="s">
        <v>1420</v>
      </c>
      <c r="R111" s="12" t="s">
        <v>1420</v>
      </c>
      <c r="S111" s="12" t="s">
        <v>1420</v>
      </c>
      <c r="T111" s="12" t="s">
        <v>1420</v>
      </c>
      <c r="U111" s="12" t="s">
        <v>1420</v>
      </c>
      <c r="V111" s="12" t="s">
        <v>1414</v>
      </c>
      <c r="W111" s="12" t="s">
        <v>1420</v>
      </c>
      <c r="X111" s="12" t="s">
        <v>1420</v>
      </c>
      <c r="Y111" s="12" t="s">
        <v>1420</v>
      </c>
      <c r="Z111" s="12" t="s">
        <v>1414</v>
      </c>
      <c r="AA111" s="12" t="s">
        <v>1420</v>
      </c>
      <c r="AB111" s="12" t="s">
        <v>1420</v>
      </c>
      <c r="AC111" s="12" t="s">
        <v>1420</v>
      </c>
      <c r="AD111" s="12" t="s">
        <v>1420</v>
      </c>
      <c r="AE111" s="12" t="s">
        <v>1420</v>
      </c>
      <c r="AF111" s="12" t="s">
        <v>1420</v>
      </c>
      <c r="AG111" s="12" t="s">
        <v>1414</v>
      </c>
    </row>
    <row r="112" spans="1:33" ht="14.4" x14ac:dyDescent="0.3">
      <c r="A112" s="12" t="s">
        <v>5532</v>
      </c>
      <c r="B112" s="12" t="s">
        <v>779</v>
      </c>
      <c r="C112" s="12" t="s">
        <v>778</v>
      </c>
      <c r="D112" s="12" t="s">
        <v>1410</v>
      </c>
      <c r="E112" s="12" t="s">
        <v>2580</v>
      </c>
      <c r="F112" s="12" t="s">
        <v>2581</v>
      </c>
      <c r="G112" s="12" t="s">
        <v>2582</v>
      </c>
      <c r="H112" s="12" t="s">
        <v>1452</v>
      </c>
      <c r="I112" s="12" t="s">
        <v>1420</v>
      </c>
      <c r="J112" s="12" t="s">
        <v>1414</v>
      </c>
      <c r="K112" s="12" t="s">
        <v>1420</v>
      </c>
      <c r="L112" s="12" t="s">
        <v>1420</v>
      </c>
      <c r="M112" s="12" t="s">
        <v>1420</v>
      </c>
      <c r="N112" s="12" t="s">
        <v>1420</v>
      </c>
      <c r="O112" s="12" t="s">
        <v>1420</v>
      </c>
      <c r="P112" s="12" t="s">
        <v>1420</v>
      </c>
      <c r="Q112" s="12" t="s">
        <v>1420</v>
      </c>
      <c r="R112" s="12" t="s">
        <v>1420</v>
      </c>
      <c r="S112" s="12" t="s">
        <v>1420</v>
      </c>
      <c r="T112" s="12" t="s">
        <v>1420</v>
      </c>
      <c r="U112" s="12" t="s">
        <v>1420</v>
      </c>
      <c r="V112" s="12" t="s">
        <v>1420</v>
      </c>
      <c r="W112" s="12" t="s">
        <v>1420</v>
      </c>
      <c r="X112" s="12" t="s">
        <v>1420</v>
      </c>
      <c r="Y112" s="12" t="s">
        <v>1420</v>
      </c>
      <c r="Z112" s="12" t="s">
        <v>1420</v>
      </c>
      <c r="AA112" s="12" t="s">
        <v>1420</v>
      </c>
      <c r="AB112" s="12" t="s">
        <v>1420</v>
      </c>
      <c r="AC112" s="12" t="s">
        <v>1420</v>
      </c>
      <c r="AD112" s="12" t="s">
        <v>1420</v>
      </c>
      <c r="AE112" s="12" t="s">
        <v>1420</v>
      </c>
      <c r="AF112" s="12" t="s">
        <v>1420</v>
      </c>
      <c r="AG112" s="12" t="s">
        <v>1420</v>
      </c>
    </row>
    <row r="113" spans="1:33" ht="14.4" x14ac:dyDescent="0.3">
      <c r="A113" s="12" t="s">
        <v>28</v>
      </c>
      <c r="B113" s="12" t="s">
        <v>46</v>
      </c>
      <c r="C113" s="12" t="s">
        <v>45</v>
      </c>
      <c r="D113" s="12" t="s">
        <v>1410</v>
      </c>
      <c r="E113" s="12" t="s">
        <v>2130</v>
      </c>
      <c r="F113" s="12" t="s">
        <v>2120</v>
      </c>
      <c r="G113" s="12" t="s">
        <v>2115</v>
      </c>
      <c r="H113" s="12" t="s">
        <v>1424</v>
      </c>
      <c r="I113" s="12" t="s">
        <v>1420</v>
      </c>
      <c r="J113" s="12" t="s">
        <v>1420</v>
      </c>
      <c r="K113" s="12" t="s">
        <v>1420</v>
      </c>
      <c r="L113" s="12" t="s">
        <v>1420</v>
      </c>
      <c r="M113" s="12" t="s">
        <v>1420</v>
      </c>
      <c r="N113" s="12" t="s">
        <v>1414</v>
      </c>
      <c r="O113" s="12" t="s">
        <v>1420</v>
      </c>
      <c r="P113" s="12" t="s">
        <v>1420</v>
      </c>
      <c r="Q113" s="12" t="s">
        <v>1420</v>
      </c>
      <c r="R113" s="12" t="s">
        <v>1420</v>
      </c>
      <c r="S113" s="12" t="s">
        <v>1420</v>
      </c>
      <c r="T113" s="12" t="s">
        <v>1420</v>
      </c>
      <c r="U113" s="12" t="s">
        <v>1420</v>
      </c>
      <c r="V113" s="12" t="s">
        <v>1420</v>
      </c>
      <c r="W113" s="12" t="s">
        <v>1420</v>
      </c>
      <c r="X113" s="12" t="s">
        <v>1420</v>
      </c>
      <c r="Y113" s="12" t="s">
        <v>1420</v>
      </c>
      <c r="Z113" s="12" t="s">
        <v>1414</v>
      </c>
      <c r="AA113" s="12" t="s">
        <v>1420</v>
      </c>
      <c r="AB113" s="12" t="s">
        <v>1420</v>
      </c>
      <c r="AC113" s="12" t="s">
        <v>1420</v>
      </c>
      <c r="AD113" s="12" t="s">
        <v>1420</v>
      </c>
      <c r="AE113" s="12" t="s">
        <v>1414</v>
      </c>
      <c r="AF113" s="12" t="s">
        <v>1420</v>
      </c>
      <c r="AG113" s="12" t="s">
        <v>1420</v>
      </c>
    </row>
    <row r="114" spans="1:33" ht="14.4" x14ac:dyDescent="0.3">
      <c r="A114" s="12" t="s">
        <v>8</v>
      </c>
      <c r="B114" s="12" t="s">
        <v>473</v>
      </c>
      <c r="C114" s="12" t="s">
        <v>472</v>
      </c>
      <c r="D114" s="12" t="s">
        <v>1410</v>
      </c>
      <c r="E114" s="12" t="s">
        <v>1765</v>
      </c>
      <c r="F114" s="12" t="s">
        <v>1779</v>
      </c>
      <c r="G114" s="12" t="s">
        <v>1780</v>
      </c>
      <c r="H114" s="12" t="s">
        <v>1448</v>
      </c>
      <c r="I114" s="12" t="s">
        <v>1420</v>
      </c>
      <c r="J114" s="12" t="s">
        <v>1414</v>
      </c>
      <c r="K114" s="12" t="s">
        <v>1420</v>
      </c>
      <c r="L114" s="12" t="s">
        <v>1420</v>
      </c>
      <c r="M114" s="12" t="s">
        <v>1420</v>
      </c>
      <c r="N114" s="12" t="s">
        <v>1420</v>
      </c>
      <c r="O114" s="12" t="s">
        <v>1420</v>
      </c>
      <c r="P114" s="12" t="s">
        <v>1420</v>
      </c>
      <c r="Q114" s="12" t="s">
        <v>1420</v>
      </c>
      <c r="R114" s="12" t="s">
        <v>1420</v>
      </c>
      <c r="S114" s="12" t="s">
        <v>1420</v>
      </c>
      <c r="T114" s="12" t="s">
        <v>1414</v>
      </c>
      <c r="U114" s="12" t="s">
        <v>1420</v>
      </c>
      <c r="V114" s="12" t="s">
        <v>1420</v>
      </c>
      <c r="W114" s="12" t="s">
        <v>1414</v>
      </c>
      <c r="X114" s="12" t="s">
        <v>1420</v>
      </c>
      <c r="Y114" s="12" t="s">
        <v>1420</v>
      </c>
      <c r="Z114" s="12" t="s">
        <v>1420</v>
      </c>
      <c r="AA114" s="12" t="s">
        <v>1420</v>
      </c>
      <c r="AB114" s="12" t="s">
        <v>1414</v>
      </c>
      <c r="AC114" s="12" t="s">
        <v>1420</v>
      </c>
      <c r="AD114" s="12" t="s">
        <v>1420</v>
      </c>
      <c r="AE114" s="12" t="s">
        <v>1420</v>
      </c>
      <c r="AF114" s="12" t="s">
        <v>1420</v>
      </c>
      <c r="AG114" s="12" t="s">
        <v>1414</v>
      </c>
    </row>
    <row r="115" spans="1:33" ht="14.4" x14ac:dyDescent="0.3">
      <c r="A115" s="12" t="s">
        <v>8</v>
      </c>
      <c r="B115" s="12" t="s">
        <v>781</v>
      </c>
      <c r="C115" s="12" t="s">
        <v>780</v>
      </c>
      <c r="D115" s="12" t="s">
        <v>1410</v>
      </c>
      <c r="E115" s="12" t="s">
        <v>2567</v>
      </c>
      <c r="F115" s="12" t="s">
        <v>2568</v>
      </c>
      <c r="G115" s="12" t="s">
        <v>2087</v>
      </c>
      <c r="H115" s="12" t="s">
        <v>1464</v>
      </c>
      <c r="I115" s="12" t="s">
        <v>1420</v>
      </c>
      <c r="J115" s="12" t="s">
        <v>1420</v>
      </c>
      <c r="K115" s="12" t="s">
        <v>1420</v>
      </c>
      <c r="L115" s="12" t="s">
        <v>1420</v>
      </c>
      <c r="M115" s="12" t="s">
        <v>1420</v>
      </c>
      <c r="N115" s="12" t="s">
        <v>1420</v>
      </c>
      <c r="O115" s="12" t="s">
        <v>1420</v>
      </c>
      <c r="P115" s="12" t="s">
        <v>1420</v>
      </c>
      <c r="Q115" s="12" t="s">
        <v>1420</v>
      </c>
      <c r="R115" s="12" t="s">
        <v>1420</v>
      </c>
      <c r="S115" s="12" t="s">
        <v>1420</v>
      </c>
      <c r="T115" s="12" t="s">
        <v>1420</v>
      </c>
      <c r="U115" s="12" t="s">
        <v>1420</v>
      </c>
      <c r="V115" s="12" t="s">
        <v>1420</v>
      </c>
      <c r="W115" s="12" t="s">
        <v>1420</v>
      </c>
      <c r="X115" s="12" t="s">
        <v>1420</v>
      </c>
      <c r="Y115" s="12" t="s">
        <v>1420</v>
      </c>
      <c r="Z115" s="12" t="s">
        <v>1420</v>
      </c>
      <c r="AA115" s="12" t="s">
        <v>1420</v>
      </c>
      <c r="AB115" s="12" t="s">
        <v>1420</v>
      </c>
      <c r="AC115" s="12" t="s">
        <v>1420</v>
      </c>
      <c r="AD115" s="12" t="s">
        <v>1420</v>
      </c>
      <c r="AE115" s="12" t="s">
        <v>1420</v>
      </c>
      <c r="AF115" s="12" t="s">
        <v>1420</v>
      </c>
      <c r="AG115" s="12" t="s">
        <v>1420</v>
      </c>
    </row>
    <row r="116" spans="1:33" ht="14.4" x14ac:dyDescent="0.3">
      <c r="A116" s="12" t="s">
        <v>8</v>
      </c>
      <c r="B116" s="12" t="s">
        <v>51</v>
      </c>
      <c r="C116" s="12" t="s">
        <v>50</v>
      </c>
      <c r="D116" s="12" t="s">
        <v>1410</v>
      </c>
      <c r="E116" s="12" t="s">
        <v>2095</v>
      </c>
      <c r="F116" s="12" t="s">
        <v>2096</v>
      </c>
      <c r="G116" s="12" t="s">
        <v>2097</v>
      </c>
      <c r="H116" s="12" t="s">
        <v>1452</v>
      </c>
      <c r="I116" s="12" t="s">
        <v>1420</v>
      </c>
      <c r="J116" s="12" t="s">
        <v>1420</v>
      </c>
      <c r="K116" s="12" t="s">
        <v>1420</v>
      </c>
      <c r="L116" s="12" t="s">
        <v>1420</v>
      </c>
      <c r="M116" s="12" t="s">
        <v>1420</v>
      </c>
      <c r="N116" s="12" t="s">
        <v>1414</v>
      </c>
      <c r="O116" s="12" t="s">
        <v>1420</v>
      </c>
      <c r="P116" s="12" t="s">
        <v>1420</v>
      </c>
      <c r="Q116" s="12" t="s">
        <v>1420</v>
      </c>
      <c r="R116" s="12" t="s">
        <v>1420</v>
      </c>
      <c r="S116" s="12" t="s">
        <v>1420</v>
      </c>
      <c r="T116" s="12" t="s">
        <v>1420</v>
      </c>
      <c r="U116" s="12" t="s">
        <v>1420</v>
      </c>
      <c r="V116" s="12" t="s">
        <v>1420</v>
      </c>
      <c r="W116" s="12" t="s">
        <v>1420</v>
      </c>
      <c r="X116" s="12" t="s">
        <v>1420</v>
      </c>
      <c r="Y116" s="12" t="s">
        <v>1420</v>
      </c>
      <c r="Z116" s="12" t="s">
        <v>1420</v>
      </c>
      <c r="AA116" s="12" t="s">
        <v>1420</v>
      </c>
      <c r="AB116" s="12" t="s">
        <v>1420</v>
      </c>
      <c r="AC116" s="12" t="s">
        <v>1420</v>
      </c>
      <c r="AD116" s="12" t="s">
        <v>1420</v>
      </c>
      <c r="AE116" s="12" t="s">
        <v>1420</v>
      </c>
      <c r="AF116" s="12" t="s">
        <v>1420</v>
      </c>
      <c r="AG116" s="12" t="s">
        <v>1420</v>
      </c>
    </row>
    <row r="117" spans="1:33" ht="14.4" x14ac:dyDescent="0.3">
      <c r="A117" s="12" t="s">
        <v>49</v>
      </c>
      <c r="B117" s="12" t="s">
        <v>48</v>
      </c>
      <c r="C117" s="12" t="s">
        <v>47</v>
      </c>
      <c r="D117" s="12" t="s">
        <v>1410</v>
      </c>
      <c r="E117" s="12" t="s">
        <v>2252</v>
      </c>
      <c r="F117" s="12" t="s">
        <v>2255</v>
      </c>
      <c r="G117" s="12" t="s">
        <v>1881</v>
      </c>
      <c r="H117" s="12" t="s">
        <v>1606</v>
      </c>
      <c r="I117" s="12" t="s">
        <v>1420</v>
      </c>
      <c r="J117" s="12" t="s">
        <v>1420</v>
      </c>
      <c r="K117" s="12" t="s">
        <v>1420</v>
      </c>
      <c r="L117" s="12" t="s">
        <v>1420</v>
      </c>
      <c r="M117" s="12" t="s">
        <v>1420</v>
      </c>
      <c r="N117" s="12" t="s">
        <v>1414</v>
      </c>
      <c r="O117" s="12" t="s">
        <v>1420</v>
      </c>
      <c r="P117" s="12" t="s">
        <v>1414</v>
      </c>
      <c r="Q117" s="12" t="s">
        <v>1414</v>
      </c>
      <c r="R117" s="12" t="s">
        <v>1420</v>
      </c>
      <c r="S117" s="12" t="s">
        <v>1420</v>
      </c>
      <c r="T117" s="12" t="s">
        <v>1420</v>
      </c>
      <c r="U117" s="12" t="s">
        <v>1414</v>
      </c>
      <c r="V117" s="12" t="s">
        <v>1420</v>
      </c>
      <c r="W117" s="12" t="s">
        <v>1420</v>
      </c>
      <c r="X117" s="12" t="s">
        <v>1414</v>
      </c>
      <c r="Y117" s="12" t="s">
        <v>1414</v>
      </c>
      <c r="Z117" s="12" t="s">
        <v>1420</v>
      </c>
      <c r="AA117" s="12" t="s">
        <v>1420</v>
      </c>
      <c r="AB117" s="12" t="s">
        <v>1420</v>
      </c>
      <c r="AC117" s="12" t="s">
        <v>1414</v>
      </c>
      <c r="AD117" s="12" t="s">
        <v>1420</v>
      </c>
      <c r="AE117" s="12" t="s">
        <v>1414</v>
      </c>
      <c r="AF117" s="12" t="s">
        <v>1420</v>
      </c>
      <c r="AG117" s="12" t="s">
        <v>1420</v>
      </c>
    </row>
    <row r="118" spans="1:33" ht="14.4" x14ac:dyDescent="0.3">
      <c r="A118" s="12" t="s">
        <v>8</v>
      </c>
      <c r="B118" s="12" t="s">
        <v>48</v>
      </c>
      <c r="C118" s="12" t="s">
        <v>52</v>
      </c>
      <c r="D118" s="12" t="s">
        <v>1410</v>
      </c>
      <c r="E118" s="12" t="s">
        <v>2122</v>
      </c>
      <c r="F118" s="12" t="s">
        <v>2096</v>
      </c>
      <c r="G118" s="12" t="s">
        <v>2126</v>
      </c>
      <c r="H118" s="12" t="s">
        <v>1419</v>
      </c>
      <c r="I118" s="12" t="s">
        <v>1420</v>
      </c>
      <c r="J118" s="12" t="s">
        <v>1420</v>
      </c>
      <c r="K118" s="12" t="s">
        <v>1420</v>
      </c>
      <c r="L118" s="12" t="s">
        <v>1414</v>
      </c>
      <c r="M118" s="12" t="s">
        <v>1420</v>
      </c>
      <c r="N118" s="12" t="s">
        <v>1414</v>
      </c>
      <c r="O118" s="12" t="s">
        <v>1420</v>
      </c>
      <c r="P118" s="12" t="s">
        <v>1420</v>
      </c>
      <c r="Q118" s="12" t="s">
        <v>1420</v>
      </c>
      <c r="R118" s="12" t="s">
        <v>1420</v>
      </c>
      <c r="S118" s="12" t="s">
        <v>1420</v>
      </c>
      <c r="T118" s="12" t="s">
        <v>1420</v>
      </c>
      <c r="U118" s="12" t="s">
        <v>1420</v>
      </c>
      <c r="V118" s="12" t="s">
        <v>1420</v>
      </c>
      <c r="W118" s="12" t="s">
        <v>1420</v>
      </c>
      <c r="X118" s="12" t="s">
        <v>1420</v>
      </c>
      <c r="Y118" s="12" t="s">
        <v>1420</v>
      </c>
      <c r="Z118" s="12" t="s">
        <v>1420</v>
      </c>
      <c r="AA118" s="12" t="s">
        <v>1420</v>
      </c>
      <c r="AB118" s="12" t="s">
        <v>1420</v>
      </c>
      <c r="AC118" s="12" t="s">
        <v>1420</v>
      </c>
      <c r="AD118" s="12" t="s">
        <v>1420</v>
      </c>
      <c r="AE118" s="12" t="s">
        <v>1420</v>
      </c>
      <c r="AF118" s="12" t="s">
        <v>1420</v>
      </c>
      <c r="AG118" s="12" t="s">
        <v>1420</v>
      </c>
    </row>
    <row r="119" spans="1:33" ht="14.4" x14ac:dyDescent="0.3">
      <c r="A119" s="12" t="s">
        <v>8</v>
      </c>
      <c r="B119" s="12" t="s">
        <v>1167</v>
      </c>
      <c r="C119" s="12" t="s">
        <v>1166</v>
      </c>
      <c r="D119" s="12" t="s">
        <v>1410</v>
      </c>
      <c r="E119" s="12" t="s">
        <v>1982</v>
      </c>
      <c r="F119" s="12" t="s">
        <v>1992</v>
      </c>
      <c r="G119" s="12" t="s">
        <v>1993</v>
      </c>
      <c r="H119" s="12" t="s">
        <v>1464</v>
      </c>
      <c r="I119" s="12" t="s">
        <v>1420</v>
      </c>
      <c r="J119" s="12" t="s">
        <v>1420</v>
      </c>
      <c r="K119" s="12" t="s">
        <v>1420</v>
      </c>
      <c r="L119" s="12" t="s">
        <v>1420</v>
      </c>
      <c r="M119" s="12" t="s">
        <v>1420</v>
      </c>
      <c r="N119" s="12" t="s">
        <v>1420</v>
      </c>
      <c r="O119" s="12" t="s">
        <v>1420</v>
      </c>
      <c r="P119" s="12" t="s">
        <v>1420</v>
      </c>
      <c r="Q119" s="12" t="s">
        <v>1420</v>
      </c>
      <c r="R119" s="12" t="s">
        <v>1420</v>
      </c>
      <c r="S119" s="12" t="s">
        <v>1420</v>
      </c>
      <c r="T119" s="12" t="s">
        <v>1420</v>
      </c>
      <c r="U119" s="12" t="s">
        <v>1420</v>
      </c>
      <c r="V119" s="12" t="s">
        <v>1420</v>
      </c>
      <c r="W119" s="12" t="s">
        <v>1420</v>
      </c>
      <c r="X119" s="12" t="s">
        <v>1420</v>
      </c>
      <c r="Y119" s="12" t="s">
        <v>1420</v>
      </c>
      <c r="Z119" s="12" t="s">
        <v>1420</v>
      </c>
      <c r="AA119" s="12" t="s">
        <v>1420</v>
      </c>
      <c r="AB119" s="12" t="s">
        <v>1420</v>
      </c>
      <c r="AC119" s="12" t="s">
        <v>1420</v>
      </c>
      <c r="AD119" s="12" t="s">
        <v>1420</v>
      </c>
      <c r="AE119" s="12" t="s">
        <v>1420</v>
      </c>
      <c r="AF119" s="12" t="s">
        <v>1420</v>
      </c>
      <c r="AG119" s="12" t="s">
        <v>1420</v>
      </c>
    </row>
    <row r="120" spans="1:33" ht="14.4" x14ac:dyDescent="0.3">
      <c r="A120" s="12" t="s">
        <v>71</v>
      </c>
      <c r="B120" s="12" t="s">
        <v>783</v>
      </c>
      <c r="C120" s="12" t="s">
        <v>782</v>
      </c>
      <c r="D120" s="12" t="s">
        <v>1410</v>
      </c>
      <c r="E120" s="12" t="s">
        <v>2828</v>
      </c>
      <c r="F120" s="12" t="s">
        <v>2829</v>
      </c>
      <c r="G120" s="12" t="s">
        <v>2830</v>
      </c>
      <c r="H120" s="12" t="s">
        <v>1464</v>
      </c>
      <c r="I120" s="12" t="s">
        <v>1420</v>
      </c>
      <c r="J120" s="12" t="s">
        <v>1420</v>
      </c>
      <c r="K120" s="12" t="s">
        <v>1420</v>
      </c>
      <c r="L120" s="12" t="s">
        <v>1420</v>
      </c>
      <c r="M120" s="12" t="s">
        <v>1420</v>
      </c>
      <c r="N120" s="12" t="s">
        <v>1420</v>
      </c>
      <c r="O120" s="12" t="s">
        <v>1420</v>
      </c>
      <c r="P120" s="12" t="s">
        <v>1420</v>
      </c>
      <c r="Q120" s="12" t="s">
        <v>1420</v>
      </c>
      <c r="R120" s="12" t="s">
        <v>1420</v>
      </c>
      <c r="S120" s="12" t="s">
        <v>1420</v>
      </c>
      <c r="T120" s="12" t="s">
        <v>1420</v>
      </c>
      <c r="U120" s="12" t="s">
        <v>1420</v>
      </c>
      <c r="V120" s="12" t="s">
        <v>1420</v>
      </c>
      <c r="W120" s="12" t="s">
        <v>1420</v>
      </c>
      <c r="X120" s="12" t="s">
        <v>1420</v>
      </c>
      <c r="Y120" s="12" t="s">
        <v>1420</v>
      </c>
      <c r="Z120" s="12" t="s">
        <v>1420</v>
      </c>
      <c r="AA120" s="12" t="s">
        <v>1420</v>
      </c>
      <c r="AB120" s="12" t="s">
        <v>1420</v>
      </c>
      <c r="AC120" s="12" t="s">
        <v>1420</v>
      </c>
      <c r="AD120" s="12" t="s">
        <v>1420</v>
      </c>
      <c r="AE120" s="12" t="s">
        <v>1420</v>
      </c>
      <c r="AF120" s="12" t="s">
        <v>1420</v>
      </c>
      <c r="AG120" s="12" t="s">
        <v>1420</v>
      </c>
    </row>
    <row r="121" spans="1:33" ht="14.4" x14ac:dyDescent="0.3">
      <c r="A121" s="12" t="s">
        <v>55</v>
      </c>
      <c r="B121" s="12" t="s">
        <v>54</v>
      </c>
      <c r="C121" s="12" t="s">
        <v>53</v>
      </c>
      <c r="D121" s="12" t="s">
        <v>1410</v>
      </c>
      <c r="E121" s="12" t="s">
        <v>2139</v>
      </c>
      <c r="F121" s="12" t="s">
        <v>2093</v>
      </c>
      <c r="G121" s="12" t="s">
        <v>2140</v>
      </c>
      <c r="H121" s="12" t="s">
        <v>1464</v>
      </c>
      <c r="I121" s="12" t="s">
        <v>1420</v>
      </c>
      <c r="J121" s="12" t="s">
        <v>1420</v>
      </c>
      <c r="K121" s="12" t="s">
        <v>1420</v>
      </c>
      <c r="L121" s="12" t="s">
        <v>1420</v>
      </c>
      <c r="M121" s="12" t="s">
        <v>1420</v>
      </c>
      <c r="N121" s="12" t="s">
        <v>1420</v>
      </c>
      <c r="O121" s="12" t="s">
        <v>1420</v>
      </c>
      <c r="P121" s="12" t="s">
        <v>1420</v>
      </c>
      <c r="Q121" s="12" t="s">
        <v>1420</v>
      </c>
      <c r="R121" s="12" t="s">
        <v>1420</v>
      </c>
      <c r="S121" s="12" t="s">
        <v>1420</v>
      </c>
      <c r="T121" s="12" t="s">
        <v>1420</v>
      </c>
      <c r="U121" s="12" t="s">
        <v>1420</v>
      </c>
      <c r="V121" s="12" t="s">
        <v>1420</v>
      </c>
      <c r="W121" s="12" t="s">
        <v>1420</v>
      </c>
      <c r="X121" s="12" t="s">
        <v>1420</v>
      </c>
      <c r="Y121" s="12" t="s">
        <v>1420</v>
      </c>
      <c r="Z121" s="12" t="s">
        <v>1420</v>
      </c>
      <c r="AA121" s="12" t="s">
        <v>1420</v>
      </c>
      <c r="AB121" s="12" t="s">
        <v>1420</v>
      </c>
      <c r="AC121" s="12" t="s">
        <v>1420</v>
      </c>
      <c r="AD121" s="12" t="s">
        <v>1420</v>
      </c>
      <c r="AE121" s="12" t="s">
        <v>1420</v>
      </c>
      <c r="AF121" s="12" t="s">
        <v>1420</v>
      </c>
      <c r="AG121" s="12" t="s">
        <v>1420</v>
      </c>
    </row>
    <row r="122" spans="1:33" ht="14.4" x14ac:dyDescent="0.3">
      <c r="A122" s="12" t="s">
        <v>8</v>
      </c>
      <c r="B122" s="12" t="s">
        <v>785</v>
      </c>
      <c r="C122" s="12" t="s">
        <v>784</v>
      </c>
      <c r="D122" s="12" t="s">
        <v>1410</v>
      </c>
      <c r="E122" s="12" t="s">
        <v>2231</v>
      </c>
      <c r="F122" s="12" t="s">
        <v>2232</v>
      </c>
      <c r="G122" s="12" t="s">
        <v>2233</v>
      </c>
      <c r="H122" s="12" t="s">
        <v>1464</v>
      </c>
      <c r="I122" s="12" t="s">
        <v>1420</v>
      </c>
      <c r="J122" s="12" t="s">
        <v>1420</v>
      </c>
      <c r="K122" s="12" t="s">
        <v>1420</v>
      </c>
      <c r="L122" s="12" t="s">
        <v>1420</v>
      </c>
      <c r="M122" s="12" t="s">
        <v>1420</v>
      </c>
      <c r="N122" s="12" t="s">
        <v>1420</v>
      </c>
      <c r="O122" s="12" t="s">
        <v>1420</v>
      </c>
      <c r="P122" s="12" t="s">
        <v>1420</v>
      </c>
      <c r="Q122" s="12" t="s">
        <v>1420</v>
      </c>
      <c r="R122" s="12" t="s">
        <v>1420</v>
      </c>
      <c r="S122" s="12" t="s">
        <v>1420</v>
      </c>
      <c r="T122" s="12" t="s">
        <v>1420</v>
      </c>
      <c r="U122" s="12" t="s">
        <v>1420</v>
      </c>
      <c r="V122" s="12" t="s">
        <v>1420</v>
      </c>
      <c r="W122" s="12" t="s">
        <v>1420</v>
      </c>
      <c r="X122" s="12" t="s">
        <v>1420</v>
      </c>
      <c r="Y122" s="12" t="s">
        <v>1420</v>
      </c>
      <c r="Z122" s="12" t="s">
        <v>1420</v>
      </c>
      <c r="AA122" s="12" t="s">
        <v>1420</v>
      </c>
      <c r="AB122" s="12" t="s">
        <v>1420</v>
      </c>
      <c r="AC122" s="12" t="s">
        <v>1420</v>
      </c>
      <c r="AD122" s="12" t="s">
        <v>1420</v>
      </c>
      <c r="AE122" s="12" t="s">
        <v>1420</v>
      </c>
      <c r="AF122" s="12" t="s">
        <v>1420</v>
      </c>
      <c r="AG122" s="12" t="s">
        <v>1420</v>
      </c>
    </row>
    <row r="123" spans="1:33" ht="14.4" x14ac:dyDescent="0.3">
      <c r="A123" s="12" t="s">
        <v>16</v>
      </c>
      <c r="B123" s="12" t="s">
        <v>1169</v>
      </c>
      <c r="C123" s="12" t="s">
        <v>1168</v>
      </c>
      <c r="D123" s="12" t="s">
        <v>1410</v>
      </c>
      <c r="E123" s="12" t="s">
        <v>3103</v>
      </c>
      <c r="F123" s="12" t="s">
        <v>3104</v>
      </c>
      <c r="G123" s="12" t="s">
        <v>3105</v>
      </c>
      <c r="H123" s="12" t="s">
        <v>1464</v>
      </c>
      <c r="I123" s="12" t="s">
        <v>1420</v>
      </c>
      <c r="J123" s="12" t="s">
        <v>1420</v>
      </c>
      <c r="K123" s="12" t="s">
        <v>1420</v>
      </c>
      <c r="L123" s="12" t="s">
        <v>1420</v>
      </c>
      <c r="M123" s="12" t="s">
        <v>1420</v>
      </c>
      <c r="N123" s="12" t="s">
        <v>1420</v>
      </c>
      <c r="O123" s="12" t="s">
        <v>1420</v>
      </c>
      <c r="P123" s="12" t="s">
        <v>1420</v>
      </c>
      <c r="Q123" s="12" t="s">
        <v>1420</v>
      </c>
      <c r="R123" s="12" t="s">
        <v>1420</v>
      </c>
      <c r="S123" s="12" t="s">
        <v>1420</v>
      </c>
      <c r="T123" s="12" t="s">
        <v>1420</v>
      </c>
      <c r="U123" s="12" t="s">
        <v>1420</v>
      </c>
      <c r="V123" s="12" t="s">
        <v>1420</v>
      </c>
      <c r="W123" s="12" t="s">
        <v>1420</v>
      </c>
      <c r="X123" s="12" t="s">
        <v>1420</v>
      </c>
      <c r="Y123" s="12" t="s">
        <v>1420</v>
      </c>
      <c r="Z123" s="12" t="s">
        <v>1420</v>
      </c>
      <c r="AA123" s="12" t="s">
        <v>1420</v>
      </c>
      <c r="AB123" s="12" t="s">
        <v>1420</v>
      </c>
      <c r="AC123" s="12" t="s">
        <v>1420</v>
      </c>
      <c r="AD123" s="12" t="s">
        <v>1420</v>
      </c>
      <c r="AE123" s="12" t="s">
        <v>1420</v>
      </c>
      <c r="AF123" s="12" t="s">
        <v>1420</v>
      </c>
      <c r="AG123" s="12" t="s">
        <v>1420</v>
      </c>
    </row>
    <row r="124" spans="1:33" ht="14.4" x14ac:dyDescent="0.3">
      <c r="A124" s="12" t="s">
        <v>8</v>
      </c>
      <c r="B124" s="12" t="s">
        <v>5533</v>
      </c>
      <c r="C124" s="12" t="s">
        <v>5534</v>
      </c>
      <c r="D124" s="12" t="s">
        <v>1410</v>
      </c>
      <c r="E124" s="12" t="s">
        <v>5535</v>
      </c>
      <c r="F124" s="12" t="s">
        <v>5536</v>
      </c>
      <c r="G124" s="12" t="s">
        <v>1531</v>
      </c>
      <c r="H124" s="12" t="s">
        <v>1488</v>
      </c>
      <c r="I124" s="12" t="s">
        <v>1420</v>
      </c>
      <c r="J124" s="12" t="s">
        <v>1420</v>
      </c>
      <c r="K124" s="12" t="s">
        <v>1420</v>
      </c>
      <c r="L124" s="12" t="s">
        <v>1420</v>
      </c>
      <c r="M124" s="12" t="s">
        <v>1420</v>
      </c>
      <c r="N124" s="12" t="s">
        <v>1420</v>
      </c>
      <c r="O124" s="12" t="s">
        <v>1420</v>
      </c>
      <c r="P124" s="12" t="s">
        <v>1414</v>
      </c>
      <c r="Q124" s="12" t="s">
        <v>1420</v>
      </c>
      <c r="R124" s="12" t="s">
        <v>1420</v>
      </c>
      <c r="S124" s="12" t="s">
        <v>1420</v>
      </c>
      <c r="T124" s="12" t="s">
        <v>1420</v>
      </c>
      <c r="U124" s="12" t="s">
        <v>1420</v>
      </c>
      <c r="V124" s="12" t="s">
        <v>1420</v>
      </c>
      <c r="W124" s="12" t="s">
        <v>1420</v>
      </c>
      <c r="X124" s="12" t="s">
        <v>1420</v>
      </c>
      <c r="Y124" s="12" t="s">
        <v>1420</v>
      </c>
      <c r="Z124" s="12" t="s">
        <v>1420</v>
      </c>
      <c r="AA124" s="12" t="s">
        <v>1414</v>
      </c>
      <c r="AB124" s="12" t="s">
        <v>1420</v>
      </c>
      <c r="AC124" s="12" t="s">
        <v>1414</v>
      </c>
      <c r="AD124" s="12" t="s">
        <v>1414</v>
      </c>
      <c r="AE124" s="12" t="s">
        <v>1420</v>
      </c>
      <c r="AF124" s="12" t="s">
        <v>1420</v>
      </c>
      <c r="AG124" s="12" t="s">
        <v>1420</v>
      </c>
    </row>
    <row r="125" spans="1:33" ht="14.4" x14ac:dyDescent="0.3">
      <c r="A125" s="12" t="s">
        <v>1077</v>
      </c>
      <c r="B125" s="12" t="s">
        <v>1076</v>
      </c>
      <c r="C125" s="12" t="s">
        <v>1075</v>
      </c>
      <c r="D125" s="12" t="s">
        <v>1410</v>
      </c>
      <c r="E125" s="12" t="s">
        <v>2994</v>
      </c>
      <c r="F125" s="12" t="s">
        <v>2995</v>
      </c>
      <c r="G125" s="12" t="s">
        <v>2996</v>
      </c>
      <c r="H125" s="12" t="s">
        <v>1755</v>
      </c>
      <c r="I125" s="12" t="s">
        <v>1420</v>
      </c>
      <c r="J125" s="12" t="s">
        <v>1420</v>
      </c>
      <c r="K125" s="12" t="s">
        <v>1420</v>
      </c>
      <c r="L125" s="12" t="s">
        <v>1420</v>
      </c>
      <c r="M125" s="12" t="s">
        <v>1420</v>
      </c>
      <c r="N125" s="12" t="s">
        <v>1414</v>
      </c>
      <c r="O125" s="12" t="s">
        <v>1414</v>
      </c>
      <c r="P125" s="12" t="s">
        <v>1414</v>
      </c>
      <c r="Q125" s="12" t="s">
        <v>1420</v>
      </c>
      <c r="R125" s="12" t="s">
        <v>1414</v>
      </c>
      <c r="S125" s="12" t="s">
        <v>1420</v>
      </c>
      <c r="T125" s="12" t="s">
        <v>1414</v>
      </c>
      <c r="U125" s="12" t="s">
        <v>1414</v>
      </c>
      <c r="V125" s="12" t="s">
        <v>1420</v>
      </c>
      <c r="W125" s="12" t="s">
        <v>1414</v>
      </c>
      <c r="X125" s="12" t="s">
        <v>1420</v>
      </c>
      <c r="Y125" s="12" t="s">
        <v>1420</v>
      </c>
      <c r="Z125" s="12" t="s">
        <v>1420</v>
      </c>
      <c r="AA125" s="12" t="s">
        <v>1414</v>
      </c>
      <c r="AB125" s="12" t="s">
        <v>1420</v>
      </c>
      <c r="AC125" s="12" t="s">
        <v>1414</v>
      </c>
      <c r="AD125" s="12" t="s">
        <v>1420</v>
      </c>
      <c r="AE125" s="12" t="s">
        <v>1420</v>
      </c>
      <c r="AF125" s="12" t="s">
        <v>1420</v>
      </c>
      <c r="AG125" s="12" t="s">
        <v>1414</v>
      </c>
    </row>
    <row r="126" spans="1:33" ht="14.4" x14ac:dyDescent="0.3">
      <c r="A126" s="12" t="s">
        <v>28</v>
      </c>
      <c r="B126" s="12" t="s">
        <v>5537</v>
      </c>
      <c r="C126" s="12" t="s">
        <v>5538</v>
      </c>
      <c r="D126" s="12" t="s">
        <v>1410</v>
      </c>
      <c r="E126" s="12" t="s">
        <v>5539</v>
      </c>
      <c r="F126" s="12" t="s">
        <v>5540</v>
      </c>
      <c r="G126" s="12" t="s">
        <v>2806</v>
      </c>
      <c r="H126" s="12" t="s">
        <v>1488</v>
      </c>
      <c r="I126" s="12" t="s">
        <v>1420</v>
      </c>
      <c r="J126" s="12" t="s">
        <v>1420</v>
      </c>
      <c r="K126" s="12" t="s">
        <v>1420</v>
      </c>
      <c r="L126" s="12" t="s">
        <v>1420</v>
      </c>
      <c r="M126" s="12" t="s">
        <v>1420</v>
      </c>
      <c r="N126" s="12" t="s">
        <v>1414</v>
      </c>
      <c r="O126" s="12" t="s">
        <v>1420</v>
      </c>
      <c r="P126" s="12" t="s">
        <v>1420</v>
      </c>
      <c r="Q126" s="12" t="s">
        <v>1420</v>
      </c>
      <c r="R126" s="12" t="s">
        <v>1420</v>
      </c>
      <c r="S126" s="12" t="s">
        <v>1414</v>
      </c>
      <c r="T126" s="12" t="s">
        <v>1420</v>
      </c>
      <c r="U126" s="12" t="s">
        <v>1420</v>
      </c>
      <c r="V126" s="12" t="s">
        <v>1420</v>
      </c>
      <c r="W126" s="12" t="s">
        <v>1414</v>
      </c>
      <c r="X126" s="12" t="s">
        <v>1414</v>
      </c>
      <c r="Y126" s="12" t="s">
        <v>1420</v>
      </c>
      <c r="Z126" s="12" t="s">
        <v>1420</v>
      </c>
      <c r="AA126" s="12" t="s">
        <v>1420</v>
      </c>
      <c r="AB126" s="12" t="s">
        <v>1420</v>
      </c>
      <c r="AC126" s="12" t="s">
        <v>1420</v>
      </c>
      <c r="AD126" s="12" t="s">
        <v>1420</v>
      </c>
      <c r="AE126" s="12" t="s">
        <v>1420</v>
      </c>
      <c r="AF126" s="12" t="s">
        <v>1420</v>
      </c>
      <c r="AG126" s="12" t="s">
        <v>1420</v>
      </c>
    </row>
    <row r="127" spans="1:33" ht="14.4" x14ac:dyDescent="0.3">
      <c r="A127" s="12" t="s">
        <v>55</v>
      </c>
      <c r="B127" s="12" t="s">
        <v>1300</v>
      </c>
      <c r="C127" s="12" t="s">
        <v>1299</v>
      </c>
      <c r="D127" s="12" t="s">
        <v>1410</v>
      </c>
      <c r="E127" s="12" t="s">
        <v>2045</v>
      </c>
      <c r="F127" s="12" t="s">
        <v>2046</v>
      </c>
      <c r="G127" s="12" t="s">
        <v>2047</v>
      </c>
      <c r="H127" s="12" t="s">
        <v>1606</v>
      </c>
      <c r="I127" s="12" t="s">
        <v>1420</v>
      </c>
      <c r="J127" s="12" t="s">
        <v>1420</v>
      </c>
      <c r="K127" s="12" t="s">
        <v>1420</v>
      </c>
      <c r="L127" s="12" t="s">
        <v>1420</v>
      </c>
      <c r="M127" s="12" t="s">
        <v>1420</v>
      </c>
      <c r="N127" s="12" t="s">
        <v>1420</v>
      </c>
      <c r="O127" s="12" t="s">
        <v>1420</v>
      </c>
      <c r="P127" s="12" t="s">
        <v>1414</v>
      </c>
      <c r="Q127" s="12" t="s">
        <v>1414</v>
      </c>
      <c r="R127" s="12" t="s">
        <v>1420</v>
      </c>
      <c r="S127" s="12" t="s">
        <v>1414</v>
      </c>
      <c r="T127" s="12" t="s">
        <v>1420</v>
      </c>
      <c r="U127" s="12" t="s">
        <v>1420</v>
      </c>
      <c r="V127" s="12" t="s">
        <v>1420</v>
      </c>
      <c r="W127" s="12" t="s">
        <v>1420</v>
      </c>
      <c r="X127" s="12" t="s">
        <v>1414</v>
      </c>
      <c r="Y127" s="12" t="s">
        <v>1420</v>
      </c>
      <c r="Z127" s="12" t="s">
        <v>1414</v>
      </c>
      <c r="AA127" s="12" t="s">
        <v>1420</v>
      </c>
      <c r="AB127" s="12" t="s">
        <v>1414</v>
      </c>
      <c r="AC127" s="12" t="s">
        <v>1414</v>
      </c>
      <c r="AD127" s="12" t="s">
        <v>1420</v>
      </c>
      <c r="AE127" s="12" t="s">
        <v>1414</v>
      </c>
      <c r="AF127" s="12" t="s">
        <v>1420</v>
      </c>
      <c r="AG127" s="12" t="s">
        <v>1420</v>
      </c>
    </row>
    <row r="128" spans="1:33" ht="14.4" x14ac:dyDescent="0.3">
      <c r="A128" s="12" t="s">
        <v>42</v>
      </c>
      <c r="B128" s="12" t="s">
        <v>475</v>
      </c>
      <c r="C128" s="12" t="s">
        <v>474</v>
      </c>
      <c r="D128" s="12" t="s">
        <v>1410</v>
      </c>
      <c r="E128" s="12" t="s">
        <v>1937</v>
      </c>
      <c r="F128" s="12" t="s">
        <v>1938</v>
      </c>
      <c r="G128" s="12" t="s">
        <v>1939</v>
      </c>
      <c r="H128" s="12" t="s">
        <v>1488</v>
      </c>
      <c r="I128" s="12" t="s">
        <v>1420</v>
      </c>
      <c r="J128" s="12" t="s">
        <v>1420</v>
      </c>
      <c r="K128" s="12" t="s">
        <v>1420</v>
      </c>
      <c r="L128" s="12" t="s">
        <v>1420</v>
      </c>
      <c r="M128" s="12" t="s">
        <v>1420</v>
      </c>
      <c r="N128" s="12" t="s">
        <v>1420</v>
      </c>
      <c r="O128" s="12" t="s">
        <v>1420</v>
      </c>
      <c r="P128" s="12" t="s">
        <v>1420</v>
      </c>
      <c r="Q128" s="12" t="s">
        <v>1420</v>
      </c>
      <c r="R128" s="12" t="s">
        <v>1420</v>
      </c>
      <c r="S128" s="12" t="s">
        <v>1414</v>
      </c>
      <c r="T128" s="12" t="s">
        <v>1420</v>
      </c>
      <c r="U128" s="12" t="s">
        <v>1420</v>
      </c>
      <c r="V128" s="12" t="s">
        <v>1414</v>
      </c>
      <c r="W128" s="12" t="s">
        <v>1420</v>
      </c>
      <c r="X128" s="12" t="s">
        <v>1420</v>
      </c>
      <c r="Y128" s="12" t="s">
        <v>1420</v>
      </c>
      <c r="Z128" s="12" t="s">
        <v>1420</v>
      </c>
      <c r="AA128" s="12" t="s">
        <v>1420</v>
      </c>
      <c r="AB128" s="12" t="s">
        <v>1420</v>
      </c>
      <c r="AC128" s="12" t="s">
        <v>1420</v>
      </c>
      <c r="AD128" s="12" t="s">
        <v>1414</v>
      </c>
      <c r="AE128" s="12" t="s">
        <v>1414</v>
      </c>
      <c r="AF128" s="12" t="s">
        <v>1420</v>
      </c>
      <c r="AG128" s="12" t="s">
        <v>1420</v>
      </c>
    </row>
    <row r="129" spans="1:33" ht="14.4" x14ac:dyDescent="0.3">
      <c r="A129" s="12" t="s">
        <v>8</v>
      </c>
      <c r="B129" s="12" t="s">
        <v>477</v>
      </c>
      <c r="C129" s="12" t="s">
        <v>476</v>
      </c>
      <c r="D129" s="12" t="s">
        <v>1410</v>
      </c>
      <c r="E129" s="12" t="s">
        <v>2031</v>
      </c>
      <c r="F129" s="12" t="s">
        <v>2033</v>
      </c>
      <c r="G129" s="12" t="s">
        <v>2034</v>
      </c>
      <c r="H129" s="12" t="s">
        <v>1452</v>
      </c>
      <c r="I129" s="12" t="s">
        <v>1420</v>
      </c>
      <c r="J129" s="12" t="s">
        <v>1420</v>
      </c>
      <c r="K129" s="12" t="s">
        <v>1420</v>
      </c>
      <c r="L129" s="12" t="s">
        <v>1420</v>
      </c>
      <c r="M129" s="12" t="s">
        <v>1420</v>
      </c>
      <c r="N129" s="12" t="s">
        <v>1420</v>
      </c>
      <c r="O129" s="12" t="s">
        <v>1420</v>
      </c>
      <c r="P129" s="12" t="s">
        <v>1420</v>
      </c>
      <c r="Q129" s="12" t="s">
        <v>1420</v>
      </c>
      <c r="R129" s="12" t="s">
        <v>1420</v>
      </c>
      <c r="S129" s="12" t="s">
        <v>1420</v>
      </c>
      <c r="T129" s="12" t="s">
        <v>1420</v>
      </c>
      <c r="U129" s="12" t="s">
        <v>1420</v>
      </c>
      <c r="V129" s="12" t="s">
        <v>1420</v>
      </c>
      <c r="W129" s="12" t="s">
        <v>1420</v>
      </c>
      <c r="X129" s="12" t="s">
        <v>1420</v>
      </c>
      <c r="Y129" s="12" t="s">
        <v>1420</v>
      </c>
      <c r="Z129" s="12" t="s">
        <v>1420</v>
      </c>
      <c r="AA129" s="12" t="s">
        <v>1420</v>
      </c>
      <c r="AB129" s="12" t="s">
        <v>1420</v>
      </c>
      <c r="AC129" s="12" t="s">
        <v>1420</v>
      </c>
      <c r="AD129" s="12" t="s">
        <v>1414</v>
      </c>
      <c r="AE129" s="12" t="s">
        <v>1420</v>
      </c>
      <c r="AF129" s="12" t="s">
        <v>1420</v>
      </c>
      <c r="AG129" s="12" t="s">
        <v>1420</v>
      </c>
    </row>
    <row r="130" spans="1:33" ht="14.4" x14ac:dyDescent="0.3">
      <c r="A130" s="12" t="s">
        <v>995</v>
      </c>
      <c r="B130" s="12" t="s">
        <v>1079</v>
      </c>
      <c r="C130" s="12" t="s">
        <v>1078</v>
      </c>
      <c r="D130" s="12" t="s">
        <v>1410</v>
      </c>
      <c r="E130" s="12" t="s">
        <v>3000</v>
      </c>
      <c r="F130" s="12" t="s">
        <v>3001</v>
      </c>
      <c r="G130" s="12" t="s">
        <v>3002</v>
      </c>
      <c r="H130" s="12" t="s">
        <v>1464</v>
      </c>
      <c r="I130" s="12" t="s">
        <v>1420</v>
      </c>
      <c r="J130" s="12" t="s">
        <v>1420</v>
      </c>
      <c r="K130" s="12" t="s">
        <v>1420</v>
      </c>
      <c r="L130" s="12" t="s">
        <v>1420</v>
      </c>
      <c r="M130" s="12" t="s">
        <v>1420</v>
      </c>
      <c r="N130" s="12" t="s">
        <v>1420</v>
      </c>
      <c r="O130" s="12" t="s">
        <v>1420</v>
      </c>
      <c r="P130" s="12" t="s">
        <v>1420</v>
      </c>
      <c r="Q130" s="12" t="s">
        <v>1420</v>
      </c>
      <c r="R130" s="12" t="s">
        <v>1420</v>
      </c>
      <c r="S130" s="12" t="s">
        <v>1420</v>
      </c>
      <c r="T130" s="12" t="s">
        <v>1420</v>
      </c>
      <c r="U130" s="12" t="s">
        <v>1420</v>
      </c>
      <c r="V130" s="12" t="s">
        <v>1420</v>
      </c>
      <c r="W130" s="12" t="s">
        <v>1420</v>
      </c>
      <c r="X130" s="12" t="s">
        <v>1420</v>
      </c>
      <c r="Y130" s="12" t="s">
        <v>1420</v>
      </c>
      <c r="Z130" s="12" t="s">
        <v>1420</v>
      </c>
      <c r="AA130" s="12" t="s">
        <v>1420</v>
      </c>
      <c r="AB130" s="12" t="s">
        <v>1420</v>
      </c>
      <c r="AC130" s="12" t="s">
        <v>1420</v>
      </c>
      <c r="AD130" s="12" t="s">
        <v>1420</v>
      </c>
      <c r="AE130" s="12" t="s">
        <v>1420</v>
      </c>
      <c r="AF130" s="12" t="s">
        <v>1420</v>
      </c>
      <c r="AG130" s="12" t="s">
        <v>1420</v>
      </c>
    </row>
    <row r="131" spans="1:33" ht="14.4" x14ac:dyDescent="0.3">
      <c r="A131" s="12" t="s">
        <v>8</v>
      </c>
      <c r="B131" s="12" t="s">
        <v>787</v>
      </c>
      <c r="C131" s="12" t="s">
        <v>786</v>
      </c>
      <c r="D131" s="12" t="s">
        <v>1410</v>
      </c>
      <c r="E131" s="12" t="s">
        <v>2241</v>
      </c>
      <c r="F131" s="12" t="s">
        <v>2245</v>
      </c>
      <c r="G131" s="12" t="s">
        <v>2246</v>
      </c>
      <c r="H131" s="12" t="s">
        <v>1424</v>
      </c>
      <c r="I131" s="12" t="s">
        <v>1420</v>
      </c>
      <c r="J131" s="12" t="s">
        <v>1420</v>
      </c>
      <c r="K131" s="12" t="s">
        <v>1420</v>
      </c>
      <c r="L131" s="12" t="s">
        <v>1420</v>
      </c>
      <c r="M131" s="12" t="s">
        <v>1420</v>
      </c>
      <c r="N131" s="12" t="s">
        <v>1414</v>
      </c>
      <c r="O131" s="12" t="s">
        <v>1420</v>
      </c>
      <c r="P131" s="12" t="s">
        <v>1420</v>
      </c>
      <c r="Q131" s="12" t="s">
        <v>1420</v>
      </c>
      <c r="R131" s="12" t="s">
        <v>1420</v>
      </c>
      <c r="S131" s="12" t="s">
        <v>1420</v>
      </c>
      <c r="T131" s="12" t="s">
        <v>1420</v>
      </c>
      <c r="U131" s="12" t="s">
        <v>1420</v>
      </c>
      <c r="V131" s="12" t="s">
        <v>1420</v>
      </c>
      <c r="W131" s="12" t="s">
        <v>1420</v>
      </c>
      <c r="X131" s="12" t="s">
        <v>1420</v>
      </c>
      <c r="Y131" s="12" t="s">
        <v>1420</v>
      </c>
      <c r="Z131" s="12" t="s">
        <v>1420</v>
      </c>
      <c r="AA131" s="12" t="s">
        <v>1420</v>
      </c>
      <c r="AB131" s="12" t="s">
        <v>1420</v>
      </c>
      <c r="AC131" s="12" t="s">
        <v>1420</v>
      </c>
      <c r="AD131" s="12" t="s">
        <v>1420</v>
      </c>
      <c r="AE131" s="12" t="s">
        <v>1414</v>
      </c>
      <c r="AF131" s="12" t="s">
        <v>1420</v>
      </c>
      <c r="AG131" s="12" t="s">
        <v>1414</v>
      </c>
    </row>
    <row r="132" spans="1:33" ht="14.4" x14ac:dyDescent="0.3">
      <c r="A132" s="12" t="s">
        <v>31</v>
      </c>
      <c r="B132" s="12" t="s">
        <v>57</v>
      </c>
      <c r="C132" s="12" t="s">
        <v>56</v>
      </c>
      <c r="D132" s="12" t="s">
        <v>1410</v>
      </c>
      <c r="E132" s="12" t="s">
        <v>2147</v>
      </c>
      <c r="F132" s="12" t="s">
        <v>2167</v>
      </c>
      <c r="G132" s="12" t="s">
        <v>2168</v>
      </c>
      <c r="H132" s="12" t="s">
        <v>1419</v>
      </c>
      <c r="I132" s="12" t="s">
        <v>1420</v>
      </c>
      <c r="J132" s="12" t="s">
        <v>1420</v>
      </c>
      <c r="K132" s="12" t="s">
        <v>1420</v>
      </c>
      <c r="L132" s="12" t="s">
        <v>1420</v>
      </c>
      <c r="M132" s="12" t="s">
        <v>1420</v>
      </c>
      <c r="N132" s="12" t="s">
        <v>1420</v>
      </c>
      <c r="O132" s="12" t="s">
        <v>1420</v>
      </c>
      <c r="P132" s="12" t="s">
        <v>1420</v>
      </c>
      <c r="Q132" s="12" t="s">
        <v>1414</v>
      </c>
      <c r="R132" s="12" t="s">
        <v>1420</v>
      </c>
      <c r="S132" s="12" t="s">
        <v>1414</v>
      </c>
      <c r="T132" s="12" t="s">
        <v>1420</v>
      </c>
      <c r="U132" s="12" t="s">
        <v>1420</v>
      </c>
      <c r="V132" s="12" t="s">
        <v>1420</v>
      </c>
      <c r="W132" s="12" t="s">
        <v>1420</v>
      </c>
      <c r="X132" s="12" t="s">
        <v>1420</v>
      </c>
      <c r="Y132" s="12" t="s">
        <v>1420</v>
      </c>
      <c r="Z132" s="12" t="s">
        <v>1420</v>
      </c>
      <c r="AA132" s="12" t="s">
        <v>1420</v>
      </c>
      <c r="AB132" s="12" t="s">
        <v>1420</v>
      </c>
      <c r="AC132" s="12" t="s">
        <v>1420</v>
      </c>
      <c r="AD132" s="12" t="s">
        <v>1420</v>
      </c>
      <c r="AE132" s="12" t="s">
        <v>1420</v>
      </c>
      <c r="AF132" s="12" t="s">
        <v>1420</v>
      </c>
      <c r="AG132" s="12" t="s">
        <v>1420</v>
      </c>
    </row>
    <row r="133" spans="1:33" ht="14.4" x14ac:dyDescent="0.3">
      <c r="A133" s="12" t="s">
        <v>42</v>
      </c>
      <c r="B133" s="12" t="s">
        <v>57</v>
      </c>
      <c r="C133" s="12" t="s">
        <v>788</v>
      </c>
      <c r="D133" s="12" t="s">
        <v>1410</v>
      </c>
      <c r="E133" s="12" t="s">
        <v>2217</v>
      </c>
      <c r="F133" s="12" t="s">
        <v>2218</v>
      </c>
      <c r="G133" s="12" t="s">
        <v>2219</v>
      </c>
      <c r="H133" s="12" t="s">
        <v>1488</v>
      </c>
      <c r="I133" s="12" t="s">
        <v>1420</v>
      </c>
      <c r="J133" s="12" t="s">
        <v>1414</v>
      </c>
      <c r="K133" s="12" t="s">
        <v>1414</v>
      </c>
      <c r="L133" s="12" t="s">
        <v>1420</v>
      </c>
      <c r="M133" s="12" t="s">
        <v>1420</v>
      </c>
      <c r="N133" s="12" t="s">
        <v>1414</v>
      </c>
      <c r="O133" s="12" t="s">
        <v>1420</v>
      </c>
      <c r="P133" s="12" t="s">
        <v>1420</v>
      </c>
      <c r="Q133" s="12" t="s">
        <v>1420</v>
      </c>
      <c r="R133" s="12" t="s">
        <v>1420</v>
      </c>
      <c r="S133" s="12" t="s">
        <v>1420</v>
      </c>
      <c r="T133" s="12" t="s">
        <v>1420</v>
      </c>
      <c r="U133" s="12" t="s">
        <v>1420</v>
      </c>
      <c r="V133" s="12" t="s">
        <v>1420</v>
      </c>
      <c r="W133" s="12" t="s">
        <v>1420</v>
      </c>
      <c r="X133" s="12" t="s">
        <v>1420</v>
      </c>
      <c r="Y133" s="12" t="s">
        <v>1420</v>
      </c>
      <c r="Z133" s="12" t="s">
        <v>1420</v>
      </c>
      <c r="AA133" s="12" t="s">
        <v>1420</v>
      </c>
      <c r="AB133" s="12" t="s">
        <v>1420</v>
      </c>
      <c r="AC133" s="12" t="s">
        <v>1420</v>
      </c>
      <c r="AD133" s="12" t="s">
        <v>1420</v>
      </c>
      <c r="AE133" s="12" t="s">
        <v>1414</v>
      </c>
      <c r="AF133" s="12" t="s">
        <v>1420</v>
      </c>
      <c r="AG133" s="12" t="s">
        <v>1420</v>
      </c>
    </row>
    <row r="134" spans="1:33" ht="14.4" x14ac:dyDescent="0.3">
      <c r="A134" s="12" t="s">
        <v>8</v>
      </c>
      <c r="B134" s="12" t="s">
        <v>57</v>
      </c>
      <c r="C134" s="12" t="s">
        <v>789</v>
      </c>
      <c r="D134" s="12" t="s">
        <v>1410</v>
      </c>
      <c r="E134" s="12" t="s">
        <v>2855</v>
      </c>
      <c r="F134" s="12" t="s">
        <v>2856</v>
      </c>
      <c r="G134" s="12" t="s">
        <v>2857</v>
      </c>
      <c r="H134" s="12" t="s">
        <v>1428</v>
      </c>
      <c r="I134" s="12" t="s">
        <v>1420</v>
      </c>
      <c r="J134" s="12" t="s">
        <v>1420</v>
      </c>
      <c r="K134" s="12" t="s">
        <v>1420</v>
      </c>
      <c r="L134" s="12" t="s">
        <v>1420</v>
      </c>
      <c r="M134" s="12" t="s">
        <v>1420</v>
      </c>
      <c r="N134" s="12" t="s">
        <v>1420</v>
      </c>
      <c r="O134" s="12" t="s">
        <v>1414</v>
      </c>
      <c r="P134" s="12" t="s">
        <v>1414</v>
      </c>
      <c r="Q134" s="12" t="s">
        <v>1420</v>
      </c>
      <c r="R134" s="12" t="s">
        <v>1420</v>
      </c>
      <c r="S134" s="12" t="s">
        <v>1414</v>
      </c>
      <c r="T134" s="12" t="s">
        <v>1420</v>
      </c>
      <c r="U134" s="12" t="s">
        <v>1420</v>
      </c>
      <c r="V134" s="12" t="s">
        <v>1420</v>
      </c>
      <c r="W134" s="12" t="s">
        <v>1420</v>
      </c>
      <c r="X134" s="12" t="s">
        <v>1420</v>
      </c>
      <c r="Y134" s="12" t="s">
        <v>1414</v>
      </c>
      <c r="Z134" s="12" t="s">
        <v>1420</v>
      </c>
      <c r="AA134" s="12" t="s">
        <v>1414</v>
      </c>
      <c r="AB134" s="12" t="s">
        <v>1420</v>
      </c>
      <c r="AC134" s="12" t="s">
        <v>1420</v>
      </c>
      <c r="AD134" s="12" t="s">
        <v>1420</v>
      </c>
      <c r="AE134" s="12" t="s">
        <v>1414</v>
      </c>
      <c r="AF134" s="12" t="s">
        <v>1414</v>
      </c>
      <c r="AG134" s="12" t="s">
        <v>1420</v>
      </c>
    </row>
    <row r="135" spans="1:33" ht="14.4" x14ac:dyDescent="0.3">
      <c r="A135" s="12" t="s">
        <v>8</v>
      </c>
      <c r="B135" s="12" t="s">
        <v>1302</v>
      </c>
      <c r="C135" s="12" t="s">
        <v>1301</v>
      </c>
      <c r="D135" s="12" t="s">
        <v>1410</v>
      </c>
      <c r="E135" s="12" t="s">
        <v>1947</v>
      </c>
      <c r="F135" s="12" t="s">
        <v>1977</v>
      </c>
      <c r="G135" s="12" t="s">
        <v>1413</v>
      </c>
      <c r="H135" s="12" t="s">
        <v>1419</v>
      </c>
      <c r="I135" s="12" t="s">
        <v>1420</v>
      </c>
      <c r="J135" s="12" t="s">
        <v>1420</v>
      </c>
      <c r="K135" s="12" t="s">
        <v>1420</v>
      </c>
      <c r="L135" s="12" t="s">
        <v>1420</v>
      </c>
      <c r="M135" s="12" t="s">
        <v>1420</v>
      </c>
      <c r="N135" s="12" t="s">
        <v>1414</v>
      </c>
      <c r="O135" s="12" t="s">
        <v>1414</v>
      </c>
      <c r="P135" s="12" t="s">
        <v>1420</v>
      </c>
      <c r="Q135" s="12" t="s">
        <v>1420</v>
      </c>
      <c r="R135" s="12" t="s">
        <v>1420</v>
      </c>
      <c r="S135" s="12" t="s">
        <v>1420</v>
      </c>
      <c r="T135" s="12" t="s">
        <v>1420</v>
      </c>
      <c r="U135" s="12" t="s">
        <v>1420</v>
      </c>
      <c r="V135" s="12" t="s">
        <v>1420</v>
      </c>
      <c r="W135" s="12" t="s">
        <v>1420</v>
      </c>
      <c r="X135" s="12" t="s">
        <v>1420</v>
      </c>
      <c r="Y135" s="12" t="s">
        <v>1420</v>
      </c>
      <c r="Z135" s="12" t="s">
        <v>1420</v>
      </c>
      <c r="AA135" s="12" t="s">
        <v>1420</v>
      </c>
      <c r="AB135" s="12" t="s">
        <v>1420</v>
      </c>
      <c r="AC135" s="12" t="s">
        <v>1420</v>
      </c>
      <c r="AD135" s="12" t="s">
        <v>1420</v>
      </c>
      <c r="AE135" s="12" t="s">
        <v>1420</v>
      </c>
      <c r="AF135" s="12" t="s">
        <v>1420</v>
      </c>
      <c r="AG135" s="12" t="s">
        <v>1420</v>
      </c>
    </row>
    <row r="136" spans="1:33" ht="14.4" x14ac:dyDescent="0.3">
      <c r="A136" s="12" t="s">
        <v>42</v>
      </c>
      <c r="B136" s="12" t="s">
        <v>1302</v>
      </c>
      <c r="C136" s="12" t="s">
        <v>1371</v>
      </c>
      <c r="D136" s="12" t="s">
        <v>1410</v>
      </c>
      <c r="E136" s="12" t="s">
        <v>1909</v>
      </c>
      <c r="F136" s="12" t="s">
        <v>1906</v>
      </c>
      <c r="G136" s="12" t="s">
        <v>1910</v>
      </c>
      <c r="H136" s="12" t="s">
        <v>1464</v>
      </c>
      <c r="I136" s="12" t="s">
        <v>1420</v>
      </c>
      <c r="J136" s="12" t="s">
        <v>1420</v>
      </c>
      <c r="K136" s="12" t="s">
        <v>1420</v>
      </c>
      <c r="L136" s="12" t="s">
        <v>1420</v>
      </c>
      <c r="M136" s="12" t="s">
        <v>1420</v>
      </c>
      <c r="N136" s="12" t="s">
        <v>1420</v>
      </c>
      <c r="O136" s="12" t="s">
        <v>1420</v>
      </c>
      <c r="P136" s="12" t="s">
        <v>1420</v>
      </c>
      <c r="Q136" s="12" t="s">
        <v>1420</v>
      </c>
      <c r="R136" s="12" t="s">
        <v>1420</v>
      </c>
      <c r="S136" s="12" t="s">
        <v>1420</v>
      </c>
      <c r="T136" s="12" t="s">
        <v>1420</v>
      </c>
      <c r="U136" s="12" t="s">
        <v>1420</v>
      </c>
      <c r="V136" s="12" t="s">
        <v>1420</v>
      </c>
      <c r="W136" s="12" t="s">
        <v>1420</v>
      </c>
      <c r="X136" s="12" t="s">
        <v>1420</v>
      </c>
      <c r="Y136" s="12" t="s">
        <v>1420</v>
      </c>
      <c r="Z136" s="12" t="s">
        <v>1420</v>
      </c>
      <c r="AA136" s="12" t="s">
        <v>1420</v>
      </c>
      <c r="AB136" s="12" t="s">
        <v>1420</v>
      </c>
      <c r="AC136" s="12" t="s">
        <v>1420</v>
      </c>
      <c r="AD136" s="12" t="s">
        <v>1420</v>
      </c>
      <c r="AE136" s="12" t="s">
        <v>1420</v>
      </c>
      <c r="AF136" s="12" t="s">
        <v>1420</v>
      </c>
      <c r="AG136" s="12" t="s">
        <v>1420</v>
      </c>
    </row>
    <row r="137" spans="1:33" ht="14.4" x14ac:dyDescent="0.3">
      <c r="A137" s="12" t="s">
        <v>8</v>
      </c>
      <c r="B137" s="12" t="s">
        <v>5541</v>
      </c>
      <c r="C137" s="12" t="s">
        <v>5542</v>
      </c>
      <c r="D137" s="12" t="s">
        <v>1410</v>
      </c>
      <c r="E137" s="12" t="s">
        <v>5543</v>
      </c>
      <c r="F137" s="12" t="s">
        <v>5544</v>
      </c>
      <c r="G137" s="12" t="s">
        <v>3390</v>
      </c>
      <c r="H137" s="12" t="s">
        <v>1428</v>
      </c>
      <c r="I137" s="12" t="s">
        <v>1420</v>
      </c>
      <c r="J137" s="12" t="s">
        <v>1414</v>
      </c>
      <c r="K137" s="12" t="s">
        <v>1420</v>
      </c>
      <c r="L137" s="12" t="s">
        <v>1420</v>
      </c>
      <c r="M137" s="12" t="s">
        <v>1420</v>
      </c>
      <c r="N137" s="12" t="s">
        <v>1414</v>
      </c>
      <c r="O137" s="12" t="s">
        <v>1414</v>
      </c>
      <c r="P137" s="12" t="s">
        <v>1420</v>
      </c>
      <c r="Q137" s="12" t="s">
        <v>1420</v>
      </c>
      <c r="R137" s="12" t="s">
        <v>1414</v>
      </c>
      <c r="S137" s="12" t="s">
        <v>1420</v>
      </c>
      <c r="T137" s="12" t="s">
        <v>1420</v>
      </c>
      <c r="U137" s="12" t="s">
        <v>1420</v>
      </c>
      <c r="V137" s="12" t="s">
        <v>1420</v>
      </c>
      <c r="W137" s="12" t="s">
        <v>1414</v>
      </c>
      <c r="X137" s="12" t="s">
        <v>1420</v>
      </c>
      <c r="Y137" s="12" t="s">
        <v>1420</v>
      </c>
      <c r="Z137" s="12" t="s">
        <v>1420</v>
      </c>
      <c r="AA137" s="12" t="s">
        <v>1420</v>
      </c>
      <c r="AB137" s="12" t="s">
        <v>1414</v>
      </c>
      <c r="AC137" s="12" t="s">
        <v>1420</v>
      </c>
      <c r="AD137" s="12" t="s">
        <v>1414</v>
      </c>
      <c r="AE137" s="12" t="s">
        <v>1420</v>
      </c>
      <c r="AF137" s="12" t="s">
        <v>1420</v>
      </c>
      <c r="AG137" s="12" t="s">
        <v>1420</v>
      </c>
    </row>
    <row r="138" spans="1:33" ht="14.4" x14ac:dyDescent="0.3">
      <c r="A138" s="12" t="s">
        <v>16</v>
      </c>
      <c r="B138" s="12" t="s">
        <v>1304</v>
      </c>
      <c r="C138" s="12" t="s">
        <v>1303</v>
      </c>
      <c r="D138" s="12" t="s">
        <v>1410</v>
      </c>
      <c r="E138" s="12" t="s">
        <v>1875</v>
      </c>
      <c r="F138" s="12" t="s">
        <v>1873</v>
      </c>
      <c r="G138" s="12" t="s">
        <v>1878</v>
      </c>
      <c r="H138" s="12" t="s">
        <v>1488</v>
      </c>
      <c r="I138" s="12" t="s">
        <v>1420</v>
      </c>
      <c r="J138" s="12" t="s">
        <v>1420</v>
      </c>
      <c r="K138" s="12" t="s">
        <v>1420</v>
      </c>
      <c r="L138" s="12" t="s">
        <v>1420</v>
      </c>
      <c r="M138" s="12" t="s">
        <v>1420</v>
      </c>
      <c r="N138" s="12" t="s">
        <v>1420</v>
      </c>
      <c r="O138" s="12" t="s">
        <v>1420</v>
      </c>
      <c r="P138" s="12" t="s">
        <v>1420</v>
      </c>
      <c r="Q138" s="12" t="s">
        <v>1414</v>
      </c>
      <c r="R138" s="12" t="s">
        <v>1420</v>
      </c>
      <c r="S138" s="12" t="s">
        <v>1420</v>
      </c>
      <c r="T138" s="12" t="s">
        <v>1420</v>
      </c>
      <c r="U138" s="12" t="s">
        <v>1420</v>
      </c>
      <c r="V138" s="12" t="s">
        <v>1420</v>
      </c>
      <c r="W138" s="12" t="s">
        <v>1414</v>
      </c>
      <c r="X138" s="12" t="s">
        <v>1420</v>
      </c>
      <c r="Y138" s="12" t="s">
        <v>1414</v>
      </c>
      <c r="Z138" s="12" t="s">
        <v>1420</v>
      </c>
      <c r="AA138" s="12" t="s">
        <v>1420</v>
      </c>
      <c r="AB138" s="12" t="s">
        <v>1420</v>
      </c>
      <c r="AC138" s="12" t="s">
        <v>1420</v>
      </c>
      <c r="AD138" s="12" t="s">
        <v>1414</v>
      </c>
      <c r="AE138" s="12" t="s">
        <v>1420</v>
      </c>
      <c r="AF138" s="12" t="s">
        <v>1420</v>
      </c>
      <c r="AG138" s="12" t="s">
        <v>1420</v>
      </c>
    </row>
    <row r="139" spans="1:33" ht="14.4" x14ac:dyDescent="0.3">
      <c r="A139" s="12" t="s">
        <v>8</v>
      </c>
      <c r="B139" s="12" t="s">
        <v>1304</v>
      </c>
      <c r="C139" s="12" t="s">
        <v>1305</v>
      </c>
      <c r="D139" s="12" t="s">
        <v>1410</v>
      </c>
      <c r="E139" s="12" t="s">
        <v>2056</v>
      </c>
      <c r="F139" s="12" t="s">
        <v>2057</v>
      </c>
      <c r="G139" s="12" t="s">
        <v>2058</v>
      </c>
      <c r="H139" s="12" t="s">
        <v>1419</v>
      </c>
      <c r="I139" s="12" t="s">
        <v>1414</v>
      </c>
      <c r="J139" s="12" t="s">
        <v>1420</v>
      </c>
      <c r="K139" s="12" t="s">
        <v>1420</v>
      </c>
      <c r="L139" s="12" t="s">
        <v>1420</v>
      </c>
      <c r="M139" s="12" t="s">
        <v>1420</v>
      </c>
      <c r="N139" s="12" t="s">
        <v>1420</v>
      </c>
      <c r="O139" s="12" t="s">
        <v>1420</v>
      </c>
      <c r="P139" s="12" t="s">
        <v>1420</v>
      </c>
      <c r="Q139" s="12" t="s">
        <v>1420</v>
      </c>
      <c r="R139" s="12" t="s">
        <v>1420</v>
      </c>
      <c r="S139" s="12" t="s">
        <v>1420</v>
      </c>
      <c r="T139" s="12" t="s">
        <v>1420</v>
      </c>
      <c r="U139" s="12" t="s">
        <v>1420</v>
      </c>
      <c r="V139" s="12" t="s">
        <v>1420</v>
      </c>
      <c r="W139" s="12" t="s">
        <v>1420</v>
      </c>
      <c r="X139" s="12" t="s">
        <v>1420</v>
      </c>
      <c r="Y139" s="12" t="s">
        <v>1420</v>
      </c>
      <c r="Z139" s="12" t="s">
        <v>1420</v>
      </c>
      <c r="AA139" s="12" t="s">
        <v>1420</v>
      </c>
      <c r="AB139" s="12" t="s">
        <v>1420</v>
      </c>
      <c r="AC139" s="12" t="s">
        <v>1420</v>
      </c>
      <c r="AD139" s="12" t="s">
        <v>1414</v>
      </c>
      <c r="AE139" s="12" t="s">
        <v>1420</v>
      </c>
      <c r="AF139" s="12" t="s">
        <v>1420</v>
      </c>
      <c r="AG139" s="12" t="s">
        <v>1420</v>
      </c>
    </row>
    <row r="140" spans="1:33" ht="14.4" x14ac:dyDescent="0.3">
      <c r="A140" s="12" t="s">
        <v>42</v>
      </c>
      <c r="B140" s="12" t="s">
        <v>479</v>
      </c>
      <c r="C140" s="12" t="s">
        <v>478</v>
      </c>
      <c r="D140" s="12" t="s">
        <v>1410</v>
      </c>
      <c r="E140" s="12" t="s">
        <v>2733</v>
      </c>
      <c r="F140" s="12" t="s">
        <v>2734</v>
      </c>
      <c r="G140" s="12" t="s">
        <v>2735</v>
      </c>
      <c r="H140" s="12" t="s">
        <v>1424</v>
      </c>
      <c r="I140" s="12" t="s">
        <v>1420</v>
      </c>
      <c r="J140" s="12" t="s">
        <v>1414</v>
      </c>
      <c r="K140" s="12" t="s">
        <v>1420</v>
      </c>
      <c r="L140" s="12" t="s">
        <v>1420</v>
      </c>
      <c r="M140" s="12" t="s">
        <v>1420</v>
      </c>
      <c r="N140" s="12" t="s">
        <v>1414</v>
      </c>
      <c r="O140" s="12" t="s">
        <v>1420</v>
      </c>
      <c r="P140" s="12" t="s">
        <v>1420</v>
      </c>
      <c r="Q140" s="12" t="s">
        <v>1420</v>
      </c>
      <c r="R140" s="12" t="s">
        <v>1414</v>
      </c>
      <c r="S140" s="12" t="s">
        <v>1420</v>
      </c>
      <c r="T140" s="12" t="s">
        <v>1420</v>
      </c>
      <c r="U140" s="12" t="s">
        <v>1420</v>
      </c>
      <c r="V140" s="12" t="s">
        <v>1420</v>
      </c>
      <c r="W140" s="12" t="s">
        <v>1420</v>
      </c>
      <c r="X140" s="12" t="s">
        <v>1420</v>
      </c>
      <c r="Y140" s="12" t="s">
        <v>1420</v>
      </c>
      <c r="Z140" s="12" t="s">
        <v>1420</v>
      </c>
      <c r="AA140" s="12" t="s">
        <v>1420</v>
      </c>
      <c r="AB140" s="12" t="s">
        <v>1420</v>
      </c>
      <c r="AC140" s="12" t="s">
        <v>1420</v>
      </c>
      <c r="AD140" s="12" t="s">
        <v>1420</v>
      </c>
      <c r="AE140" s="12" t="s">
        <v>1420</v>
      </c>
      <c r="AF140" s="12" t="s">
        <v>1420</v>
      </c>
      <c r="AG140" s="12" t="s">
        <v>1420</v>
      </c>
    </row>
    <row r="141" spans="1:33" ht="14.4" x14ac:dyDescent="0.3">
      <c r="A141" s="12" t="s">
        <v>49</v>
      </c>
      <c r="B141" s="12" t="s">
        <v>1081</v>
      </c>
      <c r="C141" s="12" t="s">
        <v>1080</v>
      </c>
      <c r="D141" s="12" t="s">
        <v>1410</v>
      </c>
      <c r="E141" s="12" t="s">
        <v>2442</v>
      </c>
      <c r="F141" s="12" t="s">
        <v>2449</v>
      </c>
      <c r="G141" s="12" t="s">
        <v>1413</v>
      </c>
      <c r="H141" s="12" t="s">
        <v>1428</v>
      </c>
      <c r="I141" s="12" t="s">
        <v>1420</v>
      </c>
      <c r="J141" s="12" t="s">
        <v>1420</v>
      </c>
      <c r="K141" s="12" t="s">
        <v>1420</v>
      </c>
      <c r="L141" s="12" t="s">
        <v>1420</v>
      </c>
      <c r="M141" s="12" t="s">
        <v>1420</v>
      </c>
      <c r="N141" s="12" t="s">
        <v>1420</v>
      </c>
      <c r="O141" s="12" t="s">
        <v>1420</v>
      </c>
      <c r="P141" s="12" t="s">
        <v>1414</v>
      </c>
      <c r="Q141" s="12" t="s">
        <v>1420</v>
      </c>
      <c r="R141" s="12" t="s">
        <v>1420</v>
      </c>
      <c r="S141" s="12" t="s">
        <v>1414</v>
      </c>
      <c r="T141" s="12" t="s">
        <v>1420</v>
      </c>
      <c r="U141" s="12" t="s">
        <v>1420</v>
      </c>
      <c r="V141" s="12" t="s">
        <v>1420</v>
      </c>
      <c r="W141" s="12" t="s">
        <v>1420</v>
      </c>
      <c r="X141" s="12" t="s">
        <v>1414</v>
      </c>
      <c r="Y141" s="12" t="s">
        <v>1414</v>
      </c>
      <c r="Z141" s="12" t="s">
        <v>1420</v>
      </c>
      <c r="AA141" s="12" t="s">
        <v>1420</v>
      </c>
      <c r="AB141" s="12" t="s">
        <v>1414</v>
      </c>
      <c r="AC141" s="12" t="s">
        <v>1420</v>
      </c>
      <c r="AD141" s="12" t="s">
        <v>1414</v>
      </c>
      <c r="AE141" s="12" t="s">
        <v>1420</v>
      </c>
      <c r="AF141" s="12" t="s">
        <v>1414</v>
      </c>
      <c r="AG141" s="12" t="s">
        <v>1420</v>
      </c>
    </row>
    <row r="142" spans="1:33" ht="14.4" x14ac:dyDescent="0.3">
      <c r="A142" s="12" t="s">
        <v>49</v>
      </c>
      <c r="B142" s="12" t="s">
        <v>1081</v>
      </c>
      <c r="C142" s="12" t="s">
        <v>1080</v>
      </c>
      <c r="D142" s="12" t="s">
        <v>1410</v>
      </c>
      <c r="E142" s="12" t="s">
        <v>3019</v>
      </c>
      <c r="F142" s="12" t="s">
        <v>3020</v>
      </c>
      <c r="G142" s="12" t="s">
        <v>3021</v>
      </c>
      <c r="H142" s="12" t="s">
        <v>1419</v>
      </c>
      <c r="I142" s="12" t="s">
        <v>1420</v>
      </c>
      <c r="J142" s="12" t="s">
        <v>1420</v>
      </c>
      <c r="K142" s="12" t="s">
        <v>1420</v>
      </c>
      <c r="L142" s="12" t="s">
        <v>1420</v>
      </c>
      <c r="M142" s="12" t="s">
        <v>1420</v>
      </c>
      <c r="N142" s="12" t="s">
        <v>1420</v>
      </c>
      <c r="O142" s="12" t="s">
        <v>1420</v>
      </c>
      <c r="P142" s="12" t="s">
        <v>1420</v>
      </c>
      <c r="Q142" s="12" t="s">
        <v>1420</v>
      </c>
      <c r="R142" s="12" t="s">
        <v>1420</v>
      </c>
      <c r="S142" s="12" t="s">
        <v>1414</v>
      </c>
      <c r="T142" s="12" t="s">
        <v>1420</v>
      </c>
      <c r="U142" s="12" t="s">
        <v>1420</v>
      </c>
      <c r="V142" s="12" t="s">
        <v>1420</v>
      </c>
      <c r="W142" s="12" t="s">
        <v>1420</v>
      </c>
      <c r="X142" s="12" t="s">
        <v>1414</v>
      </c>
      <c r="Y142" s="12" t="s">
        <v>1420</v>
      </c>
      <c r="Z142" s="12" t="s">
        <v>1420</v>
      </c>
      <c r="AA142" s="12" t="s">
        <v>1420</v>
      </c>
      <c r="AB142" s="12" t="s">
        <v>1420</v>
      </c>
      <c r="AC142" s="12" t="s">
        <v>1420</v>
      </c>
      <c r="AD142" s="12" t="s">
        <v>1420</v>
      </c>
      <c r="AE142" s="12" t="s">
        <v>1420</v>
      </c>
      <c r="AF142" s="12" t="s">
        <v>1420</v>
      </c>
      <c r="AG142" s="12" t="s">
        <v>1420</v>
      </c>
    </row>
    <row r="143" spans="1:33" ht="14.4" x14ac:dyDescent="0.3">
      <c r="A143" s="12" t="s">
        <v>25</v>
      </c>
      <c r="B143" s="12" t="s">
        <v>1044</v>
      </c>
      <c r="C143" s="12" t="s">
        <v>1043</v>
      </c>
      <c r="D143" s="12" t="s">
        <v>1410</v>
      </c>
      <c r="E143" s="12" t="s">
        <v>2759</v>
      </c>
      <c r="F143" s="12" t="s">
        <v>2760</v>
      </c>
      <c r="G143" s="12" t="s">
        <v>2761</v>
      </c>
      <c r="H143" s="12" t="s">
        <v>1452</v>
      </c>
      <c r="I143" s="12" t="s">
        <v>1420</v>
      </c>
      <c r="J143" s="12" t="s">
        <v>1420</v>
      </c>
      <c r="K143" s="12" t="s">
        <v>1420</v>
      </c>
      <c r="L143" s="12" t="s">
        <v>1420</v>
      </c>
      <c r="M143" s="12" t="s">
        <v>1420</v>
      </c>
      <c r="N143" s="12" t="s">
        <v>1420</v>
      </c>
      <c r="O143" s="12" t="s">
        <v>1420</v>
      </c>
      <c r="P143" s="12" t="s">
        <v>1420</v>
      </c>
      <c r="Q143" s="12" t="s">
        <v>1420</v>
      </c>
      <c r="R143" s="12" t="s">
        <v>1420</v>
      </c>
      <c r="S143" s="12" t="s">
        <v>1420</v>
      </c>
      <c r="T143" s="12" t="s">
        <v>1420</v>
      </c>
      <c r="U143" s="12" t="s">
        <v>1420</v>
      </c>
      <c r="V143" s="12" t="s">
        <v>1420</v>
      </c>
      <c r="W143" s="12" t="s">
        <v>1420</v>
      </c>
      <c r="X143" s="12" t="s">
        <v>1414</v>
      </c>
      <c r="Y143" s="12" t="s">
        <v>1420</v>
      </c>
      <c r="Z143" s="12" t="s">
        <v>1420</v>
      </c>
      <c r="AA143" s="12" t="s">
        <v>1420</v>
      </c>
      <c r="AB143" s="12" t="s">
        <v>1420</v>
      </c>
      <c r="AC143" s="12" t="s">
        <v>1420</v>
      </c>
      <c r="AD143" s="12" t="s">
        <v>1420</v>
      </c>
      <c r="AE143" s="12" t="s">
        <v>1420</v>
      </c>
      <c r="AF143" s="12" t="s">
        <v>1420</v>
      </c>
      <c r="AG143" s="12" t="s">
        <v>1420</v>
      </c>
    </row>
    <row r="144" spans="1:33" ht="14.4" x14ac:dyDescent="0.3">
      <c r="A144" s="12" t="s">
        <v>55</v>
      </c>
      <c r="B144" s="12" t="s">
        <v>481</v>
      </c>
      <c r="C144" s="12" t="s">
        <v>480</v>
      </c>
      <c r="D144" s="12" t="s">
        <v>1410</v>
      </c>
      <c r="E144" s="12" t="s">
        <v>1903</v>
      </c>
      <c r="F144" s="12" t="s">
        <v>1904</v>
      </c>
      <c r="G144" s="12" t="s">
        <v>1905</v>
      </c>
      <c r="H144" s="12" t="s">
        <v>1424</v>
      </c>
      <c r="I144" s="12" t="s">
        <v>1420</v>
      </c>
      <c r="J144" s="12" t="s">
        <v>1420</v>
      </c>
      <c r="K144" s="12" t="s">
        <v>1420</v>
      </c>
      <c r="L144" s="12" t="s">
        <v>1420</v>
      </c>
      <c r="M144" s="12" t="s">
        <v>1420</v>
      </c>
      <c r="N144" s="12" t="s">
        <v>1420</v>
      </c>
      <c r="O144" s="12" t="s">
        <v>1414</v>
      </c>
      <c r="P144" s="12" t="s">
        <v>1414</v>
      </c>
      <c r="Q144" s="12" t="s">
        <v>1420</v>
      </c>
      <c r="R144" s="12" t="s">
        <v>1420</v>
      </c>
      <c r="S144" s="12" t="s">
        <v>1420</v>
      </c>
      <c r="T144" s="12" t="s">
        <v>1420</v>
      </c>
      <c r="U144" s="12" t="s">
        <v>1420</v>
      </c>
      <c r="V144" s="12" t="s">
        <v>1420</v>
      </c>
      <c r="W144" s="12" t="s">
        <v>1420</v>
      </c>
      <c r="X144" s="12" t="s">
        <v>1414</v>
      </c>
      <c r="Y144" s="12" t="s">
        <v>1420</v>
      </c>
      <c r="Z144" s="12" t="s">
        <v>1420</v>
      </c>
      <c r="AA144" s="12" t="s">
        <v>1420</v>
      </c>
      <c r="AB144" s="12" t="s">
        <v>1420</v>
      </c>
      <c r="AC144" s="12" t="s">
        <v>1420</v>
      </c>
      <c r="AD144" s="12" t="s">
        <v>1420</v>
      </c>
      <c r="AE144" s="12" t="s">
        <v>1420</v>
      </c>
      <c r="AF144" s="12" t="s">
        <v>1420</v>
      </c>
      <c r="AG144" s="12" t="s">
        <v>1420</v>
      </c>
    </row>
    <row r="145" spans="1:33" ht="14.4" x14ac:dyDescent="0.3">
      <c r="A145" s="12" t="s">
        <v>25</v>
      </c>
      <c r="B145" s="12" t="s">
        <v>5545</v>
      </c>
      <c r="C145" s="12" t="s">
        <v>5546</v>
      </c>
      <c r="D145" s="12" t="s">
        <v>1410</v>
      </c>
      <c r="E145" s="12" t="s">
        <v>5547</v>
      </c>
      <c r="F145" s="12" t="s">
        <v>5548</v>
      </c>
      <c r="G145" s="12" t="s">
        <v>2254</v>
      </c>
      <c r="H145" s="12" t="s">
        <v>1908</v>
      </c>
      <c r="I145" s="12" t="s">
        <v>1420</v>
      </c>
      <c r="J145" s="12" t="s">
        <v>1420</v>
      </c>
      <c r="K145" s="12" t="s">
        <v>1420</v>
      </c>
      <c r="L145" s="12" t="s">
        <v>1420</v>
      </c>
      <c r="M145" s="12" t="s">
        <v>1420</v>
      </c>
      <c r="N145" s="12" t="s">
        <v>1414</v>
      </c>
      <c r="O145" s="12" t="s">
        <v>1420</v>
      </c>
      <c r="P145" s="12" t="s">
        <v>1420</v>
      </c>
      <c r="Q145" s="12" t="s">
        <v>1420</v>
      </c>
      <c r="R145" s="12" t="s">
        <v>1420</v>
      </c>
      <c r="S145" s="12" t="s">
        <v>1414</v>
      </c>
      <c r="T145" s="12" t="s">
        <v>1414</v>
      </c>
      <c r="U145" s="12" t="s">
        <v>1420</v>
      </c>
      <c r="V145" s="12" t="s">
        <v>1420</v>
      </c>
      <c r="W145" s="12" t="s">
        <v>1420</v>
      </c>
      <c r="X145" s="12" t="s">
        <v>1420</v>
      </c>
      <c r="Y145" s="12" t="s">
        <v>1414</v>
      </c>
      <c r="Z145" s="12" t="s">
        <v>1420</v>
      </c>
      <c r="AA145" s="12" t="s">
        <v>1420</v>
      </c>
      <c r="AB145" s="12" t="s">
        <v>1420</v>
      </c>
      <c r="AC145" s="12" t="s">
        <v>1414</v>
      </c>
      <c r="AD145" s="12" t="s">
        <v>1414</v>
      </c>
      <c r="AE145" s="12" t="s">
        <v>1414</v>
      </c>
      <c r="AF145" s="12" t="s">
        <v>1414</v>
      </c>
      <c r="AG145" s="12" t="s">
        <v>1414</v>
      </c>
    </row>
    <row r="146" spans="1:33" ht="14.4" x14ac:dyDescent="0.3">
      <c r="A146" s="12" t="s">
        <v>31</v>
      </c>
      <c r="B146" s="12" t="s">
        <v>791</v>
      </c>
      <c r="C146" s="12" t="s">
        <v>790</v>
      </c>
      <c r="D146" s="12" t="s">
        <v>1410</v>
      </c>
      <c r="E146" s="12" t="s">
        <v>2252</v>
      </c>
      <c r="F146" s="12" t="s">
        <v>2253</v>
      </c>
      <c r="G146" s="12" t="s">
        <v>2254</v>
      </c>
      <c r="H146" s="12" t="s">
        <v>1452</v>
      </c>
      <c r="I146" s="12" t="s">
        <v>1420</v>
      </c>
      <c r="J146" s="12" t="s">
        <v>1420</v>
      </c>
      <c r="K146" s="12" t="s">
        <v>1420</v>
      </c>
      <c r="L146" s="12" t="s">
        <v>1420</v>
      </c>
      <c r="M146" s="12" t="s">
        <v>1420</v>
      </c>
      <c r="N146" s="12" t="s">
        <v>1420</v>
      </c>
      <c r="O146" s="12" t="s">
        <v>1420</v>
      </c>
      <c r="P146" s="12" t="s">
        <v>1420</v>
      </c>
      <c r="Q146" s="12" t="s">
        <v>1420</v>
      </c>
      <c r="R146" s="12" t="s">
        <v>1420</v>
      </c>
      <c r="S146" s="12" t="s">
        <v>1420</v>
      </c>
      <c r="T146" s="12" t="s">
        <v>1420</v>
      </c>
      <c r="U146" s="12" t="s">
        <v>1420</v>
      </c>
      <c r="V146" s="12" t="s">
        <v>1420</v>
      </c>
      <c r="W146" s="12" t="s">
        <v>1420</v>
      </c>
      <c r="X146" s="12" t="s">
        <v>1420</v>
      </c>
      <c r="Y146" s="12" t="s">
        <v>1420</v>
      </c>
      <c r="Z146" s="12" t="s">
        <v>1420</v>
      </c>
      <c r="AA146" s="12" t="s">
        <v>1420</v>
      </c>
      <c r="AB146" s="12" t="s">
        <v>1420</v>
      </c>
      <c r="AC146" s="12" t="s">
        <v>1420</v>
      </c>
      <c r="AD146" s="12" t="s">
        <v>1420</v>
      </c>
      <c r="AE146" s="12" t="s">
        <v>1414</v>
      </c>
      <c r="AF146" s="12" t="s">
        <v>1420</v>
      </c>
      <c r="AG146" s="12" t="s">
        <v>1420</v>
      </c>
    </row>
    <row r="147" spans="1:33" ht="14.4" x14ac:dyDescent="0.3">
      <c r="A147" s="12" t="s">
        <v>31</v>
      </c>
      <c r="B147" s="12" t="s">
        <v>5549</v>
      </c>
      <c r="C147" s="12" t="s">
        <v>5550</v>
      </c>
      <c r="D147" s="12" t="s">
        <v>1410</v>
      </c>
      <c r="E147" s="12" t="s">
        <v>5551</v>
      </c>
      <c r="F147" s="12" t="s">
        <v>5552</v>
      </c>
      <c r="G147" s="12" t="s">
        <v>4077</v>
      </c>
      <c r="H147" s="12" t="s">
        <v>1424</v>
      </c>
      <c r="I147" s="12" t="s">
        <v>1420</v>
      </c>
      <c r="J147" s="12" t="s">
        <v>1420</v>
      </c>
      <c r="K147" s="12" t="s">
        <v>1420</v>
      </c>
      <c r="L147" s="12" t="s">
        <v>1420</v>
      </c>
      <c r="M147" s="12" t="s">
        <v>1420</v>
      </c>
      <c r="N147" s="12" t="s">
        <v>1420</v>
      </c>
      <c r="O147" s="12" t="s">
        <v>1420</v>
      </c>
      <c r="P147" s="12" t="s">
        <v>1420</v>
      </c>
      <c r="Q147" s="12" t="s">
        <v>1420</v>
      </c>
      <c r="R147" s="12" t="s">
        <v>1420</v>
      </c>
      <c r="S147" s="12" t="s">
        <v>1420</v>
      </c>
      <c r="T147" s="12" t="s">
        <v>1420</v>
      </c>
      <c r="U147" s="12" t="s">
        <v>1420</v>
      </c>
      <c r="V147" s="12" t="s">
        <v>1420</v>
      </c>
      <c r="W147" s="12" t="s">
        <v>1420</v>
      </c>
      <c r="X147" s="12" t="s">
        <v>1414</v>
      </c>
      <c r="Y147" s="12" t="s">
        <v>1420</v>
      </c>
      <c r="Z147" s="12" t="s">
        <v>1420</v>
      </c>
      <c r="AA147" s="12" t="s">
        <v>1420</v>
      </c>
      <c r="AB147" s="12" t="s">
        <v>1420</v>
      </c>
      <c r="AC147" s="12" t="s">
        <v>1420</v>
      </c>
      <c r="AD147" s="12" t="s">
        <v>1414</v>
      </c>
      <c r="AE147" s="12" t="s">
        <v>1414</v>
      </c>
      <c r="AF147" s="12" t="s">
        <v>1420</v>
      </c>
      <c r="AG147" s="12" t="s">
        <v>1420</v>
      </c>
    </row>
    <row r="148" spans="1:33" ht="14.4" x14ac:dyDescent="0.3">
      <c r="A148" s="12" t="s">
        <v>794</v>
      </c>
      <c r="B148" s="12" t="s">
        <v>793</v>
      </c>
      <c r="C148" s="12" t="s">
        <v>792</v>
      </c>
      <c r="D148" s="12" t="s">
        <v>1410</v>
      </c>
      <c r="E148" s="12" t="s">
        <v>2578</v>
      </c>
      <c r="F148" s="12" t="s">
        <v>2583</v>
      </c>
      <c r="G148" s="12" t="s">
        <v>2102</v>
      </c>
      <c r="H148" s="12" t="s">
        <v>1419</v>
      </c>
      <c r="I148" s="12" t="s">
        <v>1420</v>
      </c>
      <c r="J148" s="12" t="s">
        <v>1420</v>
      </c>
      <c r="K148" s="12" t="s">
        <v>1420</v>
      </c>
      <c r="L148" s="12" t="s">
        <v>1420</v>
      </c>
      <c r="M148" s="12" t="s">
        <v>1420</v>
      </c>
      <c r="N148" s="12" t="s">
        <v>1414</v>
      </c>
      <c r="O148" s="12" t="s">
        <v>1420</v>
      </c>
      <c r="P148" s="12" t="s">
        <v>1420</v>
      </c>
      <c r="Q148" s="12" t="s">
        <v>1420</v>
      </c>
      <c r="R148" s="12" t="s">
        <v>1420</v>
      </c>
      <c r="S148" s="12" t="s">
        <v>1420</v>
      </c>
      <c r="T148" s="12" t="s">
        <v>1420</v>
      </c>
      <c r="U148" s="12" t="s">
        <v>1420</v>
      </c>
      <c r="V148" s="12" t="s">
        <v>1420</v>
      </c>
      <c r="W148" s="12" t="s">
        <v>1420</v>
      </c>
      <c r="X148" s="12" t="s">
        <v>1420</v>
      </c>
      <c r="Y148" s="12" t="s">
        <v>1420</v>
      </c>
      <c r="Z148" s="12" t="s">
        <v>1420</v>
      </c>
      <c r="AA148" s="12" t="s">
        <v>1420</v>
      </c>
      <c r="AB148" s="12" t="s">
        <v>1420</v>
      </c>
      <c r="AC148" s="12" t="s">
        <v>1420</v>
      </c>
      <c r="AD148" s="12" t="s">
        <v>1414</v>
      </c>
      <c r="AE148" s="12" t="s">
        <v>1420</v>
      </c>
      <c r="AF148" s="12" t="s">
        <v>1420</v>
      </c>
      <c r="AG148" s="12" t="s">
        <v>1420</v>
      </c>
    </row>
    <row r="149" spans="1:33" ht="14.4" x14ac:dyDescent="0.3">
      <c r="A149" s="12" t="s">
        <v>8</v>
      </c>
      <c r="B149" s="12" t="s">
        <v>5553</v>
      </c>
      <c r="C149" s="12" t="s">
        <v>5554</v>
      </c>
      <c r="D149" s="12" t="s">
        <v>1410</v>
      </c>
      <c r="E149" s="12" t="s">
        <v>5555</v>
      </c>
      <c r="F149" s="12" t="s">
        <v>5556</v>
      </c>
      <c r="G149" s="12" t="s">
        <v>5557</v>
      </c>
      <c r="H149" s="12" t="s">
        <v>1419</v>
      </c>
      <c r="I149" s="12" t="s">
        <v>1420</v>
      </c>
      <c r="J149" s="12" t="s">
        <v>1420</v>
      </c>
      <c r="K149" s="12" t="s">
        <v>1420</v>
      </c>
      <c r="L149" s="12" t="s">
        <v>1420</v>
      </c>
      <c r="M149" s="12" t="s">
        <v>1420</v>
      </c>
      <c r="N149" s="12" t="s">
        <v>1420</v>
      </c>
      <c r="O149" s="12" t="s">
        <v>1414</v>
      </c>
      <c r="P149" s="12" t="s">
        <v>1420</v>
      </c>
      <c r="Q149" s="12" t="s">
        <v>1420</v>
      </c>
      <c r="R149" s="12" t="s">
        <v>1420</v>
      </c>
      <c r="S149" s="12" t="s">
        <v>1420</v>
      </c>
      <c r="T149" s="12" t="s">
        <v>1420</v>
      </c>
      <c r="U149" s="12" t="s">
        <v>1420</v>
      </c>
      <c r="V149" s="12" t="s">
        <v>1420</v>
      </c>
      <c r="W149" s="12" t="s">
        <v>1420</v>
      </c>
      <c r="X149" s="12" t="s">
        <v>1420</v>
      </c>
      <c r="Y149" s="12" t="s">
        <v>1420</v>
      </c>
      <c r="Z149" s="12" t="s">
        <v>1414</v>
      </c>
      <c r="AA149" s="12" t="s">
        <v>1420</v>
      </c>
      <c r="AB149" s="12" t="s">
        <v>1420</v>
      </c>
      <c r="AC149" s="12" t="s">
        <v>1420</v>
      </c>
      <c r="AD149" s="12" t="s">
        <v>1420</v>
      </c>
      <c r="AE149" s="12" t="s">
        <v>1420</v>
      </c>
      <c r="AF149" s="12" t="s">
        <v>1420</v>
      </c>
      <c r="AG149" s="12" t="s">
        <v>1420</v>
      </c>
    </row>
    <row r="150" spans="1:33" ht="14.4" x14ac:dyDescent="0.3">
      <c r="A150" s="12" t="s">
        <v>11</v>
      </c>
      <c r="B150" s="12" t="s">
        <v>483</v>
      </c>
      <c r="C150" s="12" t="s">
        <v>482</v>
      </c>
      <c r="D150" s="12" t="s">
        <v>1410</v>
      </c>
      <c r="E150" s="12" t="s">
        <v>1510</v>
      </c>
      <c r="F150" s="12" t="s">
        <v>1511</v>
      </c>
      <c r="G150" s="12" t="s">
        <v>1512</v>
      </c>
      <c r="H150" s="12" t="s">
        <v>1452</v>
      </c>
      <c r="I150" s="12" t="s">
        <v>1420</v>
      </c>
      <c r="J150" s="12" t="s">
        <v>1420</v>
      </c>
      <c r="K150" s="12" t="s">
        <v>1420</v>
      </c>
      <c r="L150" s="12" t="s">
        <v>1420</v>
      </c>
      <c r="M150" s="12" t="s">
        <v>1420</v>
      </c>
      <c r="N150" s="12" t="s">
        <v>1420</v>
      </c>
      <c r="O150" s="12" t="s">
        <v>1414</v>
      </c>
      <c r="P150" s="12" t="s">
        <v>1420</v>
      </c>
      <c r="Q150" s="12" t="s">
        <v>1420</v>
      </c>
      <c r="R150" s="12" t="s">
        <v>1420</v>
      </c>
      <c r="S150" s="12" t="s">
        <v>1420</v>
      </c>
      <c r="T150" s="12" t="s">
        <v>1420</v>
      </c>
      <c r="U150" s="12" t="s">
        <v>1420</v>
      </c>
      <c r="V150" s="12" t="s">
        <v>1420</v>
      </c>
      <c r="W150" s="12" t="s">
        <v>1420</v>
      </c>
      <c r="X150" s="12" t="s">
        <v>1420</v>
      </c>
      <c r="Y150" s="12" t="s">
        <v>1420</v>
      </c>
      <c r="Z150" s="12" t="s">
        <v>1420</v>
      </c>
      <c r="AA150" s="12" t="s">
        <v>1420</v>
      </c>
      <c r="AB150" s="12" t="s">
        <v>1420</v>
      </c>
      <c r="AC150" s="12" t="s">
        <v>1420</v>
      </c>
      <c r="AD150" s="12" t="s">
        <v>1420</v>
      </c>
      <c r="AE150" s="12" t="s">
        <v>1420</v>
      </c>
      <c r="AF150" s="12" t="s">
        <v>1420</v>
      </c>
      <c r="AG150" s="12" t="s">
        <v>1420</v>
      </c>
    </row>
    <row r="151" spans="1:33" ht="14.4" x14ac:dyDescent="0.3">
      <c r="A151" s="12" t="s">
        <v>1307</v>
      </c>
      <c r="B151" s="12" t="s">
        <v>483</v>
      </c>
      <c r="C151" s="12" t="s">
        <v>1306</v>
      </c>
      <c r="D151" s="12" t="s">
        <v>1410</v>
      </c>
      <c r="E151" s="12" t="s">
        <v>1891</v>
      </c>
      <c r="F151" s="12" t="s">
        <v>1892</v>
      </c>
      <c r="G151" s="12" t="s">
        <v>1893</v>
      </c>
      <c r="H151" s="12" t="s">
        <v>1452</v>
      </c>
      <c r="I151" s="12" t="s">
        <v>1420</v>
      </c>
      <c r="J151" s="12" t="s">
        <v>1420</v>
      </c>
      <c r="K151" s="12" t="s">
        <v>1420</v>
      </c>
      <c r="L151" s="12" t="s">
        <v>1420</v>
      </c>
      <c r="M151" s="12" t="s">
        <v>1420</v>
      </c>
      <c r="N151" s="12" t="s">
        <v>1420</v>
      </c>
      <c r="O151" s="12" t="s">
        <v>1420</v>
      </c>
      <c r="P151" s="12" t="s">
        <v>1414</v>
      </c>
      <c r="Q151" s="12" t="s">
        <v>1420</v>
      </c>
      <c r="R151" s="12" t="s">
        <v>1420</v>
      </c>
      <c r="S151" s="12" t="s">
        <v>1420</v>
      </c>
      <c r="T151" s="12" t="s">
        <v>1420</v>
      </c>
      <c r="U151" s="12" t="s">
        <v>1420</v>
      </c>
      <c r="V151" s="12" t="s">
        <v>1420</v>
      </c>
      <c r="W151" s="12" t="s">
        <v>1420</v>
      </c>
      <c r="X151" s="12" t="s">
        <v>1420</v>
      </c>
      <c r="Y151" s="12" t="s">
        <v>1420</v>
      </c>
      <c r="Z151" s="12" t="s">
        <v>1420</v>
      </c>
      <c r="AA151" s="12" t="s">
        <v>1420</v>
      </c>
      <c r="AB151" s="12" t="s">
        <v>1420</v>
      </c>
      <c r="AC151" s="12" t="s">
        <v>1420</v>
      </c>
      <c r="AD151" s="12" t="s">
        <v>1420</v>
      </c>
      <c r="AE151" s="12" t="s">
        <v>1420</v>
      </c>
      <c r="AF151" s="12" t="s">
        <v>1420</v>
      </c>
      <c r="AG151" s="12" t="s">
        <v>1420</v>
      </c>
    </row>
    <row r="152" spans="1:33" ht="14.4" x14ac:dyDescent="0.3">
      <c r="A152" s="12" t="s">
        <v>31</v>
      </c>
      <c r="B152" s="12" t="s">
        <v>483</v>
      </c>
      <c r="C152" s="12" t="s">
        <v>1308</v>
      </c>
      <c r="D152" s="12" t="s">
        <v>1410</v>
      </c>
      <c r="E152" s="12" t="s">
        <v>2053</v>
      </c>
      <c r="F152" s="12" t="s">
        <v>2054</v>
      </c>
      <c r="G152" s="12" t="s">
        <v>2055</v>
      </c>
      <c r="H152" s="12" t="s">
        <v>1464</v>
      </c>
      <c r="I152" s="12" t="s">
        <v>1420</v>
      </c>
      <c r="J152" s="12" t="s">
        <v>1420</v>
      </c>
      <c r="K152" s="12" t="s">
        <v>1420</v>
      </c>
      <c r="L152" s="12" t="s">
        <v>1420</v>
      </c>
      <c r="M152" s="12" t="s">
        <v>1420</v>
      </c>
      <c r="N152" s="12" t="s">
        <v>1420</v>
      </c>
      <c r="O152" s="12" t="s">
        <v>1420</v>
      </c>
      <c r="P152" s="12" t="s">
        <v>1420</v>
      </c>
      <c r="Q152" s="12" t="s">
        <v>1420</v>
      </c>
      <c r="R152" s="12" t="s">
        <v>1420</v>
      </c>
      <c r="S152" s="12" t="s">
        <v>1420</v>
      </c>
      <c r="T152" s="12" t="s">
        <v>1420</v>
      </c>
      <c r="U152" s="12" t="s">
        <v>1420</v>
      </c>
      <c r="V152" s="12" t="s">
        <v>1420</v>
      </c>
      <c r="W152" s="12" t="s">
        <v>1420</v>
      </c>
      <c r="X152" s="12" t="s">
        <v>1420</v>
      </c>
      <c r="Y152" s="12" t="s">
        <v>1420</v>
      </c>
      <c r="Z152" s="12" t="s">
        <v>1420</v>
      </c>
      <c r="AA152" s="12" t="s">
        <v>1420</v>
      </c>
      <c r="AB152" s="12" t="s">
        <v>1420</v>
      </c>
      <c r="AC152" s="12" t="s">
        <v>1420</v>
      </c>
      <c r="AD152" s="12" t="s">
        <v>1420</v>
      </c>
      <c r="AE152" s="12" t="s">
        <v>1420</v>
      </c>
      <c r="AF152" s="12" t="s">
        <v>1420</v>
      </c>
      <c r="AG152" s="12" t="s">
        <v>1420</v>
      </c>
    </row>
    <row r="153" spans="1:33" ht="14.4" x14ac:dyDescent="0.3">
      <c r="A153" s="12" t="s">
        <v>22</v>
      </c>
      <c r="B153" s="12" t="s">
        <v>483</v>
      </c>
      <c r="C153" s="12" t="s">
        <v>1309</v>
      </c>
      <c r="D153" s="12" t="s">
        <v>1410</v>
      </c>
      <c r="E153" s="12" t="s">
        <v>2035</v>
      </c>
      <c r="F153" s="12" t="s">
        <v>2036</v>
      </c>
      <c r="G153" s="12" t="s">
        <v>2037</v>
      </c>
      <c r="H153" s="12" t="s">
        <v>1452</v>
      </c>
      <c r="I153" s="12" t="s">
        <v>1420</v>
      </c>
      <c r="J153" s="12" t="s">
        <v>1420</v>
      </c>
      <c r="K153" s="12" t="s">
        <v>1420</v>
      </c>
      <c r="L153" s="12" t="s">
        <v>1420</v>
      </c>
      <c r="M153" s="12" t="s">
        <v>1420</v>
      </c>
      <c r="N153" s="12" t="s">
        <v>1420</v>
      </c>
      <c r="O153" s="12" t="s">
        <v>1420</v>
      </c>
      <c r="P153" s="12" t="s">
        <v>1420</v>
      </c>
      <c r="Q153" s="12" t="s">
        <v>1420</v>
      </c>
      <c r="R153" s="12" t="s">
        <v>1420</v>
      </c>
      <c r="S153" s="12" t="s">
        <v>1420</v>
      </c>
      <c r="T153" s="12" t="s">
        <v>1420</v>
      </c>
      <c r="U153" s="12" t="s">
        <v>1420</v>
      </c>
      <c r="V153" s="12" t="s">
        <v>1420</v>
      </c>
      <c r="W153" s="12" t="s">
        <v>1420</v>
      </c>
      <c r="X153" s="12" t="s">
        <v>1420</v>
      </c>
      <c r="Y153" s="12" t="s">
        <v>1420</v>
      </c>
      <c r="Z153" s="12" t="s">
        <v>1420</v>
      </c>
      <c r="AA153" s="12" t="s">
        <v>1420</v>
      </c>
      <c r="AB153" s="12" t="s">
        <v>1420</v>
      </c>
      <c r="AC153" s="12" t="s">
        <v>1420</v>
      </c>
      <c r="AD153" s="12" t="s">
        <v>1414</v>
      </c>
      <c r="AE153" s="12" t="s">
        <v>1420</v>
      </c>
      <c r="AF153" s="12" t="s">
        <v>1420</v>
      </c>
      <c r="AG153" s="12" t="s">
        <v>1420</v>
      </c>
    </row>
    <row r="154" spans="1:33" ht="14.4" x14ac:dyDescent="0.3">
      <c r="A154" s="12" t="s">
        <v>28</v>
      </c>
      <c r="B154" s="12" t="s">
        <v>483</v>
      </c>
      <c r="C154" s="12" t="s">
        <v>1310</v>
      </c>
      <c r="D154" s="12" t="s">
        <v>1410</v>
      </c>
      <c r="E154" s="12" t="s">
        <v>1882</v>
      </c>
      <c r="F154" s="12" t="s">
        <v>1887</v>
      </c>
      <c r="G154" s="12" t="s">
        <v>1888</v>
      </c>
      <c r="H154" s="12" t="s">
        <v>1452</v>
      </c>
      <c r="I154" s="12" t="s">
        <v>1420</v>
      </c>
      <c r="J154" s="12" t="s">
        <v>1420</v>
      </c>
      <c r="K154" s="12" t="s">
        <v>1420</v>
      </c>
      <c r="L154" s="12" t="s">
        <v>1420</v>
      </c>
      <c r="M154" s="12" t="s">
        <v>1420</v>
      </c>
      <c r="N154" s="12" t="s">
        <v>1420</v>
      </c>
      <c r="O154" s="12" t="s">
        <v>1420</v>
      </c>
      <c r="P154" s="12" t="s">
        <v>1420</v>
      </c>
      <c r="Q154" s="12" t="s">
        <v>1420</v>
      </c>
      <c r="R154" s="12" t="s">
        <v>1420</v>
      </c>
      <c r="S154" s="12" t="s">
        <v>1420</v>
      </c>
      <c r="T154" s="12" t="s">
        <v>1420</v>
      </c>
      <c r="U154" s="12" t="s">
        <v>1420</v>
      </c>
      <c r="V154" s="12" t="s">
        <v>1420</v>
      </c>
      <c r="W154" s="12" t="s">
        <v>1414</v>
      </c>
      <c r="X154" s="12" t="s">
        <v>1420</v>
      </c>
      <c r="Y154" s="12" t="s">
        <v>1420</v>
      </c>
      <c r="Z154" s="12" t="s">
        <v>1420</v>
      </c>
      <c r="AA154" s="12" t="s">
        <v>1420</v>
      </c>
      <c r="AB154" s="12" t="s">
        <v>1420</v>
      </c>
      <c r="AC154" s="12" t="s">
        <v>1420</v>
      </c>
      <c r="AD154" s="12" t="s">
        <v>1420</v>
      </c>
      <c r="AE154" s="12" t="s">
        <v>1420</v>
      </c>
      <c r="AF154" s="12" t="s">
        <v>1420</v>
      </c>
      <c r="AG154" s="12" t="s">
        <v>1420</v>
      </c>
    </row>
    <row r="155" spans="1:33" ht="14.4" x14ac:dyDescent="0.3">
      <c r="A155" s="12" t="s">
        <v>55</v>
      </c>
      <c r="B155" s="12" t="s">
        <v>5558</v>
      </c>
      <c r="C155" s="12" t="s">
        <v>5559</v>
      </c>
      <c r="D155" s="12" t="s">
        <v>1410</v>
      </c>
      <c r="E155" s="12" t="s">
        <v>5560</v>
      </c>
      <c r="F155" s="12" t="s">
        <v>5561</v>
      </c>
      <c r="G155" s="12" t="s">
        <v>5239</v>
      </c>
      <c r="H155" s="12" t="s">
        <v>1428</v>
      </c>
      <c r="I155" s="12" t="s">
        <v>1420</v>
      </c>
      <c r="J155" s="12" t="s">
        <v>1420</v>
      </c>
      <c r="K155" s="12" t="s">
        <v>1420</v>
      </c>
      <c r="L155" s="12" t="s">
        <v>1420</v>
      </c>
      <c r="M155" s="12" t="s">
        <v>1420</v>
      </c>
      <c r="N155" s="12" t="s">
        <v>1420</v>
      </c>
      <c r="O155" s="12" t="s">
        <v>1420</v>
      </c>
      <c r="P155" s="12" t="s">
        <v>1414</v>
      </c>
      <c r="Q155" s="12" t="s">
        <v>1420</v>
      </c>
      <c r="R155" s="12" t="s">
        <v>1420</v>
      </c>
      <c r="S155" s="12" t="s">
        <v>1414</v>
      </c>
      <c r="T155" s="12" t="s">
        <v>1414</v>
      </c>
      <c r="U155" s="12" t="s">
        <v>1420</v>
      </c>
      <c r="V155" s="12" t="s">
        <v>1420</v>
      </c>
      <c r="W155" s="12" t="s">
        <v>1414</v>
      </c>
      <c r="X155" s="12" t="s">
        <v>1420</v>
      </c>
      <c r="Y155" s="12" t="s">
        <v>1420</v>
      </c>
      <c r="Z155" s="12" t="s">
        <v>1420</v>
      </c>
      <c r="AA155" s="12" t="s">
        <v>1420</v>
      </c>
      <c r="AB155" s="12" t="s">
        <v>1414</v>
      </c>
      <c r="AC155" s="12" t="s">
        <v>1420</v>
      </c>
      <c r="AD155" s="12" t="s">
        <v>1420</v>
      </c>
      <c r="AE155" s="12" t="s">
        <v>1414</v>
      </c>
      <c r="AF155" s="12" t="s">
        <v>1420</v>
      </c>
      <c r="AG155" s="12" t="s">
        <v>1414</v>
      </c>
    </row>
    <row r="156" spans="1:33" ht="14.4" x14ac:dyDescent="0.3">
      <c r="A156" s="12" t="s">
        <v>28</v>
      </c>
      <c r="B156" s="12" t="s">
        <v>796</v>
      </c>
      <c r="C156" s="12" t="s">
        <v>795</v>
      </c>
      <c r="D156" s="12" t="s">
        <v>1410</v>
      </c>
      <c r="E156" s="12" t="s">
        <v>1474</v>
      </c>
      <c r="F156" s="12" t="s">
        <v>1475</v>
      </c>
      <c r="G156" s="12" t="s">
        <v>1476</v>
      </c>
      <c r="H156" s="12" t="s">
        <v>1419</v>
      </c>
      <c r="I156" s="12" t="s">
        <v>1420</v>
      </c>
      <c r="J156" s="12" t="s">
        <v>1420</v>
      </c>
      <c r="K156" s="12" t="s">
        <v>1420</v>
      </c>
      <c r="L156" s="12" t="s">
        <v>1420</v>
      </c>
      <c r="M156" s="12" t="s">
        <v>1420</v>
      </c>
      <c r="N156" s="12" t="s">
        <v>1420</v>
      </c>
      <c r="O156" s="12" t="s">
        <v>1420</v>
      </c>
      <c r="P156" s="12" t="s">
        <v>1420</v>
      </c>
      <c r="Q156" s="12" t="s">
        <v>1420</v>
      </c>
      <c r="R156" s="12" t="s">
        <v>1420</v>
      </c>
      <c r="S156" s="12" t="s">
        <v>1414</v>
      </c>
      <c r="T156" s="12" t="s">
        <v>1420</v>
      </c>
      <c r="U156" s="12" t="s">
        <v>1420</v>
      </c>
      <c r="V156" s="12" t="s">
        <v>1420</v>
      </c>
      <c r="W156" s="12" t="s">
        <v>1420</v>
      </c>
      <c r="X156" s="12" t="s">
        <v>1420</v>
      </c>
      <c r="Y156" s="12" t="s">
        <v>1420</v>
      </c>
      <c r="Z156" s="12" t="s">
        <v>1420</v>
      </c>
      <c r="AA156" s="12" t="s">
        <v>1420</v>
      </c>
      <c r="AB156" s="12" t="s">
        <v>1420</v>
      </c>
      <c r="AC156" s="12" t="s">
        <v>1420</v>
      </c>
      <c r="AD156" s="12" t="s">
        <v>1420</v>
      </c>
      <c r="AE156" s="12" t="s">
        <v>1414</v>
      </c>
      <c r="AF156" s="12" t="s">
        <v>1420</v>
      </c>
      <c r="AG156" s="12" t="s">
        <v>1420</v>
      </c>
    </row>
    <row r="157" spans="1:33" ht="14.4" x14ac:dyDescent="0.3">
      <c r="A157" s="12" t="s">
        <v>31</v>
      </c>
      <c r="B157" s="12" t="s">
        <v>485</v>
      </c>
      <c r="C157" s="12" t="s">
        <v>484</v>
      </c>
      <c r="D157" s="12" t="s">
        <v>1410</v>
      </c>
      <c r="E157" s="12" t="s">
        <v>1949</v>
      </c>
      <c r="F157" s="12" t="s">
        <v>1950</v>
      </c>
      <c r="G157" s="12" t="s">
        <v>1951</v>
      </c>
      <c r="H157" s="12" t="s">
        <v>1424</v>
      </c>
      <c r="I157" s="12" t="s">
        <v>1420</v>
      </c>
      <c r="J157" s="12" t="s">
        <v>1420</v>
      </c>
      <c r="K157" s="12" t="s">
        <v>1420</v>
      </c>
      <c r="L157" s="12" t="s">
        <v>1420</v>
      </c>
      <c r="M157" s="12" t="s">
        <v>1420</v>
      </c>
      <c r="N157" s="12" t="s">
        <v>1420</v>
      </c>
      <c r="O157" s="12" t="s">
        <v>1414</v>
      </c>
      <c r="P157" s="12" t="s">
        <v>1420</v>
      </c>
      <c r="Q157" s="12" t="s">
        <v>1420</v>
      </c>
      <c r="R157" s="12" t="s">
        <v>1420</v>
      </c>
      <c r="S157" s="12" t="s">
        <v>1420</v>
      </c>
      <c r="T157" s="12" t="s">
        <v>1420</v>
      </c>
      <c r="U157" s="12" t="s">
        <v>1420</v>
      </c>
      <c r="V157" s="12" t="s">
        <v>1420</v>
      </c>
      <c r="W157" s="12" t="s">
        <v>1420</v>
      </c>
      <c r="X157" s="12" t="s">
        <v>1414</v>
      </c>
      <c r="Y157" s="12" t="s">
        <v>1414</v>
      </c>
      <c r="Z157" s="12" t="s">
        <v>1420</v>
      </c>
      <c r="AA157" s="12" t="s">
        <v>1420</v>
      </c>
      <c r="AB157" s="12" t="s">
        <v>1420</v>
      </c>
      <c r="AC157" s="12" t="s">
        <v>1420</v>
      </c>
      <c r="AD157" s="12" t="s">
        <v>1420</v>
      </c>
      <c r="AE157" s="12" t="s">
        <v>1420</v>
      </c>
      <c r="AF157" s="12" t="s">
        <v>1420</v>
      </c>
      <c r="AG157" s="12" t="s">
        <v>1420</v>
      </c>
    </row>
    <row r="158" spans="1:33" ht="14.4" x14ac:dyDescent="0.3">
      <c r="A158" s="12" t="s">
        <v>31</v>
      </c>
      <c r="B158" s="12" t="s">
        <v>485</v>
      </c>
      <c r="C158" s="12" t="s">
        <v>484</v>
      </c>
      <c r="D158" s="12" t="s">
        <v>1410</v>
      </c>
      <c r="E158" s="12" t="s">
        <v>1972</v>
      </c>
      <c r="F158" s="12" t="s">
        <v>1975</v>
      </c>
      <c r="G158" s="12" t="s">
        <v>1976</v>
      </c>
      <c r="H158" s="12" t="s">
        <v>1464</v>
      </c>
      <c r="I158" s="12" t="s">
        <v>1420</v>
      </c>
      <c r="J158" s="12" t="s">
        <v>1420</v>
      </c>
      <c r="K158" s="12" t="s">
        <v>1420</v>
      </c>
      <c r="L158" s="12" t="s">
        <v>1420</v>
      </c>
      <c r="M158" s="12" t="s">
        <v>1420</v>
      </c>
      <c r="N158" s="12" t="s">
        <v>1420</v>
      </c>
      <c r="O158" s="12" t="s">
        <v>1420</v>
      </c>
      <c r="P158" s="12" t="s">
        <v>1420</v>
      </c>
      <c r="Q158" s="12" t="s">
        <v>1420</v>
      </c>
      <c r="R158" s="12" t="s">
        <v>1420</v>
      </c>
      <c r="S158" s="12" t="s">
        <v>1420</v>
      </c>
      <c r="T158" s="12" t="s">
        <v>1420</v>
      </c>
      <c r="U158" s="12" t="s">
        <v>1420</v>
      </c>
      <c r="V158" s="12" t="s">
        <v>1420</v>
      </c>
      <c r="W158" s="12" t="s">
        <v>1420</v>
      </c>
      <c r="X158" s="12" t="s">
        <v>1420</v>
      </c>
      <c r="Y158" s="12" t="s">
        <v>1420</v>
      </c>
      <c r="Z158" s="12" t="s">
        <v>1420</v>
      </c>
      <c r="AA158" s="12" t="s">
        <v>1420</v>
      </c>
      <c r="AB158" s="12" t="s">
        <v>1420</v>
      </c>
      <c r="AC158" s="12" t="s">
        <v>1420</v>
      </c>
      <c r="AD158" s="12" t="s">
        <v>1420</v>
      </c>
      <c r="AE158" s="12" t="s">
        <v>1420</v>
      </c>
      <c r="AF158" s="12" t="s">
        <v>1420</v>
      </c>
      <c r="AG158" s="12" t="s">
        <v>1420</v>
      </c>
    </row>
    <row r="159" spans="1:33" ht="14.4" x14ac:dyDescent="0.3">
      <c r="A159" s="12" t="s">
        <v>42</v>
      </c>
      <c r="B159" s="12" t="s">
        <v>1171</v>
      </c>
      <c r="C159" s="12" t="s">
        <v>1170</v>
      </c>
      <c r="D159" s="12" t="s">
        <v>1410</v>
      </c>
      <c r="E159" s="12" t="s">
        <v>3126</v>
      </c>
      <c r="F159" s="12" t="s">
        <v>3127</v>
      </c>
      <c r="G159" s="12" t="s">
        <v>2126</v>
      </c>
      <c r="H159" s="12" t="s">
        <v>1452</v>
      </c>
      <c r="I159" s="12" t="s">
        <v>1420</v>
      </c>
      <c r="J159" s="12" t="s">
        <v>1420</v>
      </c>
      <c r="K159" s="12" t="s">
        <v>1420</v>
      </c>
      <c r="L159" s="12" t="s">
        <v>1420</v>
      </c>
      <c r="M159" s="12" t="s">
        <v>1420</v>
      </c>
      <c r="N159" s="12" t="s">
        <v>1420</v>
      </c>
      <c r="O159" s="12" t="s">
        <v>1420</v>
      </c>
      <c r="P159" s="12" t="s">
        <v>1420</v>
      </c>
      <c r="Q159" s="12" t="s">
        <v>1420</v>
      </c>
      <c r="R159" s="12" t="s">
        <v>1420</v>
      </c>
      <c r="S159" s="12" t="s">
        <v>1414</v>
      </c>
      <c r="T159" s="12" t="s">
        <v>1420</v>
      </c>
      <c r="U159" s="12" t="s">
        <v>1420</v>
      </c>
      <c r="V159" s="12" t="s">
        <v>1420</v>
      </c>
      <c r="W159" s="12" t="s">
        <v>1420</v>
      </c>
      <c r="X159" s="12" t="s">
        <v>1420</v>
      </c>
      <c r="Y159" s="12" t="s">
        <v>1420</v>
      </c>
      <c r="Z159" s="12" t="s">
        <v>1420</v>
      </c>
      <c r="AA159" s="12" t="s">
        <v>1420</v>
      </c>
      <c r="AB159" s="12" t="s">
        <v>1420</v>
      </c>
      <c r="AC159" s="12" t="s">
        <v>1420</v>
      </c>
      <c r="AD159" s="12" t="s">
        <v>1420</v>
      </c>
      <c r="AE159" s="12" t="s">
        <v>1420</v>
      </c>
      <c r="AF159" s="12" t="s">
        <v>1420</v>
      </c>
      <c r="AG159" s="12" t="s">
        <v>1420</v>
      </c>
    </row>
    <row r="160" spans="1:33" ht="14.4" x14ac:dyDescent="0.3">
      <c r="A160" s="12" t="s">
        <v>8</v>
      </c>
      <c r="B160" s="12" t="s">
        <v>798</v>
      </c>
      <c r="C160" s="12" t="s">
        <v>797</v>
      </c>
      <c r="D160" s="12" t="s">
        <v>1410</v>
      </c>
      <c r="E160" s="12" t="s">
        <v>2596</v>
      </c>
      <c r="F160" s="12" t="s">
        <v>2597</v>
      </c>
      <c r="G160" s="12" t="s">
        <v>2598</v>
      </c>
      <c r="H160" s="12" t="s">
        <v>1464</v>
      </c>
      <c r="I160" s="12" t="s">
        <v>1420</v>
      </c>
      <c r="J160" s="12" t="s">
        <v>1420</v>
      </c>
      <c r="K160" s="12" t="s">
        <v>1420</v>
      </c>
      <c r="L160" s="12" t="s">
        <v>1420</v>
      </c>
      <c r="M160" s="12" t="s">
        <v>1420</v>
      </c>
      <c r="N160" s="12" t="s">
        <v>1420</v>
      </c>
      <c r="O160" s="12" t="s">
        <v>1420</v>
      </c>
      <c r="P160" s="12" t="s">
        <v>1420</v>
      </c>
      <c r="Q160" s="12" t="s">
        <v>1420</v>
      </c>
      <c r="R160" s="12" t="s">
        <v>1420</v>
      </c>
      <c r="S160" s="12" t="s">
        <v>1420</v>
      </c>
      <c r="T160" s="12" t="s">
        <v>1420</v>
      </c>
      <c r="U160" s="12" t="s">
        <v>1420</v>
      </c>
      <c r="V160" s="12" t="s">
        <v>1420</v>
      </c>
      <c r="W160" s="12" t="s">
        <v>1420</v>
      </c>
      <c r="X160" s="12" t="s">
        <v>1420</v>
      </c>
      <c r="Y160" s="12" t="s">
        <v>1420</v>
      </c>
      <c r="Z160" s="12" t="s">
        <v>1420</v>
      </c>
      <c r="AA160" s="12" t="s">
        <v>1420</v>
      </c>
      <c r="AB160" s="12" t="s">
        <v>1420</v>
      </c>
      <c r="AC160" s="12" t="s">
        <v>1420</v>
      </c>
      <c r="AD160" s="12" t="s">
        <v>1420</v>
      </c>
      <c r="AE160" s="12" t="s">
        <v>1420</v>
      </c>
      <c r="AF160" s="12" t="s">
        <v>1420</v>
      </c>
      <c r="AG160" s="12" t="s">
        <v>1420</v>
      </c>
    </row>
    <row r="161" spans="1:33" ht="14.4" x14ac:dyDescent="0.3">
      <c r="A161" s="12" t="s">
        <v>42</v>
      </c>
      <c r="B161" s="12" t="s">
        <v>1173</v>
      </c>
      <c r="C161" s="12" t="s">
        <v>1172</v>
      </c>
      <c r="D161" s="12" t="s">
        <v>1410</v>
      </c>
      <c r="E161" s="12" t="s">
        <v>3131</v>
      </c>
      <c r="F161" s="12" t="s">
        <v>3132</v>
      </c>
      <c r="G161" s="12" t="s">
        <v>3041</v>
      </c>
      <c r="H161" s="12" t="s">
        <v>1424</v>
      </c>
      <c r="I161" s="12" t="s">
        <v>1420</v>
      </c>
      <c r="J161" s="12" t="s">
        <v>1420</v>
      </c>
      <c r="K161" s="12" t="s">
        <v>1420</v>
      </c>
      <c r="L161" s="12" t="s">
        <v>1420</v>
      </c>
      <c r="M161" s="12" t="s">
        <v>1420</v>
      </c>
      <c r="N161" s="12" t="s">
        <v>1420</v>
      </c>
      <c r="O161" s="12" t="s">
        <v>1420</v>
      </c>
      <c r="P161" s="12" t="s">
        <v>1414</v>
      </c>
      <c r="Q161" s="12" t="s">
        <v>1420</v>
      </c>
      <c r="R161" s="12" t="s">
        <v>1420</v>
      </c>
      <c r="S161" s="12" t="s">
        <v>1420</v>
      </c>
      <c r="T161" s="12" t="s">
        <v>1420</v>
      </c>
      <c r="U161" s="12" t="s">
        <v>1420</v>
      </c>
      <c r="V161" s="12" t="s">
        <v>1420</v>
      </c>
      <c r="W161" s="12" t="s">
        <v>1420</v>
      </c>
      <c r="X161" s="12" t="s">
        <v>1414</v>
      </c>
      <c r="Y161" s="12" t="s">
        <v>1420</v>
      </c>
      <c r="Z161" s="12" t="s">
        <v>1420</v>
      </c>
      <c r="AA161" s="12" t="s">
        <v>1420</v>
      </c>
      <c r="AB161" s="12" t="s">
        <v>1420</v>
      </c>
      <c r="AC161" s="12" t="s">
        <v>1420</v>
      </c>
      <c r="AD161" s="12" t="s">
        <v>1414</v>
      </c>
      <c r="AE161" s="12" t="s">
        <v>1420</v>
      </c>
      <c r="AF161" s="12" t="s">
        <v>1420</v>
      </c>
      <c r="AG161" s="12" t="s">
        <v>1420</v>
      </c>
    </row>
    <row r="162" spans="1:33" ht="14.4" x14ac:dyDescent="0.3">
      <c r="A162" s="12" t="s">
        <v>8</v>
      </c>
      <c r="B162" s="12" t="s">
        <v>59</v>
      </c>
      <c r="C162" s="12" t="s">
        <v>58</v>
      </c>
      <c r="D162" s="12" t="s">
        <v>1410</v>
      </c>
      <c r="E162" s="12" t="s">
        <v>2159</v>
      </c>
      <c r="F162" s="12" t="s">
        <v>2120</v>
      </c>
      <c r="G162" s="12" t="s">
        <v>2160</v>
      </c>
      <c r="H162" s="12" t="s">
        <v>1464</v>
      </c>
      <c r="I162" s="12" t="s">
        <v>1420</v>
      </c>
      <c r="J162" s="12" t="s">
        <v>1420</v>
      </c>
      <c r="K162" s="12" t="s">
        <v>1420</v>
      </c>
      <c r="L162" s="12" t="s">
        <v>1420</v>
      </c>
      <c r="M162" s="12" t="s">
        <v>1420</v>
      </c>
      <c r="N162" s="12" t="s">
        <v>1420</v>
      </c>
      <c r="O162" s="12" t="s">
        <v>1420</v>
      </c>
      <c r="P162" s="12" t="s">
        <v>1420</v>
      </c>
      <c r="Q162" s="12" t="s">
        <v>1420</v>
      </c>
      <c r="R162" s="12" t="s">
        <v>1420</v>
      </c>
      <c r="S162" s="12" t="s">
        <v>1420</v>
      </c>
      <c r="T162" s="12" t="s">
        <v>1420</v>
      </c>
      <c r="U162" s="12" t="s">
        <v>1420</v>
      </c>
      <c r="V162" s="12" t="s">
        <v>1420</v>
      </c>
      <c r="W162" s="12" t="s">
        <v>1420</v>
      </c>
      <c r="X162" s="12" t="s">
        <v>1420</v>
      </c>
      <c r="Y162" s="12" t="s">
        <v>1420</v>
      </c>
      <c r="Z162" s="12" t="s">
        <v>1420</v>
      </c>
      <c r="AA162" s="12" t="s">
        <v>1420</v>
      </c>
      <c r="AB162" s="12" t="s">
        <v>1420</v>
      </c>
      <c r="AC162" s="12" t="s">
        <v>1420</v>
      </c>
      <c r="AD162" s="12" t="s">
        <v>1420</v>
      </c>
      <c r="AE162" s="12" t="s">
        <v>1420</v>
      </c>
      <c r="AF162" s="12" t="s">
        <v>1420</v>
      </c>
      <c r="AG162" s="12" t="s">
        <v>1420</v>
      </c>
    </row>
    <row r="163" spans="1:33" ht="14.4" x14ac:dyDescent="0.3">
      <c r="A163" s="12" t="s">
        <v>22</v>
      </c>
      <c r="B163" s="12" t="s">
        <v>59</v>
      </c>
      <c r="C163" s="12" t="s">
        <v>305</v>
      </c>
      <c r="D163" s="12" t="s">
        <v>1410</v>
      </c>
      <c r="E163" s="12" t="s">
        <v>1809</v>
      </c>
      <c r="F163" s="12" t="s">
        <v>1814</v>
      </c>
      <c r="G163" s="12" t="s">
        <v>1815</v>
      </c>
      <c r="H163" s="12" t="s">
        <v>1452</v>
      </c>
      <c r="I163" s="12" t="s">
        <v>1414</v>
      </c>
      <c r="J163" s="12" t="s">
        <v>1420</v>
      </c>
      <c r="K163" s="12" t="s">
        <v>1420</v>
      </c>
      <c r="L163" s="12" t="s">
        <v>1420</v>
      </c>
      <c r="M163" s="12" t="s">
        <v>1420</v>
      </c>
      <c r="N163" s="12" t="s">
        <v>1420</v>
      </c>
      <c r="O163" s="12" t="s">
        <v>1420</v>
      </c>
      <c r="P163" s="12" t="s">
        <v>1420</v>
      </c>
      <c r="Q163" s="12" t="s">
        <v>1420</v>
      </c>
      <c r="R163" s="12" t="s">
        <v>1420</v>
      </c>
      <c r="S163" s="12" t="s">
        <v>1420</v>
      </c>
      <c r="T163" s="12" t="s">
        <v>1420</v>
      </c>
      <c r="U163" s="12" t="s">
        <v>1420</v>
      </c>
      <c r="V163" s="12" t="s">
        <v>1420</v>
      </c>
      <c r="W163" s="12" t="s">
        <v>1420</v>
      </c>
      <c r="X163" s="12" t="s">
        <v>1420</v>
      </c>
      <c r="Y163" s="12" t="s">
        <v>1420</v>
      </c>
      <c r="Z163" s="12" t="s">
        <v>1420</v>
      </c>
      <c r="AA163" s="12" t="s">
        <v>1420</v>
      </c>
      <c r="AB163" s="12" t="s">
        <v>1420</v>
      </c>
      <c r="AC163" s="12" t="s">
        <v>1420</v>
      </c>
      <c r="AD163" s="12" t="s">
        <v>1420</v>
      </c>
      <c r="AE163" s="12" t="s">
        <v>1420</v>
      </c>
      <c r="AF163" s="12" t="s">
        <v>1420</v>
      </c>
      <c r="AG163" s="12" t="s">
        <v>1420</v>
      </c>
    </row>
    <row r="164" spans="1:33" ht="14.4" x14ac:dyDescent="0.3">
      <c r="A164" s="12" t="s">
        <v>490</v>
      </c>
      <c r="B164" s="12" t="s">
        <v>489</v>
      </c>
      <c r="C164" s="12" t="s">
        <v>488</v>
      </c>
      <c r="D164" s="12" t="s">
        <v>1410</v>
      </c>
      <c r="E164" s="12" t="s">
        <v>1946</v>
      </c>
      <c r="F164" s="12" t="s">
        <v>1947</v>
      </c>
      <c r="G164" s="12" t="s">
        <v>1948</v>
      </c>
      <c r="H164" s="12" t="s">
        <v>1464</v>
      </c>
      <c r="I164" s="12" t="s">
        <v>1420</v>
      </c>
      <c r="J164" s="12" t="s">
        <v>1420</v>
      </c>
      <c r="K164" s="12" t="s">
        <v>1420</v>
      </c>
      <c r="L164" s="12" t="s">
        <v>1420</v>
      </c>
      <c r="M164" s="12" t="s">
        <v>1420</v>
      </c>
      <c r="N164" s="12" t="s">
        <v>1420</v>
      </c>
      <c r="O164" s="12" t="s">
        <v>1420</v>
      </c>
      <c r="P164" s="12" t="s">
        <v>1420</v>
      </c>
      <c r="Q164" s="12" t="s">
        <v>1420</v>
      </c>
      <c r="R164" s="12" t="s">
        <v>1420</v>
      </c>
      <c r="S164" s="12" t="s">
        <v>1420</v>
      </c>
      <c r="T164" s="12" t="s">
        <v>1420</v>
      </c>
      <c r="U164" s="12" t="s">
        <v>1420</v>
      </c>
      <c r="V164" s="12" t="s">
        <v>1420</v>
      </c>
      <c r="W164" s="12" t="s">
        <v>1420</v>
      </c>
      <c r="X164" s="12" t="s">
        <v>1420</v>
      </c>
      <c r="Y164" s="12" t="s">
        <v>1420</v>
      </c>
      <c r="Z164" s="12" t="s">
        <v>1420</v>
      </c>
      <c r="AA164" s="12" t="s">
        <v>1420</v>
      </c>
      <c r="AB164" s="12" t="s">
        <v>1420</v>
      </c>
      <c r="AC164" s="12" t="s">
        <v>1420</v>
      </c>
      <c r="AD164" s="12" t="s">
        <v>1420</v>
      </c>
      <c r="AE164" s="12" t="s">
        <v>1420</v>
      </c>
      <c r="AF164" s="12" t="s">
        <v>1420</v>
      </c>
      <c r="AG164" s="12" t="s">
        <v>1420</v>
      </c>
    </row>
    <row r="165" spans="1:33" ht="14.4" x14ac:dyDescent="0.3">
      <c r="A165" s="12" t="s">
        <v>8</v>
      </c>
      <c r="B165" s="12" t="s">
        <v>59</v>
      </c>
      <c r="C165" s="12" t="s">
        <v>1082</v>
      </c>
      <c r="D165" s="12" t="s">
        <v>1410</v>
      </c>
      <c r="E165" s="12" t="s">
        <v>1468</v>
      </c>
      <c r="F165" s="12" t="s">
        <v>1469</v>
      </c>
      <c r="G165" s="12" t="s">
        <v>1470</v>
      </c>
      <c r="H165" s="12" t="s">
        <v>1448</v>
      </c>
      <c r="I165" s="12" t="s">
        <v>1420</v>
      </c>
      <c r="J165" s="12" t="s">
        <v>1420</v>
      </c>
      <c r="K165" s="12" t="s">
        <v>1420</v>
      </c>
      <c r="L165" s="12" t="s">
        <v>1420</v>
      </c>
      <c r="M165" s="12" t="s">
        <v>1420</v>
      </c>
      <c r="N165" s="12" t="s">
        <v>1414</v>
      </c>
      <c r="O165" s="12" t="s">
        <v>1420</v>
      </c>
      <c r="P165" s="12" t="s">
        <v>1420</v>
      </c>
      <c r="Q165" s="12" t="s">
        <v>1420</v>
      </c>
      <c r="R165" s="12" t="s">
        <v>1420</v>
      </c>
      <c r="S165" s="12" t="s">
        <v>1415</v>
      </c>
      <c r="T165" s="12" t="s">
        <v>1414</v>
      </c>
      <c r="U165" s="12" t="s">
        <v>1420</v>
      </c>
      <c r="V165" s="12" t="s">
        <v>1420</v>
      </c>
      <c r="W165" s="12" t="s">
        <v>1414</v>
      </c>
      <c r="X165" s="12" t="s">
        <v>1420</v>
      </c>
      <c r="Y165" s="12" t="s">
        <v>1420</v>
      </c>
      <c r="Z165" s="12" t="s">
        <v>1420</v>
      </c>
      <c r="AA165" s="12" t="s">
        <v>1420</v>
      </c>
      <c r="AB165" s="12" t="s">
        <v>1420</v>
      </c>
      <c r="AC165" s="12" t="s">
        <v>1420</v>
      </c>
      <c r="AD165" s="12" t="s">
        <v>1420</v>
      </c>
      <c r="AE165" s="12" t="s">
        <v>1414</v>
      </c>
      <c r="AF165" s="12" t="s">
        <v>1420</v>
      </c>
      <c r="AG165" s="12" t="s">
        <v>1420</v>
      </c>
    </row>
    <row r="166" spans="1:33" ht="14.4" x14ac:dyDescent="0.3">
      <c r="A166" s="12" t="s">
        <v>31</v>
      </c>
      <c r="B166" s="12" t="s">
        <v>489</v>
      </c>
      <c r="C166" s="12" t="s">
        <v>1174</v>
      </c>
      <c r="D166" s="12" t="s">
        <v>1410</v>
      </c>
      <c r="E166" s="12" t="s">
        <v>1764</v>
      </c>
      <c r="F166" s="12" t="s">
        <v>1765</v>
      </c>
      <c r="G166" s="12" t="s">
        <v>1766</v>
      </c>
      <c r="H166" s="12" t="s">
        <v>1452</v>
      </c>
      <c r="I166" s="12" t="s">
        <v>1420</v>
      </c>
      <c r="J166" s="12" t="s">
        <v>1420</v>
      </c>
      <c r="K166" s="12" t="s">
        <v>1420</v>
      </c>
      <c r="L166" s="12" t="s">
        <v>1420</v>
      </c>
      <c r="M166" s="12" t="s">
        <v>1420</v>
      </c>
      <c r="N166" s="12" t="s">
        <v>1420</v>
      </c>
      <c r="O166" s="12" t="s">
        <v>1420</v>
      </c>
      <c r="P166" s="12" t="s">
        <v>1420</v>
      </c>
      <c r="Q166" s="12" t="s">
        <v>1420</v>
      </c>
      <c r="R166" s="12" t="s">
        <v>1420</v>
      </c>
      <c r="S166" s="12" t="s">
        <v>1420</v>
      </c>
      <c r="T166" s="12" t="s">
        <v>1420</v>
      </c>
      <c r="U166" s="12" t="s">
        <v>1414</v>
      </c>
      <c r="V166" s="12" t="s">
        <v>1420</v>
      </c>
      <c r="W166" s="12" t="s">
        <v>1420</v>
      </c>
      <c r="X166" s="12" t="s">
        <v>1420</v>
      </c>
      <c r="Y166" s="12" t="s">
        <v>1420</v>
      </c>
      <c r="Z166" s="12" t="s">
        <v>1420</v>
      </c>
      <c r="AA166" s="12" t="s">
        <v>1420</v>
      </c>
      <c r="AB166" s="12" t="s">
        <v>1420</v>
      </c>
      <c r="AC166" s="12" t="s">
        <v>1420</v>
      </c>
      <c r="AD166" s="12" t="s">
        <v>1420</v>
      </c>
      <c r="AE166" s="12" t="s">
        <v>1420</v>
      </c>
      <c r="AF166" s="12" t="s">
        <v>1420</v>
      </c>
      <c r="AG166" s="12" t="s">
        <v>1420</v>
      </c>
    </row>
    <row r="167" spans="1:33" ht="14.4" x14ac:dyDescent="0.3">
      <c r="A167" s="12" t="s">
        <v>22</v>
      </c>
      <c r="B167" s="12" t="s">
        <v>489</v>
      </c>
      <c r="C167" s="12" t="s">
        <v>1175</v>
      </c>
      <c r="D167" s="12" t="s">
        <v>1410</v>
      </c>
      <c r="E167" s="12" t="s">
        <v>1983</v>
      </c>
      <c r="F167" s="12" t="s">
        <v>1977</v>
      </c>
      <c r="G167" s="12" t="s">
        <v>1996</v>
      </c>
      <c r="H167" s="12" t="s">
        <v>1419</v>
      </c>
      <c r="I167" s="12" t="s">
        <v>1420</v>
      </c>
      <c r="J167" s="12" t="s">
        <v>1420</v>
      </c>
      <c r="K167" s="12" t="s">
        <v>1420</v>
      </c>
      <c r="L167" s="12" t="s">
        <v>1420</v>
      </c>
      <c r="M167" s="12" t="s">
        <v>1420</v>
      </c>
      <c r="N167" s="12" t="s">
        <v>1420</v>
      </c>
      <c r="O167" s="12" t="s">
        <v>1420</v>
      </c>
      <c r="P167" s="12" t="s">
        <v>1414</v>
      </c>
      <c r="Q167" s="12" t="s">
        <v>1420</v>
      </c>
      <c r="R167" s="12" t="s">
        <v>1420</v>
      </c>
      <c r="S167" s="12" t="s">
        <v>1420</v>
      </c>
      <c r="T167" s="12" t="s">
        <v>1420</v>
      </c>
      <c r="U167" s="12" t="s">
        <v>1420</v>
      </c>
      <c r="V167" s="12" t="s">
        <v>1420</v>
      </c>
      <c r="W167" s="12" t="s">
        <v>1414</v>
      </c>
      <c r="X167" s="12" t="s">
        <v>1420</v>
      </c>
      <c r="Y167" s="12" t="s">
        <v>1420</v>
      </c>
      <c r="Z167" s="12" t="s">
        <v>1420</v>
      </c>
      <c r="AA167" s="12" t="s">
        <v>1420</v>
      </c>
      <c r="AB167" s="12" t="s">
        <v>1420</v>
      </c>
      <c r="AC167" s="12" t="s">
        <v>1420</v>
      </c>
      <c r="AD167" s="12" t="s">
        <v>1420</v>
      </c>
      <c r="AE167" s="12" t="s">
        <v>1420</v>
      </c>
      <c r="AF167" s="12" t="s">
        <v>1420</v>
      </c>
      <c r="AG167" s="12" t="s">
        <v>1420</v>
      </c>
    </row>
    <row r="168" spans="1:33" ht="14.4" x14ac:dyDescent="0.3">
      <c r="A168" s="12" t="s">
        <v>8</v>
      </c>
      <c r="B168" s="12" t="s">
        <v>487</v>
      </c>
      <c r="C168" s="12" t="s">
        <v>486</v>
      </c>
      <c r="D168" s="12" t="s">
        <v>1410</v>
      </c>
      <c r="E168" s="12" t="s">
        <v>2003</v>
      </c>
      <c r="F168" s="12" t="s">
        <v>2001</v>
      </c>
      <c r="G168" s="12" t="s">
        <v>2004</v>
      </c>
      <c r="H168" s="12" t="s">
        <v>1419</v>
      </c>
      <c r="I168" s="12" t="s">
        <v>1420</v>
      </c>
      <c r="J168" s="12" t="s">
        <v>1420</v>
      </c>
      <c r="K168" s="12" t="s">
        <v>1420</v>
      </c>
      <c r="L168" s="12" t="s">
        <v>1420</v>
      </c>
      <c r="M168" s="12" t="s">
        <v>1420</v>
      </c>
      <c r="N168" s="12" t="s">
        <v>1420</v>
      </c>
      <c r="O168" s="12" t="s">
        <v>1420</v>
      </c>
      <c r="P168" s="12" t="s">
        <v>1420</v>
      </c>
      <c r="Q168" s="12" t="s">
        <v>1420</v>
      </c>
      <c r="R168" s="12" t="s">
        <v>1420</v>
      </c>
      <c r="S168" s="12" t="s">
        <v>1420</v>
      </c>
      <c r="T168" s="12" t="s">
        <v>1420</v>
      </c>
      <c r="U168" s="12" t="s">
        <v>1420</v>
      </c>
      <c r="V168" s="12" t="s">
        <v>1420</v>
      </c>
      <c r="W168" s="12" t="s">
        <v>1420</v>
      </c>
      <c r="X168" s="12" t="s">
        <v>1414</v>
      </c>
      <c r="Y168" s="12" t="s">
        <v>1420</v>
      </c>
      <c r="Z168" s="12" t="s">
        <v>1420</v>
      </c>
      <c r="AA168" s="12" t="s">
        <v>1420</v>
      </c>
      <c r="AB168" s="12" t="s">
        <v>1420</v>
      </c>
      <c r="AC168" s="12" t="s">
        <v>1414</v>
      </c>
      <c r="AD168" s="12" t="s">
        <v>1420</v>
      </c>
      <c r="AE168" s="12" t="s">
        <v>1420</v>
      </c>
      <c r="AF168" s="12" t="s">
        <v>1420</v>
      </c>
      <c r="AG168" s="12" t="s">
        <v>1420</v>
      </c>
    </row>
    <row r="169" spans="1:33" ht="14.4" x14ac:dyDescent="0.3">
      <c r="A169" s="12" t="s">
        <v>31</v>
      </c>
      <c r="B169" s="12" t="s">
        <v>492</v>
      </c>
      <c r="C169" s="12" t="s">
        <v>491</v>
      </c>
      <c r="D169" s="12" t="s">
        <v>1410</v>
      </c>
      <c r="E169" s="12" t="s">
        <v>1519</v>
      </c>
      <c r="F169" s="12" t="s">
        <v>1520</v>
      </c>
      <c r="G169" s="12" t="s">
        <v>1521</v>
      </c>
      <c r="H169" s="12" t="s">
        <v>1448</v>
      </c>
      <c r="I169" s="12" t="s">
        <v>1420</v>
      </c>
      <c r="J169" s="12" t="s">
        <v>1420</v>
      </c>
      <c r="K169" s="12" t="s">
        <v>1420</v>
      </c>
      <c r="L169" s="12" t="s">
        <v>1420</v>
      </c>
      <c r="M169" s="12" t="s">
        <v>1420</v>
      </c>
      <c r="N169" s="12" t="s">
        <v>1414</v>
      </c>
      <c r="O169" s="12" t="s">
        <v>1420</v>
      </c>
      <c r="P169" s="12" t="s">
        <v>1414</v>
      </c>
      <c r="Q169" s="12" t="s">
        <v>1420</v>
      </c>
      <c r="R169" s="12" t="s">
        <v>1420</v>
      </c>
      <c r="S169" s="12" t="s">
        <v>1414</v>
      </c>
      <c r="T169" s="12" t="s">
        <v>1420</v>
      </c>
      <c r="U169" s="12" t="s">
        <v>1420</v>
      </c>
      <c r="V169" s="12" t="s">
        <v>1420</v>
      </c>
      <c r="W169" s="12" t="s">
        <v>1420</v>
      </c>
      <c r="X169" s="12" t="s">
        <v>1414</v>
      </c>
      <c r="Y169" s="12" t="s">
        <v>1420</v>
      </c>
      <c r="Z169" s="12" t="s">
        <v>1420</v>
      </c>
      <c r="AA169" s="12" t="s">
        <v>1420</v>
      </c>
      <c r="AB169" s="12" t="s">
        <v>1420</v>
      </c>
      <c r="AC169" s="12" t="s">
        <v>1420</v>
      </c>
      <c r="AD169" s="12" t="s">
        <v>1414</v>
      </c>
      <c r="AE169" s="12" t="s">
        <v>1420</v>
      </c>
      <c r="AF169" s="12" t="s">
        <v>1420</v>
      </c>
      <c r="AG169" s="12" t="s">
        <v>1420</v>
      </c>
    </row>
    <row r="170" spans="1:33" ht="14.4" x14ac:dyDescent="0.3">
      <c r="A170" s="12" t="s">
        <v>16</v>
      </c>
      <c r="B170" s="12" t="s">
        <v>800</v>
      </c>
      <c r="C170" s="12" t="s">
        <v>799</v>
      </c>
      <c r="D170" s="12" t="s">
        <v>1410</v>
      </c>
      <c r="E170" s="12" t="s">
        <v>2496</v>
      </c>
      <c r="F170" s="12" t="s">
        <v>2497</v>
      </c>
      <c r="G170" s="12" t="s">
        <v>1618</v>
      </c>
      <c r="H170" s="12" t="s">
        <v>1438</v>
      </c>
      <c r="I170" s="12" t="s">
        <v>1420</v>
      </c>
      <c r="J170" s="12" t="s">
        <v>1414</v>
      </c>
      <c r="K170" s="12" t="s">
        <v>1420</v>
      </c>
      <c r="L170" s="12" t="s">
        <v>1420</v>
      </c>
      <c r="M170" s="12" t="s">
        <v>1420</v>
      </c>
      <c r="N170" s="12" t="s">
        <v>1420</v>
      </c>
      <c r="O170" s="12" t="s">
        <v>1414</v>
      </c>
      <c r="P170" s="12" t="s">
        <v>1420</v>
      </c>
      <c r="Q170" s="12" t="s">
        <v>1420</v>
      </c>
      <c r="R170" s="12" t="s">
        <v>1420</v>
      </c>
      <c r="S170" s="12" t="s">
        <v>1414</v>
      </c>
      <c r="T170" s="12" t="s">
        <v>1420</v>
      </c>
      <c r="U170" s="12" t="s">
        <v>1420</v>
      </c>
      <c r="V170" s="12" t="s">
        <v>1420</v>
      </c>
      <c r="W170" s="12" t="s">
        <v>1420</v>
      </c>
      <c r="X170" s="12" t="s">
        <v>1414</v>
      </c>
      <c r="Y170" s="12" t="s">
        <v>1414</v>
      </c>
      <c r="Z170" s="12" t="s">
        <v>1420</v>
      </c>
      <c r="AA170" s="12" t="s">
        <v>1420</v>
      </c>
      <c r="AB170" s="12" t="s">
        <v>1420</v>
      </c>
      <c r="AC170" s="12" t="s">
        <v>1414</v>
      </c>
      <c r="AD170" s="12" t="s">
        <v>1420</v>
      </c>
      <c r="AE170" s="12" t="s">
        <v>1420</v>
      </c>
      <c r="AF170" s="12" t="s">
        <v>1420</v>
      </c>
      <c r="AG170" s="12" t="s">
        <v>1420</v>
      </c>
    </row>
    <row r="171" spans="1:33" ht="14.4" x14ac:dyDescent="0.3">
      <c r="A171" s="12" t="s">
        <v>31</v>
      </c>
      <c r="B171" s="12" t="s">
        <v>800</v>
      </c>
      <c r="C171" s="12" t="s">
        <v>801</v>
      </c>
      <c r="D171" s="12" t="s">
        <v>1410</v>
      </c>
      <c r="E171" s="12" t="s">
        <v>2837</v>
      </c>
      <c r="F171" s="12" t="s">
        <v>2841</v>
      </c>
      <c r="G171" s="12" t="s">
        <v>2061</v>
      </c>
      <c r="H171" s="12" t="s">
        <v>1424</v>
      </c>
      <c r="I171" s="12" t="s">
        <v>1420</v>
      </c>
      <c r="J171" s="12" t="s">
        <v>1420</v>
      </c>
      <c r="K171" s="12" t="s">
        <v>1420</v>
      </c>
      <c r="L171" s="12" t="s">
        <v>1420</v>
      </c>
      <c r="M171" s="12" t="s">
        <v>1420</v>
      </c>
      <c r="N171" s="12" t="s">
        <v>1420</v>
      </c>
      <c r="O171" s="12" t="s">
        <v>1420</v>
      </c>
      <c r="P171" s="12" t="s">
        <v>1414</v>
      </c>
      <c r="Q171" s="12" t="s">
        <v>1420</v>
      </c>
      <c r="R171" s="12" t="s">
        <v>1420</v>
      </c>
      <c r="S171" s="12" t="s">
        <v>1420</v>
      </c>
      <c r="T171" s="12" t="s">
        <v>1420</v>
      </c>
      <c r="U171" s="12" t="s">
        <v>1420</v>
      </c>
      <c r="V171" s="12" t="s">
        <v>1420</v>
      </c>
      <c r="W171" s="12" t="s">
        <v>1420</v>
      </c>
      <c r="X171" s="12" t="s">
        <v>1420</v>
      </c>
      <c r="Y171" s="12" t="s">
        <v>1420</v>
      </c>
      <c r="Z171" s="12" t="s">
        <v>1420</v>
      </c>
      <c r="AA171" s="12" t="s">
        <v>1420</v>
      </c>
      <c r="AB171" s="12" t="s">
        <v>1420</v>
      </c>
      <c r="AC171" s="12" t="s">
        <v>1414</v>
      </c>
      <c r="AD171" s="12" t="s">
        <v>1414</v>
      </c>
      <c r="AE171" s="12" t="s">
        <v>1420</v>
      </c>
      <c r="AF171" s="12" t="s">
        <v>1420</v>
      </c>
      <c r="AG171" s="12" t="s">
        <v>1420</v>
      </c>
    </row>
    <row r="172" spans="1:33" ht="14.4" x14ac:dyDescent="0.3">
      <c r="A172" s="12" t="s">
        <v>31</v>
      </c>
      <c r="B172" s="12" t="s">
        <v>492</v>
      </c>
      <c r="C172" s="12" t="s">
        <v>5562</v>
      </c>
      <c r="D172" s="12" t="s">
        <v>1410</v>
      </c>
      <c r="E172" s="12" t="s">
        <v>5563</v>
      </c>
      <c r="F172" s="12" t="s">
        <v>5564</v>
      </c>
      <c r="G172" s="12" t="s">
        <v>5565</v>
      </c>
      <c r="H172" s="12" t="s">
        <v>1464</v>
      </c>
      <c r="I172" s="12" t="s">
        <v>1420</v>
      </c>
      <c r="J172" s="12" t="s">
        <v>1420</v>
      </c>
      <c r="K172" s="12" t="s">
        <v>1420</v>
      </c>
      <c r="L172" s="12" t="s">
        <v>1420</v>
      </c>
      <c r="M172" s="12" t="s">
        <v>1420</v>
      </c>
      <c r="N172" s="12" t="s">
        <v>1420</v>
      </c>
      <c r="O172" s="12" t="s">
        <v>1420</v>
      </c>
      <c r="P172" s="12" t="s">
        <v>1420</v>
      </c>
      <c r="Q172" s="12" t="s">
        <v>1420</v>
      </c>
      <c r="R172" s="12" t="s">
        <v>1420</v>
      </c>
      <c r="S172" s="12" t="s">
        <v>1420</v>
      </c>
      <c r="T172" s="12" t="s">
        <v>1420</v>
      </c>
      <c r="U172" s="12" t="s">
        <v>1420</v>
      </c>
      <c r="V172" s="12" t="s">
        <v>1420</v>
      </c>
      <c r="W172" s="12" t="s">
        <v>1420</v>
      </c>
      <c r="X172" s="12" t="s">
        <v>1420</v>
      </c>
      <c r="Y172" s="12" t="s">
        <v>1420</v>
      </c>
      <c r="Z172" s="12" t="s">
        <v>1420</v>
      </c>
      <c r="AA172" s="12" t="s">
        <v>1420</v>
      </c>
      <c r="AB172" s="12" t="s">
        <v>1420</v>
      </c>
      <c r="AC172" s="12" t="s">
        <v>1420</v>
      </c>
      <c r="AD172" s="12" t="s">
        <v>1420</v>
      </c>
      <c r="AE172" s="12" t="s">
        <v>1420</v>
      </c>
      <c r="AF172" s="12" t="s">
        <v>1420</v>
      </c>
      <c r="AG172" s="12" t="s">
        <v>1420</v>
      </c>
    </row>
    <row r="173" spans="1:33" ht="14.4" x14ac:dyDescent="0.3">
      <c r="A173" s="12" t="s">
        <v>8</v>
      </c>
      <c r="B173" s="12" t="s">
        <v>1312</v>
      </c>
      <c r="C173" s="12" t="s">
        <v>1311</v>
      </c>
      <c r="D173" s="12" t="s">
        <v>1456</v>
      </c>
      <c r="E173" s="12" t="s">
        <v>1899</v>
      </c>
      <c r="F173" s="12" t="s">
        <v>1415</v>
      </c>
      <c r="G173" s="12" t="s">
        <v>1415</v>
      </c>
      <c r="H173" s="12" t="s">
        <v>1415</v>
      </c>
      <c r="I173" s="12" t="s">
        <v>1415</v>
      </c>
      <c r="J173" s="12" t="s">
        <v>1415</v>
      </c>
      <c r="K173" s="12" t="s">
        <v>1415</v>
      </c>
      <c r="L173" s="12" t="s">
        <v>1415</v>
      </c>
      <c r="M173" s="12" t="s">
        <v>1415</v>
      </c>
      <c r="N173" s="12" t="s">
        <v>1415</v>
      </c>
      <c r="O173" s="12" t="s">
        <v>1415</v>
      </c>
      <c r="P173" s="12" t="s">
        <v>1415</v>
      </c>
      <c r="Q173" s="12" t="s">
        <v>1415</v>
      </c>
      <c r="R173" s="12" t="s">
        <v>1415</v>
      </c>
      <c r="S173" s="12" t="s">
        <v>1415</v>
      </c>
      <c r="T173" s="12" t="s">
        <v>1415</v>
      </c>
      <c r="U173" s="12" t="s">
        <v>1415</v>
      </c>
      <c r="V173" s="12" t="s">
        <v>1415</v>
      </c>
      <c r="W173" s="12" t="s">
        <v>1415</v>
      </c>
      <c r="X173" s="12" t="s">
        <v>1415</v>
      </c>
      <c r="Y173" s="12" t="s">
        <v>1415</v>
      </c>
      <c r="Z173" s="12" t="s">
        <v>1415</v>
      </c>
      <c r="AA173" s="12" t="s">
        <v>1415</v>
      </c>
      <c r="AB173" s="12" t="s">
        <v>1415</v>
      </c>
      <c r="AC173" s="12" t="s">
        <v>1415</v>
      </c>
      <c r="AD173" s="12" t="s">
        <v>1415</v>
      </c>
      <c r="AE173" s="12" t="s">
        <v>1415</v>
      </c>
      <c r="AF173" s="12" t="s">
        <v>1415</v>
      </c>
      <c r="AG173" s="12" t="s">
        <v>1415</v>
      </c>
    </row>
    <row r="174" spans="1:33" ht="14.4" x14ac:dyDescent="0.3">
      <c r="A174" s="12" t="s">
        <v>228</v>
      </c>
      <c r="B174" s="12" t="s">
        <v>803</v>
      </c>
      <c r="C174" s="12" t="s">
        <v>802</v>
      </c>
      <c r="D174" s="12" t="s">
        <v>1410</v>
      </c>
      <c r="E174" s="12" t="s">
        <v>2660</v>
      </c>
      <c r="F174" s="12" t="s">
        <v>2662</v>
      </c>
      <c r="G174" s="12" t="s">
        <v>2663</v>
      </c>
      <c r="H174" s="12" t="s">
        <v>1424</v>
      </c>
      <c r="I174" s="12" t="s">
        <v>1420</v>
      </c>
      <c r="J174" s="12" t="s">
        <v>1420</v>
      </c>
      <c r="K174" s="12" t="s">
        <v>1420</v>
      </c>
      <c r="L174" s="12" t="s">
        <v>1420</v>
      </c>
      <c r="M174" s="12" t="s">
        <v>1420</v>
      </c>
      <c r="N174" s="12" t="s">
        <v>1420</v>
      </c>
      <c r="O174" s="12" t="s">
        <v>1420</v>
      </c>
      <c r="P174" s="12" t="s">
        <v>1420</v>
      </c>
      <c r="Q174" s="12" t="s">
        <v>1420</v>
      </c>
      <c r="R174" s="12" t="s">
        <v>1414</v>
      </c>
      <c r="S174" s="12" t="s">
        <v>1414</v>
      </c>
      <c r="T174" s="12" t="s">
        <v>1420</v>
      </c>
      <c r="U174" s="12" t="s">
        <v>1420</v>
      </c>
      <c r="V174" s="12" t="s">
        <v>1420</v>
      </c>
      <c r="W174" s="12" t="s">
        <v>1420</v>
      </c>
      <c r="X174" s="12" t="s">
        <v>1420</v>
      </c>
      <c r="Y174" s="12" t="s">
        <v>1420</v>
      </c>
      <c r="Z174" s="12" t="s">
        <v>1420</v>
      </c>
      <c r="AA174" s="12" t="s">
        <v>1420</v>
      </c>
      <c r="AB174" s="12" t="s">
        <v>1420</v>
      </c>
      <c r="AC174" s="12" t="s">
        <v>1420</v>
      </c>
      <c r="AD174" s="12" t="s">
        <v>1414</v>
      </c>
      <c r="AE174" s="12" t="s">
        <v>1420</v>
      </c>
      <c r="AF174" s="12" t="s">
        <v>1420</v>
      </c>
      <c r="AG174" s="12" t="s">
        <v>1420</v>
      </c>
    </row>
    <row r="175" spans="1:33" ht="14.4" x14ac:dyDescent="0.3">
      <c r="A175" s="12" t="s">
        <v>8</v>
      </c>
      <c r="B175" s="12" t="s">
        <v>1373</v>
      </c>
      <c r="C175" s="12" t="s">
        <v>1372</v>
      </c>
      <c r="D175" s="12" t="s">
        <v>1410</v>
      </c>
      <c r="E175" s="12" t="s">
        <v>1987</v>
      </c>
      <c r="F175" s="12" t="s">
        <v>1988</v>
      </c>
      <c r="G175" s="12" t="s">
        <v>1989</v>
      </c>
      <c r="H175" s="12" t="s">
        <v>1749</v>
      </c>
      <c r="I175" s="12" t="s">
        <v>1414</v>
      </c>
      <c r="J175" s="12" t="s">
        <v>1414</v>
      </c>
      <c r="K175" s="12" t="s">
        <v>1414</v>
      </c>
      <c r="L175" s="12" t="s">
        <v>1414</v>
      </c>
      <c r="M175" s="12" t="s">
        <v>1414</v>
      </c>
      <c r="N175" s="12" t="s">
        <v>1414</v>
      </c>
      <c r="O175" s="12" t="s">
        <v>1414</v>
      </c>
      <c r="P175" s="12" t="s">
        <v>1420</v>
      </c>
      <c r="Q175" s="12" t="s">
        <v>1420</v>
      </c>
      <c r="R175" s="12" t="s">
        <v>1414</v>
      </c>
      <c r="S175" s="12" t="s">
        <v>1414</v>
      </c>
      <c r="T175" s="12" t="s">
        <v>1414</v>
      </c>
      <c r="U175" s="12" t="s">
        <v>1414</v>
      </c>
      <c r="V175" s="12" t="s">
        <v>1414</v>
      </c>
      <c r="W175" s="12" t="s">
        <v>1420</v>
      </c>
      <c r="X175" s="12" t="s">
        <v>1414</v>
      </c>
      <c r="Y175" s="12" t="s">
        <v>1414</v>
      </c>
      <c r="Z175" s="12" t="s">
        <v>1414</v>
      </c>
      <c r="AA175" s="12" t="s">
        <v>1414</v>
      </c>
      <c r="AB175" s="12" t="s">
        <v>1414</v>
      </c>
      <c r="AC175" s="12" t="s">
        <v>1414</v>
      </c>
      <c r="AD175" s="12" t="s">
        <v>1414</v>
      </c>
      <c r="AE175" s="12" t="s">
        <v>1420</v>
      </c>
      <c r="AF175" s="12" t="s">
        <v>1414</v>
      </c>
      <c r="AG175" s="12" t="s">
        <v>1414</v>
      </c>
    </row>
    <row r="176" spans="1:33" ht="14.4" x14ac:dyDescent="0.3">
      <c r="A176" s="12" t="s">
        <v>31</v>
      </c>
      <c r="B176" s="12" t="s">
        <v>5566</v>
      </c>
      <c r="C176" s="12" t="s">
        <v>5567</v>
      </c>
      <c r="D176" s="12" t="s">
        <v>1410</v>
      </c>
      <c r="E176" s="12" t="s">
        <v>5568</v>
      </c>
      <c r="F176" s="12" t="s">
        <v>5569</v>
      </c>
      <c r="G176" s="12" t="s">
        <v>1858</v>
      </c>
      <c r="H176" s="12" t="s">
        <v>1488</v>
      </c>
      <c r="I176" s="12" t="s">
        <v>1420</v>
      </c>
      <c r="J176" s="12" t="s">
        <v>1420</v>
      </c>
      <c r="K176" s="12" t="s">
        <v>1420</v>
      </c>
      <c r="L176" s="12" t="s">
        <v>1420</v>
      </c>
      <c r="M176" s="12" t="s">
        <v>1420</v>
      </c>
      <c r="N176" s="12" t="s">
        <v>1420</v>
      </c>
      <c r="O176" s="12" t="s">
        <v>1420</v>
      </c>
      <c r="P176" s="12" t="s">
        <v>1420</v>
      </c>
      <c r="Q176" s="12" t="s">
        <v>1420</v>
      </c>
      <c r="R176" s="12" t="s">
        <v>1420</v>
      </c>
      <c r="S176" s="12" t="s">
        <v>1420</v>
      </c>
      <c r="T176" s="12" t="s">
        <v>1420</v>
      </c>
      <c r="U176" s="12" t="s">
        <v>1420</v>
      </c>
      <c r="V176" s="12" t="s">
        <v>1420</v>
      </c>
      <c r="W176" s="12" t="s">
        <v>1420</v>
      </c>
      <c r="X176" s="12" t="s">
        <v>1420</v>
      </c>
      <c r="Y176" s="12" t="s">
        <v>1420</v>
      </c>
      <c r="Z176" s="12" t="s">
        <v>1414</v>
      </c>
      <c r="AA176" s="12" t="s">
        <v>1414</v>
      </c>
      <c r="AB176" s="12" t="s">
        <v>1420</v>
      </c>
      <c r="AC176" s="12" t="s">
        <v>1414</v>
      </c>
      <c r="AD176" s="12" t="s">
        <v>1420</v>
      </c>
      <c r="AE176" s="12" t="s">
        <v>1420</v>
      </c>
      <c r="AF176" s="12" t="s">
        <v>1414</v>
      </c>
      <c r="AG176" s="12" t="s">
        <v>1420</v>
      </c>
    </row>
    <row r="177" spans="1:33" ht="14.4" x14ac:dyDescent="0.3">
      <c r="A177" s="12" t="s">
        <v>22</v>
      </c>
      <c r="B177" s="12" t="s">
        <v>494</v>
      </c>
      <c r="C177" s="12" t="s">
        <v>493</v>
      </c>
      <c r="D177" s="12" t="s">
        <v>1410</v>
      </c>
      <c r="E177" s="12" t="s">
        <v>2240</v>
      </c>
      <c r="F177" s="12" t="s">
        <v>2241</v>
      </c>
      <c r="G177" s="12" t="s">
        <v>2126</v>
      </c>
      <c r="H177" s="12" t="s">
        <v>1424</v>
      </c>
      <c r="I177" s="12" t="s">
        <v>1420</v>
      </c>
      <c r="J177" s="12" t="s">
        <v>1420</v>
      </c>
      <c r="K177" s="12" t="s">
        <v>1420</v>
      </c>
      <c r="L177" s="12" t="s">
        <v>1420</v>
      </c>
      <c r="M177" s="12" t="s">
        <v>1420</v>
      </c>
      <c r="N177" s="12" t="s">
        <v>1420</v>
      </c>
      <c r="O177" s="12" t="s">
        <v>1414</v>
      </c>
      <c r="P177" s="12" t="s">
        <v>1420</v>
      </c>
      <c r="Q177" s="12" t="s">
        <v>1420</v>
      </c>
      <c r="R177" s="12" t="s">
        <v>1420</v>
      </c>
      <c r="S177" s="12" t="s">
        <v>1420</v>
      </c>
      <c r="T177" s="12" t="s">
        <v>1420</v>
      </c>
      <c r="U177" s="12" t="s">
        <v>1420</v>
      </c>
      <c r="V177" s="12" t="s">
        <v>1420</v>
      </c>
      <c r="W177" s="12" t="s">
        <v>1414</v>
      </c>
      <c r="X177" s="12" t="s">
        <v>1420</v>
      </c>
      <c r="Y177" s="12" t="s">
        <v>1420</v>
      </c>
      <c r="Z177" s="12" t="s">
        <v>1420</v>
      </c>
      <c r="AA177" s="12" t="s">
        <v>1420</v>
      </c>
      <c r="AB177" s="12" t="s">
        <v>1420</v>
      </c>
      <c r="AC177" s="12" t="s">
        <v>1420</v>
      </c>
      <c r="AD177" s="12" t="s">
        <v>1420</v>
      </c>
      <c r="AE177" s="12" t="s">
        <v>1414</v>
      </c>
      <c r="AF177" s="12" t="s">
        <v>1420</v>
      </c>
      <c r="AG177" s="12" t="s">
        <v>1420</v>
      </c>
    </row>
    <row r="178" spans="1:33" ht="14.4" x14ac:dyDescent="0.3">
      <c r="A178" s="12" t="s">
        <v>28</v>
      </c>
      <c r="B178" s="12" t="s">
        <v>5570</v>
      </c>
      <c r="C178" s="12" t="s">
        <v>5571</v>
      </c>
      <c r="D178" s="12" t="s">
        <v>1410</v>
      </c>
      <c r="E178" s="12" t="s">
        <v>5572</v>
      </c>
      <c r="F178" s="12" t="s">
        <v>5573</v>
      </c>
      <c r="G178" s="12" t="s">
        <v>5235</v>
      </c>
      <c r="H178" s="12" t="s">
        <v>1452</v>
      </c>
      <c r="I178" s="12" t="s">
        <v>1420</v>
      </c>
      <c r="J178" s="12" t="s">
        <v>1420</v>
      </c>
      <c r="K178" s="12" t="s">
        <v>1420</v>
      </c>
      <c r="L178" s="12" t="s">
        <v>1420</v>
      </c>
      <c r="M178" s="12" t="s">
        <v>1420</v>
      </c>
      <c r="N178" s="12" t="s">
        <v>1420</v>
      </c>
      <c r="O178" s="12" t="s">
        <v>1420</v>
      </c>
      <c r="P178" s="12" t="s">
        <v>1420</v>
      </c>
      <c r="Q178" s="12" t="s">
        <v>1420</v>
      </c>
      <c r="R178" s="12" t="s">
        <v>1414</v>
      </c>
      <c r="S178" s="12" t="s">
        <v>1420</v>
      </c>
      <c r="T178" s="12" t="s">
        <v>1420</v>
      </c>
      <c r="U178" s="12" t="s">
        <v>1420</v>
      </c>
      <c r="V178" s="12" t="s">
        <v>1420</v>
      </c>
      <c r="W178" s="12" t="s">
        <v>1420</v>
      </c>
      <c r="X178" s="12" t="s">
        <v>1420</v>
      </c>
      <c r="Y178" s="12" t="s">
        <v>1420</v>
      </c>
      <c r="Z178" s="12" t="s">
        <v>1420</v>
      </c>
      <c r="AA178" s="12" t="s">
        <v>1420</v>
      </c>
      <c r="AB178" s="12" t="s">
        <v>1420</v>
      </c>
      <c r="AC178" s="12" t="s">
        <v>1420</v>
      </c>
      <c r="AD178" s="12" t="s">
        <v>1420</v>
      </c>
      <c r="AE178" s="12" t="s">
        <v>1420</v>
      </c>
      <c r="AF178" s="12" t="s">
        <v>1420</v>
      </c>
      <c r="AG178" s="12" t="s">
        <v>1420</v>
      </c>
    </row>
    <row r="179" spans="1:33" ht="14.4" x14ac:dyDescent="0.3">
      <c r="A179" s="12" t="s">
        <v>8</v>
      </c>
      <c r="B179" s="12" t="s">
        <v>496</v>
      </c>
      <c r="C179" s="12" t="s">
        <v>495</v>
      </c>
      <c r="D179" s="12" t="s">
        <v>1410</v>
      </c>
      <c r="E179" s="12" t="s">
        <v>1537</v>
      </c>
      <c r="F179" s="12" t="s">
        <v>1538</v>
      </c>
      <c r="G179" s="12" t="s">
        <v>1539</v>
      </c>
      <c r="H179" s="12" t="s">
        <v>1452</v>
      </c>
      <c r="I179" s="12" t="s">
        <v>1420</v>
      </c>
      <c r="J179" s="12" t="s">
        <v>1420</v>
      </c>
      <c r="K179" s="12" t="s">
        <v>1420</v>
      </c>
      <c r="L179" s="12" t="s">
        <v>1420</v>
      </c>
      <c r="M179" s="12" t="s">
        <v>1420</v>
      </c>
      <c r="N179" s="12" t="s">
        <v>1420</v>
      </c>
      <c r="O179" s="12" t="s">
        <v>1420</v>
      </c>
      <c r="P179" s="12" t="s">
        <v>1420</v>
      </c>
      <c r="Q179" s="12" t="s">
        <v>1420</v>
      </c>
      <c r="R179" s="12" t="s">
        <v>1420</v>
      </c>
      <c r="S179" s="12" t="s">
        <v>1420</v>
      </c>
      <c r="T179" s="12" t="s">
        <v>1420</v>
      </c>
      <c r="U179" s="12" t="s">
        <v>1420</v>
      </c>
      <c r="V179" s="12" t="s">
        <v>1420</v>
      </c>
      <c r="W179" s="12" t="s">
        <v>1420</v>
      </c>
      <c r="X179" s="12" t="s">
        <v>1414</v>
      </c>
      <c r="Y179" s="12" t="s">
        <v>1420</v>
      </c>
      <c r="Z179" s="12" t="s">
        <v>1420</v>
      </c>
      <c r="AA179" s="12" t="s">
        <v>1420</v>
      </c>
      <c r="AB179" s="12" t="s">
        <v>1420</v>
      </c>
      <c r="AC179" s="12" t="s">
        <v>1420</v>
      </c>
      <c r="AD179" s="12" t="s">
        <v>1420</v>
      </c>
      <c r="AE179" s="12" t="s">
        <v>1420</v>
      </c>
      <c r="AF179" s="12" t="s">
        <v>1420</v>
      </c>
      <c r="AG179" s="12" t="s">
        <v>1420</v>
      </c>
    </row>
    <row r="180" spans="1:33" ht="14.4" x14ac:dyDescent="0.3">
      <c r="A180" s="12" t="s">
        <v>8</v>
      </c>
      <c r="B180" s="12" t="s">
        <v>61</v>
      </c>
      <c r="C180" s="12" t="s">
        <v>60</v>
      </c>
      <c r="D180" s="12" t="s">
        <v>1410</v>
      </c>
      <c r="E180" s="12" t="s">
        <v>2096</v>
      </c>
      <c r="F180" s="12" t="s">
        <v>2164</v>
      </c>
      <c r="G180" s="12" t="s">
        <v>2165</v>
      </c>
      <c r="H180" s="12" t="s">
        <v>1464</v>
      </c>
      <c r="I180" s="12" t="s">
        <v>1420</v>
      </c>
      <c r="J180" s="12" t="s">
        <v>1420</v>
      </c>
      <c r="K180" s="12" t="s">
        <v>1420</v>
      </c>
      <c r="L180" s="12" t="s">
        <v>1420</v>
      </c>
      <c r="M180" s="12" t="s">
        <v>1420</v>
      </c>
      <c r="N180" s="12" t="s">
        <v>1420</v>
      </c>
      <c r="O180" s="12" t="s">
        <v>1420</v>
      </c>
      <c r="P180" s="12" t="s">
        <v>1420</v>
      </c>
      <c r="Q180" s="12" t="s">
        <v>1420</v>
      </c>
      <c r="R180" s="12" t="s">
        <v>1420</v>
      </c>
      <c r="S180" s="12" t="s">
        <v>1420</v>
      </c>
      <c r="T180" s="12" t="s">
        <v>1420</v>
      </c>
      <c r="U180" s="12" t="s">
        <v>1420</v>
      </c>
      <c r="V180" s="12" t="s">
        <v>1420</v>
      </c>
      <c r="W180" s="12" t="s">
        <v>1420</v>
      </c>
      <c r="X180" s="12" t="s">
        <v>1420</v>
      </c>
      <c r="Y180" s="12" t="s">
        <v>1420</v>
      </c>
      <c r="Z180" s="12" t="s">
        <v>1420</v>
      </c>
      <c r="AA180" s="12" t="s">
        <v>1420</v>
      </c>
      <c r="AB180" s="12" t="s">
        <v>1420</v>
      </c>
      <c r="AC180" s="12" t="s">
        <v>1420</v>
      </c>
      <c r="AD180" s="12" t="s">
        <v>1420</v>
      </c>
      <c r="AE180" s="12" t="s">
        <v>1420</v>
      </c>
      <c r="AF180" s="12" t="s">
        <v>1420</v>
      </c>
      <c r="AG180" s="12" t="s">
        <v>1420</v>
      </c>
    </row>
    <row r="181" spans="1:33" ht="14.4" x14ac:dyDescent="0.3">
      <c r="A181" s="12" t="s">
        <v>8</v>
      </c>
      <c r="B181" s="12" t="s">
        <v>63</v>
      </c>
      <c r="C181" s="12" t="s">
        <v>62</v>
      </c>
      <c r="D181" s="12" t="s">
        <v>1410</v>
      </c>
      <c r="E181" s="12" t="s">
        <v>2118</v>
      </c>
      <c r="F181" s="12" t="s">
        <v>2120</v>
      </c>
      <c r="G181" s="12" t="s">
        <v>2121</v>
      </c>
      <c r="H181" s="12" t="s">
        <v>1419</v>
      </c>
      <c r="I181" s="12" t="s">
        <v>1420</v>
      </c>
      <c r="J181" s="12" t="s">
        <v>1420</v>
      </c>
      <c r="K181" s="12" t="s">
        <v>1420</v>
      </c>
      <c r="L181" s="12" t="s">
        <v>1420</v>
      </c>
      <c r="M181" s="12" t="s">
        <v>1420</v>
      </c>
      <c r="N181" s="12" t="s">
        <v>1420</v>
      </c>
      <c r="O181" s="12" t="s">
        <v>1420</v>
      </c>
      <c r="P181" s="12" t="s">
        <v>1414</v>
      </c>
      <c r="Q181" s="12" t="s">
        <v>1420</v>
      </c>
      <c r="R181" s="12" t="s">
        <v>1420</v>
      </c>
      <c r="S181" s="12" t="s">
        <v>1420</v>
      </c>
      <c r="T181" s="12" t="s">
        <v>1420</v>
      </c>
      <c r="U181" s="12" t="s">
        <v>1420</v>
      </c>
      <c r="V181" s="12" t="s">
        <v>1420</v>
      </c>
      <c r="W181" s="12" t="s">
        <v>1420</v>
      </c>
      <c r="X181" s="12" t="s">
        <v>1420</v>
      </c>
      <c r="Y181" s="12" t="s">
        <v>1420</v>
      </c>
      <c r="Z181" s="12" t="s">
        <v>1420</v>
      </c>
      <c r="AA181" s="12" t="s">
        <v>1420</v>
      </c>
      <c r="AB181" s="12" t="s">
        <v>1420</v>
      </c>
      <c r="AC181" s="12" t="s">
        <v>1414</v>
      </c>
      <c r="AD181" s="12" t="s">
        <v>1420</v>
      </c>
      <c r="AE181" s="12" t="s">
        <v>1420</v>
      </c>
      <c r="AF181" s="12" t="s">
        <v>1420</v>
      </c>
      <c r="AG181" s="12" t="s">
        <v>1420</v>
      </c>
    </row>
    <row r="182" spans="1:33" ht="14.4" x14ac:dyDescent="0.3">
      <c r="A182" s="12" t="s">
        <v>499</v>
      </c>
      <c r="B182" s="12" t="s">
        <v>498</v>
      </c>
      <c r="C182" s="12" t="s">
        <v>497</v>
      </c>
      <c r="D182" s="12" t="s">
        <v>1410</v>
      </c>
      <c r="E182" s="12" t="s">
        <v>1498</v>
      </c>
      <c r="F182" s="12" t="s">
        <v>1499</v>
      </c>
      <c r="G182" s="12" t="s">
        <v>1500</v>
      </c>
      <c r="H182" s="12" t="s">
        <v>1419</v>
      </c>
      <c r="I182" s="12" t="s">
        <v>1420</v>
      </c>
      <c r="J182" s="12" t="s">
        <v>1414</v>
      </c>
      <c r="K182" s="12" t="s">
        <v>1420</v>
      </c>
      <c r="L182" s="12" t="s">
        <v>1420</v>
      </c>
      <c r="M182" s="12" t="s">
        <v>1420</v>
      </c>
      <c r="N182" s="12" t="s">
        <v>1420</v>
      </c>
      <c r="O182" s="12" t="s">
        <v>1420</v>
      </c>
      <c r="P182" s="12" t="s">
        <v>1420</v>
      </c>
      <c r="Q182" s="12" t="s">
        <v>1420</v>
      </c>
      <c r="R182" s="12" t="s">
        <v>1420</v>
      </c>
      <c r="S182" s="12" t="s">
        <v>1420</v>
      </c>
      <c r="T182" s="12" t="s">
        <v>1420</v>
      </c>
      <c r="U182" s="12" t="s">
        <v>1420</v>
      </c>
      <c r="V182" s="12" t="s">
        <v>1420</v>
      </c>
      <c r="W182" s="12" t="s">
        <v>1420</v>
      </c>
      <c r="X182" s="12" t="s">
        <v>1420</v>
      </c>
      <c r="Y182" s="12" t="s">
        <v>1420</v>
      </c>
      <c r="Z182" s="12" t="s">
        <v>1420</v>
      </c>
      <c r="AA182" s="12" t="s">
        <v>1420</v>
      </c>
      <c r="AB182" s="12" t="s">
        <v>1420</v>
      </c>
      <c r="AC182" s="12" t="s">
        <v>1420</v>
      </c>
      <c r="AD182" s="12" t="s">
        <v>1414</v>
      </c>
      <c r="AE182" s="12" t="s">
        <v>1420</v>
      </c>
      <c r="AF182" s="12" t="s">
        <v>1420</v>
      </c>
      <c r="AG182" s="12" t="s">
        <v>1420</v>
      </c>
    </row>
    <row r="183" spans="1:33" ht="14.4" x14ac:dyDescent="0.3">
      <c r="A183" s="12" t="s">
        <v>66</v>
      </c>
      <c r="B183" s="12" t="s">
        <v>65</v>
      </c>
      <c r="C183" s="12" t="s">
        <v>64</v>
      </c>
      <c r="D183" s="12" t="s">
        <v>1410</v>
      </c>
      <c r="E183" s="12" t="s">
        <v>2954</v>
      </c>
      <c r="F183" s="12" t="s">
        <v>2955</v>
      </c>
      <c r="G183" s="12" t="s">
        <v>2956</v>
      </c>
      <c r="H183" s="12" t="s">
        <v>1419</v>
      </c>
      <c r="I183" s="12" t="s">
        <v>1420</v>
      </c>
      <c r="J183" s="12" t="s">
        <v>1420</v>
      </c>
      <c r="K183" s="12" t="s">
        <v>1420</v>
      </c>
      <c r="L183" s="12" t="s">
        <v>1420</v>
      </c>
      <c r="M183" s="12" t="s">
        <v>1420</v>
      </c>
      <c r="N183" s="12" t="s">
        <v>1414</v>
      </c>
      <c r="O183" s="12" t="s">
        <v>1420</v>
      </c>
      <c r="P183" s="12" t="s">
        <v>1420</v>
      </c>
      <c r="Q183" s="12" t="s">
        <v>1420</v>
      </c>
      <c r="R183" s="12" t="s">
        <v>1420</v>
      </c>
      <c r="S183" s="12" t="s">
        <v>1420</v>
      </c>
      <c r="T183" s="12" t="s">
        <v>1420</v>
      </c>
      <c r="U183" s="12" t="s">
        <v>1420</v>
      </c>
      <c r="V183" s="12" t="s">
        <v>1420</v>
      </c>
      <c r="W183" s="12" t="s">
        <v>1420</v>
      </c>
      <c r="X183" s="12" t="s">
        <v>1420</v>
      </c>
      <c r="Y183" s="12" t="s">
        <v>1420</v>
      </c>
      <c r="Z183" s="12" t="s">
        <v>1420</v>
      </c>
      <c r="AA183" s="12" t="s">
        <v>1420</v>
      </c>
      <c r="AB183" s="12" t="s">
        <v>1420</v>
      </c>
      <c r="AC183" s="12" t="s">
        <v>1414</v>
      </c>
      <c r="AD183" s="12" t="s">
        <v>1420</v>
      </c>
      <c r="AE183" s="12" t="s">
        <v>1420</v>
      </c>
      <c r="AF183" s="12" t="s">
        <v>1420</v>
      </c>
      <c r="AG183" s="12" t="s">
        <v>1420</v>
      </c>
    </row>
    <row r="184" spans="1:33" ht="14.4" x14ac:dyDescent="0.3">
      <c r="A184" s="12" t="s">
        <v>19</v>
      </c>
      <c r="B184" s="12" t="s">
        <v>68</v>
      </c>
      <c r="C184" s="12" t="s">
        <v>67</v>
      </c>
      <c r="D184" s="12" t="s">
        <v>1410</v>
      </c>
      <c r="E184" s="12" t="s">
        <v>2145</v>
      </c>
      <c r="F184" s="12" t="s">
        <v>2147</v>
      </c>
      <c r="G184" s="12" t="s">
        <v>1991</v>
      </c>
      <c r="H184" s="12" t="s">
        <v>1464</v>
      </c>
      <c r="I184" s="12" t="s">
        <v>1420</v>
      </c>
      <c r="J184" s="12" t="s">
        <v>1420</v>
      </c>
      <c r="K184" s="12" t="s">
        <v>1420</v>
      </c>
      <c r="L184" s="12" t="s">
        <v>1420</v>
      </c>
      <c r="M184" s="12" t="s">
        <v>1420</v>
      </c>
      <c r="N184" s="12" t="s">
        <v>1420</v>
      </c>
      <c r="O184" s="12" t="s">
        <v>1420</v>
      </c>
      <c r="P184" s="12" t="s">
        <v>1420</v>
      </c>
      <c r="Q184" s="12" t="s">
        <v>1420</v>
      </c>
      <c r="R184" s="12" t="s">
        <v>1420</v>
      </c>
      <c r="S184" s="12" t="s">
        <v>1420</v>
      </c>
      <c r="T184" s="12" t="s">
        <v>1420</v>
      </c>
      <c r="U184" s="12" t="s">
        <v>1420</v>
      </c>
      <c r="V184" s="12" t="s">
        <v>1420</v>
      </c>
      <c r="W184" s="12" t="s">
        <v>1420</v>
      </c>
      <c r="X184" s="12" t="s">
        <v>1420</v>
      </c>
      <c r="Y184" s="12" t="s">
        <v>1420</v>
      </c>
      <c r="Z184" s="12" t="s">
        <v>1420</v>
      </c>
      <c r="AA184" s="12" t="s">
        <v>1420</v>
      </c>
      <c r="AB184" s="12" t="s">
        <v>1420</v>
      </c>
      <c r="AC184" s="12" t="s">
        <v>1420</v>
      </c>
      <c r="AD184" s="12" t="s">
        <v>1420</v>
      </c>
      <c r="AE184" s="12" t="s">
        <v>1420</v>
      </c>
      <c r="AF184" s="12" t="s">
        <v>1420</v>
      </c>
      <c r="AG184" s="12" t="s">
        <v>1420</v>
      </c>
    </row>
    <row r="185" spans="1:33" ht="14.4" x14ac:dyDescent="0.3">
      <c r="A185" s="12" t="s">
        <v>71</v>
      </c>
      <c r="B185" s="12" t="s">
        <v>70</v>
      </c>
      <c r="C185" s="12" t="s">
        <v>69</v>
      </c>
      <c r="D185" s="12" t="s">
        <v>1410</v>
      </c>
      <c r="E185" s="12" t="s">
        <v>2130</v>
      </c>
      <c r="F185" s="12" t="s">
        <v>2099</v>
      </c>
      <c r="G185" s="12" t="s">
        <v>2135</v>
      </c>
      <c r="H185" s="12" t="s">
        <v>1488</v>
      </c>
      <c r="I185" s="12" t="s">
        <v>1420</v>
      </c>
      <c r="J185" s="12" t="s">
        <v>1414</v>
      </c>
      <c r="K185" s="12" t="s">
        <v>1420</v>
      </c>
      <c r="L185" s="12" t="s">
        <v>1420</v>
      </c>
      <c r="M185" s="12" t="s">
        <v>1420</v>
      </c>
      <c r="N185" s="12" t="s">
        <v>1420</v>
      </c>
      <c r="O185" s="12" t="s">
        <v>1414</v>
      </c>
      <c r="P185" s="12" t="s">
        <v>1414</v>
      </c>
      <c r="Q185" s="12" t="s">
        <v>1420</v>
      </c>
      <c r="R185" s="12" t="s">
        <v>1420</v>
      </c>
      <c r="S185" s="12" t="s">
        <v>1414</v>
      </c>
      <c r="T185" s="12" t="s">
        <v>1420</v>
      </c>
      <c r="U185" s="12" t="s">
        <v>1420</v>
      </c>
      <c r="V185" s="12" t="s">
        <v>1420</v>
      </c>
      <c r="W185" s="12" t="s">
        <v>1420</v>
      </c>
      <c r="X185" s="12" t="s">
        <v>1420</v>
      </c>
      <c r="Y185" s="12" t="s">
        <v>1420</v>
      </c>
      <c r="Z185" s="12" t="s">
        <v>1420</v>
      </c>
      <c r="AA185" s="12" t="s">
        <v>1420</v>
      </c>
      <c r="AB185" s="12" t="s">
        <v>1420</v>
      </c>
      <c r="AC185" s="12" t="s">
        <v>1420</v>
      </c>
      <c r="AD185" s="12" t="s">
        <v>1420</v>
      </c>
      <c r="AE185" s="12" t="s">
        <v>1420</v>
      </c>
      <c r="AF185" s="12" t="s">
        <v>1420</v>
      </c>
      <c r="AG185" s="12" t="s">
        <v>1420</v>
      </c>
    </row>
    <row r="186" spans="1:33" ht="14.4" x14ac:dyDescent="0.3">
      <c r="A186" s="12" t="s">
        <v>8</v>
      </c>
      <c r="B186" s="12" t="s">
        <v>710</v>
      </c>
      <c r="C186" s="12" t="s">
        <v>709</v>
      </c>
      <c r="D186" s="12" t="s">
        <v>1410</v>
      </c>
      <c r="E186" s="12" t="s">
        <v>1449</v>
      </c>
      <c r="F186" s="12" t="s">
        <v>1450</v>
      </c>
      <c r="G186" s="12" t="s">
        <v>1451</v>
      </c>
      <c r="H186" s="12" t="s">
        <v>1452</v>
      </c>
      <c r="I186" s="12" t="s">
        <v>1420</v>
      </c>
      <c r="J186" s="12" t="s">
        <v>1420</v>
      </c>
      <c r="K186" s="12" t="s">
        <v>1420</v>
      </c>
      <c r="L186" s="12" t="s">
        <v>1420</v>
      </c>
      <c r="M186" s="12" t="s">
        <v>1420</v>
      </c>
      <c r="N186" s="12" t="s">
        <v>1420</v>
      </c>
      <c r="O186" s="12" t="s">
        <v>1420</v>
      </c>
      <c r="P186" s="12" t="s">
        <v>1420</v>
      </c>
      <c r="Q186" s="12" t="s">
        <v>1420</v>
      </c>
      <c r="R186" s="12" t="s">
        <v>1420</v>
      </c>
      <c r="S186" s="12" t="s">
        <v>1420</v>
      </c>
      <c r="T186" s="12" t="s">
        <v>1420</v>
      </c>
      <c r="U186" s="12" t="s">
        <v>1420</v>
      </c>
      <c r="V186" s="12" t="s">
        <v>1420</v>
      </c>
      <c r="W186" s="12" t="s">
        <v>1420</v>
      </c>
      <c r="X186" s="12" t="s">
        <v>1420</v>
      </c>
      <c r="Y186" s="12" t="s">
        <v>1420</v>
      </c>
      <c r="Z186" s="12" t="s">
        <v>1420</v>
      </c>
      <c r="AA186" s="12" t="s">
        <v>1420</v>
      </c>
      <c r="AB186" s="12" t="s">
        <v>1420</v>
      </c>
      <c r="AC186" s="12" t="s">
        <v>1420</v>
      </c>
      <c r="AD186" s="12" t="s">
        <v>1414</v>
      </c>
      <c r="AE186" s="12" t="s">
        <v>1420</v>
      </c>
      <c r="AF186" s="12" t="s">
        <v>1420</v>
      </c>
      <c r="AG186" s="12" t="s">
        <v>1420</v>
      </c>
    </row>
    <row r="187" spans="1:33" ht="14.4" x14ac:dyDescent="0.3">
      <c r="A187" s="12" t="s">
        <v>19</v>
      </c>
      <c r="B187" s="12" t="s">
        <v>307</v>
      </c>
      <c r="C187" s="12" t="s">
        <v>306</v>
      </c>
      <c r="D187" s="12" t="s">
        <v>1410</v>
      </c>
      <c r="E187" s="12" t="s">
        <v>2242</v>
      </c>
      <c r="F187" s="12" t="s">
        <v>2243</v>
      </c>
      <c r="G187" s="12" t="s">
        <v>2244</v>
      </c>
      <c r="H187" s="12" t="s">
        <v>1452</v>
      </c>
      <c r="I187" s="12" t="s">
        <v>1420</v>
      </c>
      <c r="J187" s="12" t="s">
        <v>1420</v>
      </c>
      <c r="K187" s="12" t="s">
        <v>1420</v>
      </c>
      <c r="L187" s="12" t="s">
        <v>1420</v>
      </c>
      <c r="M187" s="12" t="s">
        <v>1420</v>
      </c>
      <c r="N187" s="12" t="s">
        <v>1420</v>
      </c>
      <c r="O187" s="12" t="s">
        <v>1420</v>
      </c>
      <c r="P187" s="12" t="s">
        <v>1420</v>
      </c>
      <c r="Q187" s="12" t="s">
        <v>1420</v>
      </c>
      <c r="R187" s="12" t="s">
        <v>1420</v>
      </c>
      <c r="S187" s="12" t="s">
        <v>1420</v>
      </c>
      <c r="T187" s="12" t="s">
        <v>1420</v>
      </c>
      <c r="U187" s="12" t="s">
        <v>1420</v>
      </c>
      <c r="V187" s="12" t="s">
        <v>1414</v>
      </c>
      <c r="W187" s="12" t="s">
        <v>1420</v>
      </c>
      <c r="X187" s="12" t="s">
        <v>1420</v>
      </c>
      <c r="Y187" s="12" t="s">
        <v>1420</v>
      </c>
      <c r="Z187" s="12" t="s">
        <v>1420</v>
      </c>
      <c r="AA187" s="12" t="s">
        <v>1420</v>
      </c>
      <c r="AB187" s="12" t="s">
        <v>1420</v>
      </c>
      <c r="AC187" s="12" t="s">
        <v>1420</v>
      </c>
      <c r="AD187" s="12" t="s">
        <v>1420</v>
      </c>
      <c r="AE187" s="12" t="s">
        <v>1420</v>
      </c>
      <c r="AF187" s="12" t="s">
        <v>1420</v>
      </c>
      <c r="AG187" s="12" t="s">
        <v>1420</v>
      </c>
    </row>
    <row r="188" spans="1:33" ht="14.4" x14ac:dyDescent="0.3">
      <c r="A188" s="12" t="s">
        <v>31</v>
      </c>
      <c r="B188" s="12" t="s">
        <v>307</v>
      </c>
      <c r="C188" s="12" t="s">
        <v>5574</v>
      </c>
      <c r="D188" s="12" t="s">
        <v>1410</v>
      </c>
      <c r="E188" s="12" t="s">
        <v>5575</v>
      </c>
      <c r="F188" s="12" t="s">
        <v>5576</v>
      </c>
      <c r="G188" s="12" t="s">
        <v>5577</v>
      </c>
      <c r="H188" s="12" t="s">
        <v>1419</v>
      </c>
      <c r="I188" s="12" t="s">
        <v>1420</v>
      </c>
      <c r="J188" s="12" t="s">
        <v>1420</v>
      </c>
      <c r="K188" s="12" t="s">
        <v>1420</v>
      </c>
      <c r="L188" s="12" t="s">
        <v>1414</v>
      </c>
      <c r="M188" s="12" t="s">
        <v>1420</v>
      </c>
      <c r="N188" s="12" t="s">
        <v>1420</v>
      </c>
      <c r="O188" s="12" t="s">
        <v>1414</v>
      </c>
      <c r="P188" s="12" t="s">
        <v>1420</v>
      </c>
      <c r="Q188" s="12" t="s">
        <v>1420</v>
      </c>
      <c r="R188" s="12" t="s">
        <v>1420</v>
      </c>
      <c r="S188" s="12" t="s">
        <v>1420</v>
      </c>
      <c r="T188" s="12" t="s">
        <v>1420</v>
      </c>
      <c r="U188" s="12" t="s">
        <v>1420</v>
      </c>
      <c r="V188" s="12" t="s">
        <v>1420</v>
      </c>
      <c r="W188" s="12" t="s">
        <v>1420</v>
      </c>
      <c r="X188" s="12" t="s">
        <v>1420</v>
      </c>
      <c r="Y188" s="12" t="s">
        <v>1420</v>
      </c>
      <c r="Z188" s="12" t="s">
        <v>1420</v>
      </c>
      <c r="AA188" s="12" t="s">
        <v>1420</v>
      </c>
      <c r="AB188" s="12" t="s">
        <v>1420</v>
      </c>
      <c r="AC188" s="12" t="s">
        <v>1420</v>
      </c>
      <c r="AD188" s="12" t="s">
        <v>1420</v>
      </c>
      <c r="AE188" s="12" t="s">
        <v>1420</v>
      </c>
      <c r="AF188" s="12" t="s">
        <v>1420</v>
      </c>
      <c r="AG188" s="12" t="s">
        <v>1420</v>
      </c>
    </row>
    <row r="189" spans="1:33" ht="14.4" x14ac:dyDescent="0.3">
      <c r="A189" s="12" t="s">
        <v>42</v>
      </c>
      <c r="B189" s="12" t="s">
        <v>307</v>
      </c>
      <c r="C189" s="12" t="s">
        <v>806</v>
      </c>
      <c r="D189" s="12" t="s">
        <v>1410</v>
      </c>
      <c r="E189" s="12" t="s">
        <v>2680</v>
      </c>
      <c r="F189" s="12" t="s">
        <v>2687</v>
      </c>
      <c r="G189" s="12" t="s">
        <v>2688</v>
      </c>
      <c r="H189" s="12" t="s">
        <v>1488</v>
      </c>
      <c r="I189" s="12" t="s">
        <v>1420</v>
      </c>
      <c r="J189" s="12" t="s">
        <v>1420</v>
      </c>
      <c r="K189" s="12" t="s">
        <v>1420</v>
      </c>
      <c r="L189" s="12" t="s">
        <v>1420</v>
      </c>
      <c r="M189" s="12" t="s">
        <v>1420</v>
      </c>
      <c r="N189" s="12" t="s">
        <v>1420</v>
      </c>
      <c r="O189" s="12" t="s">
        <v>1420</v>
      </c>
      <c r="P189" s="12" t="s">
        <v>1414</v>
      </c>
      <c r="Q189" s="12" t="s">
        <v>1420</v>
      </c>
      <c r="R189" s="12" t="s">
        <v>1420</v>
      </c>
      <c r="S189" s="12" t="s">
        <v>1414</v>
      </c>
      <c r="T189" s="12" t="s">
        <v>1420</v>
      </c>
      <c r="U189" s="12" t="s">
        <v>1420</v>
      </c>
      <c r="V189" s="12" t="s">
        <v>1420</v>
      </c>
      <c r="W189" s="12" t="s">
        <v>1420</v>
      </c>
      <c r="X189" s="12" t="s">
        <v>1420</v>
      </c>
      <c r="Y189" s="12" t="s">
        <v>1420</v>
      </c>
      <c r="Z189" s="12" t="s">
        <v>1420</v>
      </c>
      <c r="AA189" s="12" t="s">
        <v>1420</v>
      </c>
      <c r="AB189" s="12" t="s">
        <v>1414</v>
      </c>
      <c r="AC189" s="12" t="s">
        <v>1420</v>
      </c>
      <c r="AD189" s="12" t="s">
        <v>1420</v>
      </c>
      <c r="AE189" s="12" t="s">
        <v>1420</v>
      </c>
      <c r="AF189" s="12" t="s">
        <v>1414</v>
      </c>
      <c r="AG189" s="12" t="s">
        <v>1420</v>
      </c>
    </row>
    <row r="190" spans="1:33" ht="14.4" x14ac:dyDescent="0.3">
      <c r="A190" s="12" t="s">
        <v>31</v>
      </c>
      <c r="B190" s="12" t="s">
        <v>1314</v>
      </c>
      <c r="C190" s="12" t="s">
        <v>1313</v>
      </c>
      <c r="D190" s="12" t="s">
        <v>1410</v>
      </c>
      <c r="E190" s="12" t="s">
        <v>2059</v>
      </c>
      <c r="F190" s="12" t="s">
        <v>2060</v>
      </c>
      <c r="G190" s="12" t="s">
        <v>2061</v>
      </c>
      <c r="H190" s="12" t="s">
        <v>2062</v>
      </c>
      <c r="I190" s="12" t="s">
        <v>1420</v>
      </c>
      <c r="J190" s="12" t="s">
        <v>1420</v>
      </c>
      <c r="K190" s="12" t="s">
        <v>1414</v>
      </c>
      <c r="L190" s="12" t="s">
        <v>1414</v>
      </c>
      <c r="M190" s="12" t="s">
        <v>1420</v>
      </c>
      <c r="N190" s="12" t="s">
        <v>1414</v>
      </c>
      <c r="O190" s="12" t="s">
        <v>1414</v>
      </c>
      <c r="P190" s="12" t="s">
        <v>1414</v>
      </c>
      <c r="Q190" s="12" t="s">
        <v>1414</v>
      </c>
      <c r="R190" s="12" t="s">
        <v>1414</v>
      </c>
      <c r="S190" s="12" t="s">
        <v>1420</v>
      </c>
      <c r="T190" s="12" t="s">
        <v>1414</v>
      </c>
      <c r="U190" s="12" t="s">
        <v>1414</v>
      </c>
      <c r="V190" s="12" t="s">
        <v>1414</v>
      </c>
      <c r="W190" s="12" t="s">
        <v>1414</v>
      </c>
      <c r="X190" s="12" t="s">
        <v>1414</v>
      </c>
      <c r="Y190" s="12" t="s">
        <v>1414</v>
      </c>
      <c r="Z190" s="12" t="s">
        <v>1414</v>
      </c>
      <c r="AA190" s="12" t="s">
        <v>1414</v>
      </c>
      <c r="AB190" s="12" t="s">
        <v>1414</v>
      </c>
      <c r="AC190" s="12" t="s">
        <v>1414</v>
      </c>
      <c r="AD190" s="12" t="s">
        <v>1414</v>
      </c>
      <c r="AE190" s="12" t="s">
        <v>1414</v>
      </c>
      <c r="AF190" s="12" t="s">
        <v>1414</v>
      </c>
      <c r="AG190" s="12" t="s">
        <v>1420</v>
      </c>
    </row>
    <row r="191" spans="1:33" ht="14.4" x14ac:dyDescent="0.3">
      <c r="A191" s="12" t="s">
        <v>123</v>
      </c>
      <c r="B191" s="12" t="s">
        <v>805</v>
      </c>
      <c r="C191" s="12" t="s">
        <v>804</v>
      </c>
      <c r="D191" s="12" t="s">
        <v>1410</v>
      </c>
      <c r="E191" s="12" t="s">
        <v>2667</v>
      </c>
      <c r="F191" s="12" t="s">
        <v>2668</v>
      </c>
      <c r="G191" s="12" t="s">
        <v>2669</v>
      </c>
      <c r="H191" s="12" t="s">
        <v>1419</v>
      </c>
      <c r="I191" s="12" t="s">
        <v>1420</v>
      </c>
      <c r="J191" s="12" t="s">
        <v>1414</v>
      </c>
      <c r="K191" s="12" t="s">
        <v>1420</v>
      </c>
      <c r="L191" s="12" t="s">
        <v>1420</v>
      </c>
      <c r="M191" s="12" t="s">
        <v>1420</v>
      </c>
      <c r="N191" s="12" t="s">
        <v>1420</v>
      </c>
      <c r="O191" s="12" t="s">
        <v>1420</v>
      </c>
      <c r="P191" s="12" t="s">
        <v>1420</v>
      </c>
      <c r="Q191" s="12" t="s">
        <v>1420</v>
      </c>
      <c r="R191" s="12" t="s">
        <v>1420</v>
      </c>
      <c r="S191" s="12" t="s">
        <v>1420</v>
      </c>
      <c r="T191" s="12" t="s">
        <v>1420</v>
      </c>
      <c r="U191" s="12" t="s">
        <v>1420</v>
      </c>
      <c r="V191" s="12" t="s">
        <v>1420</v>
      </c>
      <c r="W191" s="12" t="s">
        <v>1420</v>
      </c>
      <c r="X191" s="12" t="s">
        <v>1420</v>
      </c>
      <c r="Y191" s="12" t="s">
        <v>1420</v>
      </c>
      <c r="Z191" s="12" t="s">
        <v>1420</v>
      </c>
      <c r="AA191" s="12" t="s">
        <v>1420</v>
      </c>
      <c r="AB191" s="12" t="s">
        <v>1420</v>
      </c>
      <c r="AC191" s="12" t="s">
        <v>1420</v>
      </c>
      <c r="AD191" s="12" t="s">
        <v>1414</v>
      </c>
      <c r="AE191" s="12" t="s">
        <v>1420</v>
      </c>
      <c r="AF191" s="12" t="s">
        <v>1420</v>
      </c>
      <c r="AG191" s="12" t="s">
        <v>1420</v>
      </c>
    </row>
    <row r="192" spans="1:33" ht="14.4" x14ac:dyDescent="0.3">
      <c r="A192" s="12" t="s">
        <v>42</v>
      </c>
      <c r="B192" s="12" t="s">
        <v>5578</v>
      </c>
      <c r="C192" s="12" t="s">
        <v>5579</v>
      </c>
      <c r="D192" s="12" t="s">
        <v>1410</v>
      </c>
      <c r="E192" s="12" t="s">
        <v>5580</v>
      </c>
      <c r="F192" s="12" t="s">
        <v>5581</v>
      </c>
      <c r="G192" s="12" t="s">
        <v>5582</v>
      </c>
      <c r="H192" s="12" t="s">
        <v>1438</v>
      </c>
      <c r="I192" s="12" t="s">
        <v>1420</v>
      </c>
      <c r="J192" s="12" t="s">
        <v>1420</v>
      </c>
      <c r="K192" s="12" t="s">
        <v>1420</v>
      </c>
      <c r="L192" s="12" t="s">
        <v>1420</v>
      </c>
      <c r="M192" s="12" t="s">
        <v>1420</v>
      </c>
      <c r="N192" s="12" t="s">
        <v>1420</v>
      </c>
      <c r="O192" s="12" t="s">
        <v>1420</v>
      </c>
      <c r="P192" s="12" t="s">
        <v>1420</v>
      </c>
      <c r="Q192" s="12" t="s">
        <v>1420</v>
      </c>
      <c r="R192" s="12" t="s">
        <v>1420</v>
      </c>
      <c r="S192" s="12" t="s">
        <v>1414</v>
      </c>
      <c r="T192" s="12" t="s">
        <v>1420</v>
      </c>
      <c r="U192" s="12" t="s">
        <v>1420</v>
      </c>
      <c r="V192" s="12" t="s">
        <v>1420</v>
      </c>
      <c r="W192" s="12" t="s">
        <v>1414</v>
      </c>
      <c r="X192" s="12" t="s">
        <v>1414</v>
      </c>
      <c r="Y192" s="12" t="s">
        <v>1420</v>
      </c>
      <c r="Z192" s="12" t="s">
        <v>1420</v>
      </c>
      <c r="AA192" s="12" t="s">
        <v>1420</v>
      </c>
      <c r="AB192" s="12" t="s">
        <v>1420</v>
      </c>
      <c r="AC192" s="12" t="s">
        <v>1414</v>
      </c>
      <c r="AD192" s="12" t="s">
        <v>1414</v>
      </c>
      <c r="AE192" s="12" t="s">
        <v>1414</v>
      </c>
      <c r="AF192" s="12" t="s">
        <v>1420</v>
      </c>
      <c r="AG192" s="12" t="s">
        <v>1420</v>
      </c>
    </row>
    <row r="193" spans="1:33" ht="14.4" x14ac:dyDescent="0.3">
      <c r="A193" s="12" t="s">
        <v>49</v>
      </c>
      <c r="B193" s="12" t="s">
        <v>1046</v>
      </c>
      <c r="C193" s="12" t="s">
        <v>1045</v>
      </c>
      <c r="D193" s="12" t="s">
        <v>1410</v>
      </c>
      <c r="E193" s="12" t="s">
        <v>2812</v>
      </c>
      <c r="F193" s="12" t="s">
        <v>2826</v>
      </c>
      <c r="G193" s="12" t="s">
        <v>1413</v>
      </c>
      <c r="H193" s="12" t="s">
        <v>1438</v>
      </c>
      <c r="I193" s="12" t="s">
        <v>1420</v>
      </c>
      <c r="J193" s="12" t="s">
        <v>1420</v>
      </c>
      <c r="K193" s="12" t="s">
        <v>1420</v>
      </c>
      <c r="L193" s="12" t="s">
        <v>1420</v>
      </c>
      <c r="M193" s="12" t="s">
        <v>1420</v>
      </c>
      <c r="N193" s="12" t="s">
        <v>1420</v>
      </c>
      <c r="O193" s="12" t="s">
        <v>1420</v>
      </c>
      <c r="P193" s="12" t="s">
        <v>1420</v>
      </c>
      <c r="Q193" s="12" t="s">
        <v>1420</v>
      </c>
      <c r="R193" s="12" t="s">
        <v>1420</v>
      </c>
      <c r="S193" s="12" t="s">
        <v>1414</v>
      </c>
      <c r="T193" s="12" t="s">
        <v>1414</v>
      </c>
      <c r="U193" s="12" t="s">
        <v>1414</v>
      </c>
      <c r="V193" s="12" t="s">
        <v>1420</v>
      </c>
      <c r="W193" s="12" t="s">
        <v>1414</v>
      </c>
      <c r="X193" s="12" t="s">
        <v>1420</v>
      </c>
      <c r="Y193" s="12" t="s">
        <v>1420</v>
      </c>
      <c r="Z193" s="12" t="s">
        <v>1420</v>
      </c>
      <c r="AA193" s="12" t="s">
        <v>1414</v>
      </c>
      <c r="AB193" s="12" t="s">
        <v>1420</v>
      </c>
      <c r="AC193" s="12" t="s">
        <v>1414</v>
      </c>
      <c r="AD193" s="12" t="s">
        <v>1420</v>
      </c>
      <c r="AE193" s="12" t="s">
        <v>1420</v>
      </c>
      <c r="AF193" s="12" t="s">
        <v>1420</v>
      </c>
      <c r="AG193" s="12" t="s">
        <v>1420</v>
      </c>
    </row>
    <row r="194" spans="1:33" ht="14.4" x14ac:dyDescent="0.3">
      <c r="A194" s="12" t="s">
        <v>22</v>
      </c>
      <c r="B194" s="12" t="s">
        <v>1046</v>
      </c>
      <c r="C194" s="12" t="s">
        <v>5583</v>
      </c>
      <c r="D194" s="12" t="s">
        <v>1456</v>
      </c>
      <c r="E194" s="12" t="s">
        <v>5584</v>
      </c>
      <c r="F194" s="12" t="s">
        <v>1415</v>
      </c>
      <c r="G194" s="12" t="s">
        <v>1415</v>
      </c>
      <c r="H194" s="12" t="s">
        <v>1415</v>
      </c>
      <c r="I194" s="12" t="s">
        <v>1415</v>
      </c>
      <c r="J194" s="12" t="s">
        <v>1415</v>
      </c>
      <c r="K194" s="12" t="s">
        <v>1415</v>
      </c>
      <c r="L194" s="12" t="s">
        <v>1415</v>
      </c>
      <c r="M194" s="12" t="s">
        <v>1415</v>
      </c>
      <c r="N194" s="12" t="s">
        <v>1415</v>
      </c>
      <c r="O194" s="12" t="s">
        <v>1415</v>
      </c>
      <c r="P194" s="12" t="s">
        <v>1415</v>
      </c>
      <c r="Q194" s="12" t="s">
        <v>1415</v>
      </c>
      <c r="R194" s="12" t="s">
        <v>1415</v>
      </c>
      <c r="S194" s="12" t="s">
        <v>1415</v>
      </c>
      <c r="T194" s="12" t="s">
        <v>1415</v>
      </c>
      <c r="U194" s="12" t="s">
        <v>1415</v>
      </c>
      <c r="V194" s="12" t="s">
        <v>1415</v>
      </c>
      <c r="W194" s="12" t="s">
        <v>1415</v>
      </c>
      <c r="X194" s="12" t="s">
        <v>1415</v>
      </c>
      <c r="Y194" s="12" t="s">
        <v>1415</v>
      </c>
      <c r="Z194" s="12" t="s">
        <v>1415</v>
      </c>
      <c r="AA194" s="12" t="s">
        <v>1415</v>
      </c>
      <c r="AB194" s="12" t="s">
        <v>1415</v>
      </c>
      <c r="AC194" s="12" t="s">
        <v>1415</v>
      </c>
      <c r="AD194" s="12" t="s">
        <v>1415</v>
      </c>
      <c r="AE194" s="12" t="s">
        <v>1415</v>
      </c>
      <c r="AF194" s="12" t="s">
        <v>1415</v>
      </c>
      <c r="AG194" s="12" t="s">
        <v>1415</v>
      </c>
    </row>
    <row r="195" spans="1:33" ht="14.4" x14ac:dyDescent="0.3">
      <c r="A195" s="12" t="s">
        <v>28</v>
      </c>
      <c r="B195" s="12" t="s">
        <v>808</v>
      </c>
      <c r="C195" s="12" t="s">
        <v>807</v>
      </c>
      <c r="D195" s="12" t="s">
        <v>1410</v>
      </c>
      <c r="E195" s="12" t="s">
        <v>2593</v>
      </c>
      <c r="F195" s="12" t="s">
        <v>2594</v>
      </c>
      <c r="G195" s="12" t="s">
        <v>2595</v>
      </c>
      <c r="H195" s="12" t="s">
        <v>1452</v>
      </c>
      <c r="I195" s="12" t="s">
        <v>1420</v>
      </c>
      <c r="J195" s="12" t="s">
        <v>1420</v>
      </c>
      <c r="K195" s="12" t="s">
        <v>1420</v>
      </c>
      <c r="L195" s="12" t="s">
        <v>1420</v>
      </c>
      <c r="M195" s="12" t="s">
        <v>1420</v>
      </c>
      <c r="N195" s="12" t="s">
        <v>1420</v>
      </c>
      <c r="O195" s="12" t="s">
        <v>1420</v>
      </c>
      <c r="P195" s="12" t="s">
        <v>1420</v>
      </c>
      <c r="Q195" s="12" t="s">
        <v>1420</v>
      </c>
      <c r="R195" s="12" t="s">
        <v>1420</v>
      </c>
      <c r="S195" s="12" t="s">
        <v>1420</v>
      </c>
      <c r="T195" s="12" t="s">
        <v>1420</v>
      </c>
      <c r="U195" s="12" t="s">
        <v>1420</v>
      </c>
      <c r="V195" s="12" t="s">
        <v>1420</v>
      </c>
      <c r="W195" s="12" t="s">
        <v>1414</v>
      </c>
      <c r="X195" s="12" t="s">
        <v>1420</v>
      </c>
      <c r="Y195" s="12" t="s">
        <v>1420</v>
      </c>
      <c r="Z195" s="12" t="s">
        <v>1420</v>
      </c>
      <c r="AA195" s="12" t="s">
        <v>1420</v>
      </c>
      <c r="AB195" s="12" t="s">
        <v>1420</v>
      </c>
      <c r="AC195" s="12" t="s">
        <v>1420</v>
      </c>
      <c r="AD195" s="12" t="s">
        <v>1420</v>
      </c>
      <c r="AE195" s="12" t="s">
        <v>1420</v>
      </c>
      <c r="AF195" s="12" t="s">
        <v>1420</v>
      </c>
      <c r="AG195" s="12" t="s">
        <v>1420</v>
      </c>
    </row>
    <row r="196" spans="1:33" ht="14.4" x14ac:dyDescent="0.3">
      <c r="A196" s="12" t="s">
        <v>49</v>
      </c>
      <c r="B196" s="12" t="s">
        <v>501</v>
      </c>
      <c r="C196" s="12" t="s">
        <v>500</v>
      </c>
      <c r="D196" s="12" t="s">
        <v>1410</v>
      </c>
      <c r="E196" s="12" t="s">
        <v>1882</v>
      </c>
      <c r="F196" s="12" t="s">
        <v>1883</v>
      </c>
      <c r="G196" s="12" t="s">
        <v>1884</v>
      </c>
      <c r="H196" s="12" t="s">
        <v>1464</v>
      </c>
      <c r="I196" s="12" t="s">
        <v>1420</v>
      </c>
      <c r="J196" s="12" t="s">
        <v>1420</v>
      </c>
      <c r="K196" s="12" t="s">
        <v>1420</v>
      </c>
      <c r="L196" s="12" t="s">
        <v>1420</v>
      </c>
      <c r="M196" s="12" t="s">
        <v>1420</v>
      </c>
      <c r="N196" s="12" t="s">
        <v>1420</v>
      </c>
      <c r="O196" s="12" t="s">
        <v>1420</v>
      </c>
      <c r="P196" s="12" t="s">
        <v>1420</v>
      </c>
      <c r="Q196" s="12" t="s">
        <v>1420</v>
      </c>
      <c r="R196" s="12" t="s">
        <v>1420</v>
      </c>
      <c r="S196" s="12" t="s">
        <v>1420</v>
      </c>
      <c r="T196" s="12" t="s">
        <v>1420</v>
      </c>
      <c r="U196" s="12" t="s">
        <v>1420</v>
      </c>
      <c r="V196" s="12" t="s">
        <v>1420</v>
      </c>
      <c r="W196" s="12" t="s">
        <v>1420</v>
      </c>
      <c r="X196" s="12" t="s">
        <v>1420</v>
      </c>
      <c r="Y196" s="12" t="s">
        <v>1420</v>
      </c>
      <c r="Z196" s="12" t="s">
        <v>1420</v>
      </c>
      <c r="AA196" s="12" t="s">
        <v>1420</v>
      </c>
      <c r="AB196" s="12" t="s">
        <v>1420</v>
      </c>
      <c r="AC196" s="12" t="s">
        <v>1420</v>
      </c>
      <c r="AD196" s="12" t="s">
        <v>1420</v>
      </c>
      <c r="AE196" s="12" t="s">
        <v>1420</v>
      </c>
      <c r="AF196" s="12" t="s">
        <v>1420</v>
      </c>
      <c r="AG196" s="12" t="s">
        <v>1420</v>
      </c>
    </row>
    <row r="197" spans="1:33" ht="14.4" x14ac:dyDescent="0.3">
      <c r="A197" s="12" t="s">
        <v>8</v>
      </c>
      <c r="B197" s="12" t="s">
        <v>1177</v>
      </c>
      <c r="C197" s="12" t="s">
        <v>1176</v>
      </c>
      <c r="D197" s="12" t="s">
        <v>1410</v>
      </c>
      <c r="E197" s="12" t="s">
        <v>2976</v>
      </c>
      <c r="F197" s="12" t="s">
        <v>2973</v>
      </c>
      <c r="G197" s="12" t="s">
        <v>2977</v>
      </c>
      <c r="H197" s="12" t="s">
        <v>1785</v>
      </c>
      <c r="I197" s="12" t="s">
        <v>1420</v>
      </c>
      <c r="J197" s="12" t="s">
        <v>1420</v>
      </c>
      <c r="K197" s="12" t="s">
        <v>1420</v>
      </c>
      <c r="L197" s="12" t="s">
        <v>1420</v>
      </c>
      <c r="M197" s="12" t="s">
        <v>1414</v>
      </c>
      <c r="N197" s="12" t="s">
        <v>1414</v>
      </c>
      <c r="O197" s="12" t="s">
        <v>1420</v>
      </c>
      <c r="P197" s="12" t="s">
        <v>1414</v>
      </c>
      <c r="Q197" s="12" t="s">
        <v>1420</v>
      </c>
      <c r="R197" s="12" t="s">
        <v>1420</v>
      </c>
      <c r="S197" s="12" t="s">
        <v>1414</v>
      </c>
      <c r="T197" s="12" t="s">
        <v>1420</v>
      </c>
      <c r="U197" s="12" t="s">
        <v>1414</v>
      </c>
      <c r="V197" s="12" t="s">
        <v>1414</v>
      </c>
      <c r="W197" s="12" t="s">
        <v>1414</v>
      </c>
      <c r="X197" s="12" t="s">
        <v>1414</v>
      </c>
      <c r="Y197" s="12" t="s">
        <v>1420</v>
      </c>
      <c r="Z197" s="12" t="s">
        <v>1414</v>
      </c>
      <c r="AA197" s="12" t="s">
        <v>1414</v>
      </c>
      <c r="AB197" s="12" t="s">
        <v>1420</v>
      </c>
      <c r="AC197" s="12" t="s">
        <v>1414</v>
      </c>
      <c r="AD197" s="12" t="s">
        <v>1420</v>
      </c>
      <c r="AE197" s="12" t="s">
        <v>1414</v>
      </c>
      <c r="AF197" s="12" t="s">
        <v>1420</v>
      </c>
      <c r="AG197" s="12" t="s">
        <v>1420</v>
      </c>
    </row>
    <row r="198" spans="1:33" ht="14.4" x14ac:dyDescent="0.3">
      <c r="A198" s="12" t="s">
        <v>31</v>
      </c>
      <c r="B198" s="12" t="s">
        <v>503</v>
      </c>
      <c r="C198" s="12" t="s">
        <v>502</v>
      </c>
      <c r="D198" s="12" t="s">
        <v>1410</v>
      </c>
      <c r="E198" s="12" t="s">
        <v>1528</v>
      </c>
      <c r="F198" s="12" t="s">
        <v>1529</v>
      </c>
      <c r="G198" s="12" t="s">
        <v>1531</v>
      </c>
      <c r="H198" s="12" t="s">
        <v>1419</v>
      </c>
      <c r="I198" s="12" t="s">
        <v>1420</v>
      </c>
      <c r="J198" s="12" t="s">
        <v>1420</v>
      </c>
      <c r="K198" s="12" t="s">
        <v>1420</v>
      </c>
      <c r="L198" s="12" t="s">
        <v>1420</v>
      </c>
      <c r="M198" s="12" t="s">
        <v>1420</v>
      </c>
      <c r="N198" s="12" t="s">
        <v>1420</v>
      </c>
      <c r="O198" s="12" t="s">
        <v>1420</v>
      </c>
      <c r="P198" s="12" t="s">
        <v>1420</v>
      </c>
      <c r="Q198" s="12" t="s">
        <v>1420</v>
      </c>
      <c r="R198" s="12" t="s">
        <v>1420</v>
      </c>
      <c r="S198" s="12" t="s">
        <v>1414</v>
      </c>
      <c r="T198" s="12" t="s">
        <v>1420</v>
      </c>
      <c r="U198" s="12" t="s">
        <v>1414</v>
      </c>
      <c r="V198" s="12" t="s">
        <v>1420</v>
      </c>
      <c r="W198" s="12" t="s">
        <v>1420</v>
      </c>
      <c r="X198" s="12" t="s">
        <v>1420</v>
      </c>
      <c r="Y198" s="12" t="s">
        <v>1420</v>
      </c>
      <c r="Z198" s="12" t="s">
        <v>1420</v>
      </c>
      <c r="AA198" s="12" t="s">
        <v>1420</v>
      </c>
      <c r="AB198" s="12" t="s">
        <v>1420</v>
      </c>
      <c r="AC198" s="12" t="s">
        <v>1420</v>
      </c>
      <c r="AD198" s="12" t="s">
        <v>1420</v>
      </c>
      <c r="AE198" s="12" t="s">
        <v>1420</v>
      </c>
      <c r="AF198" s="12" t="s">
        <v>1420</v>
      </c>
      <c r="AG198" s="12" t="s">
        <v>1420</v>
      </c>
    </row>
    <row r="199" spans="1:33" ht="14.4" x14ac:dyDescent="0.3">
      <c r="A199" s="12" t="s">
        <v>8</v>
      </c>
      <c r="B199" s="12" t="s">
        <v>1316</v>
      </c>
      <c r="C199" s="12" t="s">
        <v>1315</v>
      </c>
      <c r="D199" s="12" t="s">
        <v>1410</v>
      </c>
      <c r="E199" s="12" t="s">
        <v>1911</v>
      </c>
      <c r="F199" s="12" t="s">
        <v>1906</v>
      </c>
      <c r="G199" s="12" t="s">
        <v>1912</v>
      </c>
      <c r="H199" s="12" t="s">
        <v>1452</v>
      </c>
      <c r="I199" s="12" t="s">
        <v>1420</v>
      </c>
      <c r="J199" s="12" t="s">
        <v>1420</v>
      </c>
      <c r="K199" s="12" t="s">
        <v>1420</v>
      </c>
      <c r="L199" s="12" t="s">
        <v>1420</v>
      </c>
      <c r="M199" s="12" t="s">
        <v>1420</v>
      </c>
      <c r="N199" s="12" t="s">
        <v>1420</v>
      </c>
      <c r="O199" s="12" t="s">
        <v>1420</v>
      </c>
      <c r="P199" s="12" t="s">
        <v>1420</v>
      </c>
      <c r="Q199" s="12" t="s">
        <v>1420</v>
      </c>
      <c r="R199" s="12" t="s">
        <v>1420</v>
      </c>
      <c r="S199" s="12" t="s">
        <v>1420</v>
      </c>
      <c r="T199" s="12" t="s">
        <v>1420</v>
      </c>
      <c r="U199" s="12" t="s">
        <v>1420</v>
      </c>
      <c r="V199" s="12" t="s">
        <v>1420</v>
      </c>
      <c r="W199" s="12" t="s">
        <v>1420</v>
      </c>
      <c r="X199" s="12" t="s">
        <v>1420</v>
      </c>
      <c r="Y199" s="12" t="s">
        <v>1420</v>
      </c>
      <c r="Z199" s="12" t="s">
        <v>1420</v>
      </c>
      <c r="AA199" s="12" t="s">
        <v>1420</v>
      </c>
      <c r="AB199" s="12" t="s">
        <v>1420</v>
      </c>
      <c r="AC199" s="12" t="s">
        <v>1420</v>
      </c>
      <c r="AD199" s="12" t="s">
        <v>1414</v>
      </c>
      <c r="AE199" s="12" t="s">
        <v>1420</v>
      </c>
      <c r="AF199" s="12" t="s">
        <v>1420</v>
      </c>
      <c r="AG199" s="12" t="s">
        <v>1420</v>
      </c>
    </row>
    <row r="200" spans="1:33" ht="14.4" x14ac:dyDescent="0.3">
      <c r="A200" s="12" t="s">
        <v>31</v>
      </c>
      <c r="B200" s="12" t="s">
        <v>309</v>
      </c>
      <c r="C200" s="12" t="s">
        <v>308</v>
      </c>
      <c r="D200" s="12" t="s">
        <v>1410</v>
      </c>
      <c r="E200" s="12" t="s">
        <v>1647</v>
      </c>
      <c r="F200" s="12" t="s">
        <v>1648</v>
      </c>
      <c r="G200" s="12" t="s">
        <v>1649</v>
      </c>
      <c r="H200" s="12" t="s">
        <v>1464</v>
      </c>
      <c r="I200" s="12" t="s">
        <v>1420</v>
      </c>
      <c r="J200" s="12" t="s">
        <v>1420</v>
      </c>
      <c r="K200" s="12" t="s">
        <v>1420</v>
      </c>
      <c r="L200" s="12" t="s">
        <v>1420</v>
      </c>
      <c r="M200" s="12" t="s">
        <v>1420</v>
      </c>
      <c r="N200" s="12" t="s">
        <v>1420</v>
      </c>
      <c r="O200" s="12" t="s">
        <v>1420</v>
      </c>
      <c r="P200" s="12" t="s">
        <v>1420</v>
      </c>
      <c r="Q200" s="12" t="s">
        <v>1420</v>
      </c>
      <c r="R200" s="12" t="s">
        <v>1420</v>
      </c>
      <c r="S200" s="12" t="s">
        <v>1420</v>
      </c>
      <c r="T200" s="12" t="s">
        <v>1420</v>
      </c>
      <c r="U200" s="12" t="s">
        <v>1420</v>
      </c>
      <c r="V200" s="12" t="s">
        <v>1420</v>
      </c>
      <c r="W200" s="12" t="s">
        <v>1420</v>
      </c>
      <c r="X200" s="12" t="s">
        <v>1420</v>
      </c>
      <c r="Y200" s="12" t="s">
        <v>1420</v>
      </c>
      <c r="Z200" s="12" t="s">
        <v>1420</v>
      </c>
      <c r="AA200" s="12" t="s">
        <v>1420</v>
      </c>
      <c r="AB200" s="12" t="s">
        <v>1420</v>
      </c>
      <c r="AC200" s="12" t="s">
        <v>1420</v>
      </c>
      <c r="AD200" s="12" t="s">
        <v>1420</v>
      </c>
      <c r="AE200" s="12" t="s">
        <v>1420</v>
      </c>
      <c r="AF200" s="12" t="s">
        <v>1420</v>
      </c>
      <c r="AG200" s="12" t="s">
        <v>1420</v>
      </c>
    </row>
    <row r="201" spans="1:33" ht="14.4" x14ac:dyDescent="0.3">
      <c r="A201" s="12" t="s">
        <v>133</v>
      </c>
      <c r="B201" s="12" t="s">
        <v>1318</v>
      </c>
      <c r="C201" s="12" t="s">
        <v>1317</v>
      </c>
      <c r="D201" s="12" t="s">
        <v>1410</v>
      </c>
      <c r="E201" s="12" t="s">
        <v>1920</v>
      </c>
      <c r="F201" s="12" t="s">
        <v>1921</v>
      </c>
      <c r="G201" s="12" t="s">
        <v>1922</v>
      </c>
      <c r="H201" s="12" t="s">
        <v>1424</v>
      </c>
      <c r="I201" s="12" t="s">
        <v>1420</v>
      </c>
      <c r="J201" s="12" t="s">
        <v>1420</v>
      </c>
      <c r="K201" s="12" t="s">
        <v>1420</v>
      </c>
      <c r="L201" s="12" t="s">
        <v>1420</v>
      </c>
      <c r="M201" s="12" t="s">
        <v>1420</v>
      </c>
      <c r="N201" s="12" t="s">
        <v>1420</v>
      </c>
      <c r="O201" s="12" t="s">
        <v>1420</v>
      </c>
      <c r="P201" s="12" t="s">
        <v>1414</v>
      </c>
      <c r="Q201" s="12" t="s">
        <v>1420</v>
      </c>
      <c r="R201" s="12" t="s">
        <v>1420</v>
      </c>
      <c r="S201" s="12" t="s">
        <v>1414</v>
      </c>
      <c r="T201" s="12" t="s">
        <v>1420</v>
      </c>
      <c r="U201" s="12" t="s">
        <v>1420</v>
      </c>
      <c r="V201" s="12" t="s">
        <v>1420</v>
      </c>
      <c r="W201" s="12" t="s">
        <v>1420</v>
      </c>
      <c r="X201" s="12" t="s">
        <v>1414</v>
      </c>
      <c r="Y201" s="12" t="s">
        <v>1420</v>
      </c>
      <c r="Z201" s="12" t="s">
        <v>1420</v>
      </c>
      <c r="AA201" s="12" t="s">
        <v>1420</v>
      </c>
      <c r="AB201" s="12" t="s">
        <v>1420</v>
      </c>
      <c r="AC201" s="12" t="s">
        <v>1420</v>
      </c>
      <c r="AD201" s="12" t="s">
        <v>1420</v>
      </c>
      <c r="AE201" s="12" t="s">
        <v>1420</v>
      </c>
      <c r="AF201" s="12" t="s">
        <v>1420</v>
      </c>
      <c r="AG201" s="12" t="s">
        <v>1420</v>
      </c>
    </row>
    <row r="202" spans="1:33" ht="14.4" x14ac:dyDescent="0.3">
      <c r="A202" s="12" t="s">
        <v>28</v>
      </c>
      <c r="B202" s="12" t="s">
        <v>73</v>
      </c>
      <c r="C202" s="12" t="s">
        <v>72</v>
      </c>
      <c r="D202" s="12" t="s">
        <v>1410</v>
      </c>
      <c r="E202" s="12" t="s">
        <v>2161</v>
      </c>
      <c r="F202" s="12" t="s">
        <v>2089</v>
      </c>
      <c r="G202" s="12" t="s">
        <v>2162</v>
      </c>
      <c r="H202" s="12" t="s">
        <v>1424</v>
      </c>
      <c r="I202" s="12" t="s">
        <v>1420</v>
      </c>
      <c r="J202" s="12" t="s">
        <v>1420</v>
      </c>
      <c r="K202" s="12" t="s">
        <v>1420</v>
      </c>
      <c r="L202" s="12" t="s">
        <v>1420</v>
      </c>
      <c r="M202" s="12" t="s">
        <v>1420</v>
      </c>
      <c r="N202" s="12" t="s">
        <v>1414</v>
      </c>
      <c r="O202" s="12" t="s">
        <v>1420</v>
      </c>
      <c r="P202" s="12" t="s">
        <v>1420</v>
      </c>
      <c r="Q202" s="12" t="s">
        <v>1420</v>
      </c>
      <c r="R202" s="12" t="s">
        <v>1420</v>
      </c>
      <c r="S202" s="12" t="s">
        <v>1420</v>
      </c>
      <c r="T202" s="12" t="s">
        <v>1420</v>
      </c>
      <c r="U202" s="12" t="s">
        <v>1420</v>
      </c>
      <c r="V202" s="12" t="s">
        <v>1420</v>
      </c>
      <c r="W202" s="12" t="s">
        <v>1420</v>
      </c>
      <c r="X202" s="12" t="s">
        <v>1420</v>
      </c>
      <c r="Y202" s="12" t="s">
        <v>1420</v>
      </c>
      <c r="Z202" s="12" t="s">
        <v>1414</v>
      </c>
      <c r="AA202" s="12" t="s">
        <v>1420</v>
      </c>
      <c r="AB202" s="12" t="s">
        <v>1420</v>
      </c>
      <c r="AC202" s="12" t="s">
        <v>1420</v>
      </c>
      <c r="AD202" s="12" t="s">
        <v>1420</v>
      </c>
      <c r="AE202" s="12" t="s">
        <v>1414</v>
      </c>
      <c r="AF202" s="12" t="s">
        <v>1420</v>
      </c>
      <c r="AG202" s="12" t="s">
        <v>1420</v>
      </c>
    </row>
    <row r="203" spans="1:33" ht="14.4" x14ac:dyDescent="0.3">
      <c r="A203" s="12" t="s">
        <v>80</v>
      </c>
      <c r="B203" s="12" t="s">
        <v>720</v>
      </c>
      <c r="C203" s="12" t="s">
        <v>719</v>
      </c>
      <c r="D203" s="12" t="s">
        <v>1410</v>
      </c>
      <c r="E203" s="12" t="s">
        <v>2708</v>
      </c>
      <c r="F203" s="12" t="s">
        <v>2716</v>
      </c>
      <c r="G203" s="12" t="s">
        <v>1737</v>
      </c>
      <c r="H203" s="12" t="s">
        <v>1488</v>
      </c>
      <c r="I203" s="12" t="s">
        <v>1420</v>
      </c>
      <c r="J203" s="12" t="s">
        <v>1420</v>
      </c>
      <c r="K203" s="12" t="s">
        <v>1420</v>
      </c>
      <c r="L203" s="12" t="s">
        <v>1420</v>
      </c>
      <c r="M203" s="12" t="s">
        <v>1420</v>
      </c>
      <c r="N203" s="12" t="s">
        <v>1420</v>
      </c>
      <c r="O203" s="12" t="s">
        <v>1420</v>
      </c>
      <c r="P203" s="12" t="s">
        <v>1420</v>
      </c>
      <c r="Q203" s="12" t="s">
        <v>1420</v>
      </c>
      <c r="R203" s="12" t="s">
        <v>1420</v>
      </c>
      <c r="S203" s="12" t="s">
        <v>1420</v>
      </c>
      <c r="T203" s="12" t="s">
        <v>1420</v>
      </c>
      <c r="U203" s="12" t="s">
        <v>1420</v>
      </c>
      <c r="V203" s="12" t="s">
        <v>1420</v>
      </c>
      <c r="W203" s="12" t="s">
        <v>1420</v>
      </c>
      <c r="X203" s="12" t="s">
        <v>1414</v>
      </c>
      <c r="Y203" s="12" t="s">
        <v>1420</v>
      </c>
      <c r="Z203" s="12" t="s">
        <v>1420</v>
      </c>
      <c r="AA203" s="12" t="s">
        <v>1420</v>
      </c>
      <c r="AB203" s="12" t="s">
        <v>1420</v>
      </c>
      <c r="AC203" s="12" t="s">
        <v>1414</v>
      </c>
      <c r="AD203" s="12" t="s">
        <v>1414</v>
      </c>
      <c r="AE203" s="12" t="s">
        <v>1414</v>
      </c>
      <c r="AF203" s="12" t="s">
        <v>1420</v>
      </c>
      <c r="AG203" s="12" t="s">
        <v>1420</v>
      </c>
    </row>
    <row r="204" spans="1:33" ht="14.4" x14ac:dyDescent="0.3">
      <c r="A204" s="12" t="s">
        <v>312</v>
      </c>
      <c r="B204" s="12" t="s">
        <v>311</v>
      </c>
      <c r="C204" s="12" t="s">
        <v>310</v>
      </c>
      <c r="D204" s="12" t="s">
        <v>1410</v>
      </c>
      <c r="E204" s="12" t="s">
        <v>1676</v>
      </c>
      <c r="F204" s="12" t="s">
        <v>1677</v>
      </c>
      <c r="G204" s="12" t="s">
        <v>1413</v>
      </c>
      <c r="H204" s="12" t="s">
        <v>1424</v>
      </c>
      <c r="I204" s="12" t="s">
        <v>1420</v>
      </c>
      <c r="J204" s="12" t="s">
        <v>1420</v>
      </c>
      <c r="K204" s="12" t="s">
        <v>1420</v>
      </c>
      <c r="L204" s="12" t="s">
        <v>1420</v>
      </c>
      <c r="M204" s="12" t="s">
        <v>1420</v>
      </c>
      <c r="N204" s="12" t="s">
        <v>1420</v>
      </c>
      <c r="O204" s="12" t="s">
        <v>1420</v>
      </c>
      <c r="P204" s="12" t="s">
        <v>1420</v>
      </c>
      <c r="Q204" s="12" t="s">
        <v>1420</v>
      </c>
      <c r="R204" s="12" t="s">
        <v>1420</v>
      </c>
      <c r="S204" s="12" t="s">
        <v>1414</v>
      </c>
      <c r="T204" s="12" t="s">
        <v>1420</v>
      </c>
      <c r="U204" s="12" t="s">
        <v>1420</v>
      </c>
      <c r="V204" s="12" t="s">
        <v>1420</v>
      </c>
      <c r="W204" s="12" t="s">
        <v>1420</v>
      </c>
      <c r="X204" s="12" t="s">
        <v>1420</v>
      </c>
      <c r="Y204" s="12" t="s">
        <v>1420</v>
      </c>
      <c r="Z204" s="12" t="s">
        <v>1420</v>
      </c>
      <c r="AA204" s="12" t="s">
        <v>1420</v>
      </c>
      <c r="AB204" s="12" t="s">
        <v>1420</v>
      </c>
      <c r="AC204" s="12" t="s">
        <v>1414</v>
      </c>
      <c r="AD204" s="12" t="s">
        <v>1420</v>
      </c>
      <c r="AE204" s="12" t="s">
        <v>1420</v>
      </c>
      <c r="AF204" s="12" t="s">
        <v>1414</v>
      </c>
      <c r="AG204" s="12" t="s">
        <v>1420</v>
      </c>
    </row>
    <row r="205" spans="1:33" ht="14.4" x14ac:dyDescent="0.3">
      <c r="A205" s="12" t="s">
        <v>8</v>
      </c>
      <c r="B205" s="12" t="s">
        <v>5585</v>
      </c>
      <c r="C205" s="12" t="s">
        <v>5586</v>
      </c>
      <c r="D205" s="12" t="s">
        <v>1410</v>
      </c>
      <c r="E205" s="12" t="s">
        <v>5543</v>
      </c>
      <c r="F205" s="12" t="s">
        <v>5587</v>
      </c>
      <c r="G205" s="12" t="s">
        <v>2236</v>
      </c>
      <c r="H205" s="12" t="s">
        <v>1488</v>
      </c>
      <c r="I205" s="12" t="s">
        <v>1420</v>
      </c>
      <c r="J205" s="12" t="s">
        <v>1420</v>
      </c>
      <c r="K205" s="12" t="s">
        <v>1420</v>
      </c>
      <c r="L205" s="12" t="s">
        <v>1420</v>
      </c>
      <c r="M205" s="12" t="s">
        <v>1420</v>
      </c>
      <c r="N205" s="12" t="s">
        <v>1420</v>
      </c>
      <c r="O205" s="12" t="s">
        <v>1414</v>
      </c>
      <c r="P205" s="12" t="s">
        <v>1414</v>
      </c>
      <c r="Q205" s="12" t="s">
        <v>1420</v>
      </c>
      <c r="R205" s="12" t="s">
        <v>1420</v>
      </c>
      <c r="S205" s="12" t="s">
        <v>1420</v>
      </c>
      <c r="T205" s="12" t="s">
        <v>1420</v>
      </c>
      <c r="U205" s="12" t="s">
        <v>1420</v>
      </c>
      <c r="V205" s="12" t="s">
        <v>1420</v>
      </c>
      <c r="W205" s="12" t="s">
        <v>1420</v>
      </c>
      <c r="X205" s="12" t="s">
        <v>1420</v>
      </c>
      <c r="Y205" s="12" t="s">
        <v>1420</v>
      </c>
      <c r="Z205" s="12" t="s">
        <v>1420</v>
      </c>
      <c r="AA205" s="12" t="s">
        <v>1420</v>
      </c>
      <c r="AB205" s="12" t="s">
        <v>1420</v>
      </c>
      <c r="AC205" s="12" t="s">
        <v>1420</v>
      </c>
      <c r="AD205" s="12" t="s">
        <v>1420</v>
      </c>
      <c r="AE205" s="12" t="s">
        <v>1420</v>
      </c>
      <c r="AF205" s="12" t="s">
        <v>1414</v>
      </c>
      <c r="AG205" s="12" t="s">
        <v>1414</v>
      </c>
    </row>
    <row r="206" spans="1:33" ht="14.4" x14ac:dyDescent="0.3">
      <c r="A206" s="12" t="s">
        <v>42</v>
      </c>
      <c r="B206" s="12" t="s">
        <v>5588</v>
      </c>
      <c r="C206" s="12" t="s">
        <v>5589</v>
      </c>
      <c r="D206" s="12" t="s">
        <v>1410</v>
      </c>
      <c r="E206" s="12" t="s">
        <v>5590</v>
      </c>
      <c r="F206" s="12" t="s">
        <v>5591</v>
      </c>
      <c r="G206" s="12" t="s">
        <v>5316</v>
      </c>
      <c r="H206" s="12" t="s">
        <v>1464</v>
      </c>
      <c r="I206" s="12" t="s">
        <v>1420</v>
      </c>
      <c r="J206" s="12" t="s">
        <v>1420</v>
      </c>
      <c r="K206" s="12" t="s">
        <v>1420</v>
      </c>
      <c r="L206" s="12" t="s">
        <v>1420</v>
      </c>
      <c r="M206" s="12" t="s">
        <v>1420</v>
      </c>
      <c r="N206" s="12" t="s">
        <v>1420</v>
      </c>
      <c r="O206" s="12" t="s">
        <v>1420</v>
      </c>
      <c r="P206" s="12" t="s">
        <v>1420</v>
      </c>
      <c r="Q206" s="12" t="s">
        <v>1420</v>
      </c>
      <c r="R206" s="12" t="s">
        <v>1420</v>
      </c>
      <c r="S206" s="12" t="s">
        <v>1420</v>
      </c>
      <c r="T206" s="12" t="s">
        <v>1420</v>
      </c>
      <c r="U206" s="12" t="s">
        <v>1420</v>
      </c>
      <c r="V206" s="12" t="s">
        <v>1420</v>
      </c>
      <c r="W206" s="12" t="s">
        <v>1420</v>
      </c>
      <c r="X206" s="12" t="s">
        <v>1420</v>
      </c>
      <c r="Y206" s="12" t="s">
        <v>1420</v>
      </c>
      <c r="Z206" s="12" t="s">
        <v>1420</v>
      </c>
      <c r="AA206" s="12" t="s">
        <v>1420</v>
      </c>
      <c r="AB206" s="12" t="s">
        <v>1420</v>
      </c>
      <c r="AC206" s="12" t="s">
        <v>1420</v>
      </c>
      <c r="AD206" s="12" t="s">
        <v>1420</v>
      </c>
      <c r="AE206" s="12" t="s">
        <v>1420</v>
      </c>
      <c r="AF206" s="12" t="s">
        <v>1420</v>
      </c>
      <c r="AG206" s="12" t="s">
        <v>1420</v>
      </c>
    </row>
    <row r="207" spans="1:33" ht="14.4" x14ac:dyDescent="0.3">
      <c r="A207" s="12" t="s">
        <v>8</v>
      </c>
      <c r="B207" s="12" t="s">
        <v>810</v>
      </c>
      <c r="C207" s="12" t="s">
        <v>809</v>
      </c>
      <c r="D207" s="12" t="s">
        <v>1410</v>
      </c>
      <c r="E207" s="12" t="s">
        <v>2781</v>
      </c>
      <c r="F207" s="12" t="s">
        <v>2782</v>
      </c>
      <c r="G207" s="12" t="s">
        <v>1413</v>
      </c>
      <c r="H207" s="12" t="s">
        <v>1428</v>
      </c>
      <c r="I207" s="12" t="s">
        <v>1420</v>
      </c>
      <c r="J207" s="12" t="s">
        <v>1420</v>
      </c>
      <c r="K207" s="12" t="s">
        <v>1420</v>
      </c>
      <c r="L207" s="12" t="s">
        <v>1420</v>
      </c>
      <c r="M207" s="12" t="s">
        <v>1420</v>
      </c>
      <c r="N207" s="12" t="s">
        <v>1420</v>
      </c>
      <c r="O207" s="12" t="s">
        <v>1420</v>
      </c>
      <c r="P207" s="12" t="s">
        <v>1414</v>
      </c>
      <c r="Q207" s="12" t="s">
        <v>1420</v>
      </c>
      <c r="R207" s="12" t="s">
        <v>1420</v>
      </c>
      <c r="S207" s="12" t="s">
        <v>1420</v>
      </c>
      <c r="T207" s="12" t="s">
        <v>1420</v>
      </c>
      <c r="U207" s="12" t="s">
        <v>1420</v>
      </c>
      <c r="V207" s="12" t="s">
        <v>1420</v>
      </c>
      <c r="W207" s="12" t="s">
        <v>1420</v>
      </c>
      <c r="X207" s="12" t="s">
        <v>1420</v>
      </c>
      <c r="Y207" s="12" t="s">
        <v>1420</v>
      </c>
      <c r="Z207" s="12" t="s">
        <v>1420</v>
      </c>
      <c r="AA207" s="12" t="s">
        <v>1420</v>
      </c>
      <c r="AB207" s="12" t="s">
        <v>1414</v>
      </c>
      <c r="AC207" s="12" t="s">
        <v>1414</v>
      </c>
      <c r="AD207" s="12" t="s">
        <v>1415</v>
      </c>
      <c r="AE207" s="12" t="s">
        <v>1415</v>
      </c>
      <c r="AF207" s="12" t="s">
        <v>1415</v>
      </c>
      <c r="AG207" s="12" t="s">
        <v>1415</v>
      </c>
    </row>
    <row r="208" spans="1:33" ht="14.4" x14ac:dyDescent="0.3">
      <c r="A208" s="12" t="s">
        <v>16</v>
      </c>
      <c r="B208" s="12" t="s">
        <v>1320</v>
      </c>
      <c r="C208" s="12" t="s">
        <v>1319</v>
      </c>
      <c r="D208" s="12" t="s">
        <v>1410</v>
      </c>
      <c r="E208" s="12" t="s">
        <v>1903</v>
      </c>
      <c r="F208" s="12" t="s">
        <v>1906</v>
      </c>
      <c r="G208" s="12" t="s">
        <v>1907</v>
      </c>
      <c r="H208" s="12" t="s">
        <v>1908</v>
      </c>
      <c r="I208" s="12" t="s">
        <v>1420</v>
      </c>
      <c r="J208" s="12" t="s">
        <v>1420</v>
      </c>
      <c r="K208" s="12" t="s">
        <v>1420</v>
      </c>
      <c r="L208" s="12" t="s">
        <v>1420</v>
      </c>
      <c r="M208" s="12" t="s">
        <v>1420</v>
      </c>
      <c r="N208" s="12" t="s">
        <v>1420</v>
      </c>
      <c r="O208" s="12" t="s">
        <v>1414</v>
      </c>
      <c r="P208" s="12" t="s">
        <v>1414</v>
      </c>
      <c r="Q208" s="12" t="s">
        <v>1414</v>
      </c>
      <c r="R208" s="12" t="s">
        <v>1420</v>
      </c>
      <c r="S208" s="12" t="s">
        <v>1414</v>
      </c>
      <c r="T208" s="12" t="s">
        <v>1420</v>
      </c>
      <c r="U208" s="12" t="s">
        <v>1420</v>
      </c>
      <c r="V208" s="12" t="s">
        <v>1420</v>
      </c>
      <c r="W208" s="12" t="s">
        <v>1420</v>
      </c>
      <c r="X208" s="12" t="s">
        <v>1414</v>
      </c>
      <c r="Y208" s="12" t="s">
        <v>1414</v>
      </c>
      <c r="Z208" s="12" t="s">
        <v>1414</v>
      </c>
      <c r="AA208" s="12" t="s">
        <v>1420</v>
      </c>
      <c r="AB208" s="12" t="s">
        <v>1414</v>
      </c>
      <c r="AC208" s="12" t="s">
        <v>1420</v>
      </c>
      <c r="AD208" s="12" t="s">
        <v>1420</v>
      </c>
      <c r="AE208" s="12" t="s">
        <v>1420</v>
      </c>
      <c r="AF208" s="12" t="s">
        <v>1420</v>
      </c>
      <c r="AG208" s="12" t="s">
        <v>1414</v>
      </c>
    </row>
    <row r="209" spans="1:33" ht="14.4" x14ac:dyDescent="0.3">
      <c r="A209" s="12" t="s">
        <v>16</v>
      </c>
      <c r="B209" s="12" t="s">
        <v>1320</v>
      </c>
      <c r="C209" s="12" t="s">
        <v>1319</v>
      </c>
      <c r="D209" s="12" t="s">
        <v>1410</v>
      </c>
      <c r="E209" s="12" t="s">
        <v>2065</v>
      </c>
      <c r="F209" s="12" t="s">
        <v>2066</v>
      </c>
      <c r="G209" s="12" t="s">
        <v>2067</v>
      </c>
      <c r="H209" s="12" t="s">
        <v>1452</v>
      </c>
      <c r="I209" s="12" t="s">
        <v>1414</v>
      </c>
      <c r="J209" s="12" t="s">
        <v>1420</v>
      </c>
      <c r="K209" s="12" t="s">
        <v>1420</v>
      </c>
      <c r="L209" s="12" t="s">
        <v>1420</v>
      </c>
      <c r="M209" s="12" t="s">
        <v>1420</v>
      </c>
      <c r="N209" s="12" t="s">
        <v>1420</v>
      </c>
      <c r="O209" s="12" t="s">
        <v>1420</v>
      </c>
      <c r="P209" s="12" t="s">
        <v>1420</v>
      </c>
      <c r="Q209" s="12" t="s">
        <v>1420</v>
      </c>
      <c r="R209" s="12" t="s">
        <v>1420</v>
      </c>
      <c r="S209" s="12" t="s">
        <v>1420</v>
      </c>
      <c r="T209" s="12" t="s">
        <v>1420</v>
      </c>
      <c r="U209" s="12" t="s">
        <v>1420</v>
      </c>
      <c r="V209" s="12" t="s">
        <v>1420</v>
      </c>
      <c r="W209" s="12" t="s">
        <v>1420</v>
      </c>
      <c r="X209" s="12" t="s">
        <v>1420</v>
      </c>
      <c r="Y209" s="12" t="s">
        <v>1420</v>
      </c>
      <c r="Z209" s="12" t="s">
        <v>1420</v>
      </c>
      <c r="AA209" s="12" t="s">
        <v>1420</v>
      </c>
      <c r="AB209" s="12" t="s">
        <v>1420</v>
      </c>
      <c r="AC209" s="12" t="s">
        <v>1420</v>
      </c>
      <c r="AD209" s="12" t="s">
        <v>1420</v>
      </c>
      <c r="AE209" s="12" t="s">
        <v>1420</v>
      </c>
      <c r="AF209" s="12" t="s">
        <v>1420</v>
      </c>
      <c r="AG209" s="12" t="s">
        <v>1420</v>
      </c>
    </row>
    <row r="210" spans="1:33" ht="14.4" x14ac:dyDescent="0.3">
      <c r="A210" s="12" t="s">
        <v>28</v>
      </c>
      <c r="B210" s="12" t="s">
        <v>505</v>
      </c>
      <c r="C210" s="12" t="s">
        <v>504</v>
      </c>
      <c r="D210" s="12" t="s">
        <v>1410</v>
      </c>
      <c r="E210" s="12" t="s">
        <v>2765</v>
      </c>
      <c r="F210" s="12" t="s">
        <v>2763</v>
      </c>
      <c r="G210" s="12" t="s">
        <v>2766</v>
      </c>
      <c r="H210" s="12" t="s">
        <v>1424</v>
      </c>
      <c r="I210" s="12" t="s">
        <v>1420</v>
      </c>
      <c r="J210" s="12" t="s">
        <v>1420</v>
      </c>
      <c r="K210" s="12" t="s">
        <v>1420</v>
      </c>
      <c r="L210" s="12" t="s">
        <v>1420</v>
      </c>
      <c r="M210" s="12" t="s">
        <v>1420</v>
      </c>
      <c r="N210" s="12" t="s">
        <v>1414</v>
      </c>
      <c r="O210" s="12" t="s">
        <v>1420</v>
      </c>
      <c r="P210" s="12" t="s">
        <v>1420</v>
      </c>
      <c r="Q210" s="12" t="s">
        <v>1420</v>
      </c>
      <c r="R210" s="12" t="s">
        <v>1420</v>
      </c>
      <c r="S210" s="12" t="s">
        <v>1420</v>
      </c>
      <c r="T210" s="12" t="s">
        <v>1420</v>
      </c>
      <c r="U210" s="12" t="s">
        <v>1420</v>
      </c>
      <c r="V210" s="12" t="s">
        <v>1420</v>
      </c>
      <c r="W210" s="12" t="s">
        <v>1420</v>
      </c>
      <c r="X210" s="12" t="s">
        <v>1420</v>
      </c>
      <c r="Y210" s="12" t="s">
        <v>1414</v>
      </c>
      <c r="Z210" s="12" t="s">
        <v>1420</v>
      </c>
      <c r="AA210" s="12" t="s">
        <v>1420</v>
      </c>
      <c r="AB210" s="12" t="s">
        <v>1420</v>
      </c>
      <c r="AC210" s="12" t="s">
        <v>1420</v>
      </c>
      <c r="AD210" s="12" t="s">
        <v>1420</v>
      </c>
      <c r="AE210" s="12" t="s">
        <v>1414</v>
      </c>
      <c r="AF210" s="12" t="s">
        <v>1420</v>
      </c>
      <c r="AG210" s="12" t="s">
        <v>1420</v>
      </c>
    </row>
    <row r="211" spans="1:33" ht="14.4" x14ac:dyDescent="0.3">
      <c r="A211" s="12" t="s">
        <v>49</v>
      </c>
      <c r="B211" s="12" t="s">
        <v>507</v>
      </c>
      <c r="C211" s="12" t="s">
        <v>506</v>
      </c>
      <c r="D211" s="12" t="s">
        <v>1410</v>
      </c>
      <c r="E211" s="12" t="s">
        <v>1973</v>
      </c>
      <c r="F211" s="12" t="s">
        <v>1985</v>
      </c>
      <c r="G211" s="12" t="s">
        <v>1986</v>
      </c>
      <c r="H211" s="12" t="s">
        <v>1464</v>
      </c>
      <c r="I211" s="12" t="s">
        <v>1420</v>
      </c>
      <c r="J211" s="12" t="s">
        <v>1420</v>
      </c>
      <c r="K211" s="12" t="s">
        <v>1420</v>
      </c>
      <c r="L211" s="12" t="s">
        <v>1420</v>
      </c>
      <c r="M211" s="12" t="s">
        <v>1420</v>
      </c>
      <c r="N211" s="12" t="s">
        <v>1420</v>
      </c>
      <c r="O211" s="12" t="s">
        <v>1420</v>
      </c>
      <c r="P211" s="12" t="s">
        <v>1420</v>
      </c>
      <c r="Q211" s="12" t="s">
        <v>1420</v>
      </c>
      <c r="R211" s="12" t="s">
        <v>1420</v>
      </c>
      <c r="S211" s="12" t="s">
        <v>1420</v>
      </c>
      <c r="T211" s="12" t="s">
        <v>1420</v>
      </c>
      <c r="U211" s="12" t="s">
        <v>1420</v>
      </c>
      <c r="V211" s="12" t="s">
        <v>1420</v>
      </c>
      <c r="W211" s="12" t="s">
        <v>1420</v>
      </c>
      <c r="X211" s="12" t="s">
        <v>1420</v>
      </c>
      <c r="Y211" s="12" t="s">
        <v>1420</v>
      </c>
      <c r="Z211" s="12" t="s">
        <v>1420</v>
      </c>
      <c r="AA211" s="12" t="s">
        <v>1420</v>
      </c>
      <c r="AB211" s="12" t="s">
        <v>1420</v>
      </c>
      <c r="AC211" s="12" t="s">
        <v>1420</v>
      </c>
      <c r="AD211" s="12" t="s">
        <v>1420</v>
      </c>
      <c r="AE211" s="12" t="s">
        <v>1420</v>
      </c>
      <c r="AF211" s="12" t="s">
        <v>1420</v>
      </c>
      <c r="AG211" s="12" t="s">
        <v>1420</v>
      </c>
    </row>
    <row r="212" spans="1:33" ht="14.4" x14ac:dyDescent="0.3">
      <c r="A212" s="12" t="s">
        <v>19</v>
      </c>
      <c r="B212" s="12" t="s">
        <v>812</v>
      </c>
      <c r="C212" s="12" t="s">
        <v>811</v>
      </c>
      <c r="D212" s="12" t="s">
        <v>1410</v>
      </c>
      <c r="E212" s="12" t="s">
        <v>2722</v>
      </c>
      <c r="F212" s="12" t="s">
        <v>2723</v>
      </c>
      <c r="G212" s="12" t="s">
        <v>2724</v>
      </c>
      <c r="H212" s="12" t="s">
        <v>1424</v>
      </c>
      <c r="I212" s="12" t="s">
        <v>1420</v>
      </c>
      <c r="J212" s="12" t="s">
        <v>1420</v>
      </c>
      <c r="K212" s="12" t="s">
        <v>1420</v>
      </c>
      <c r="L212" s="12" t="s">
        <v>1420</v>
      </c>
      <c r="M212" s="12" t="s">
        <v>1420</v>
      </c>
      <c r="N212" s="12" t="s">
        <v>1420</v>
      </c>
      <c r="O212" s="12" t="s">
        <v>1420</v>
      </c>
      <c r="P212" s="12" t="s">
        <v>1420</v>
      </c>
      <c r="Q212" s="12" t="s">
        <v>1420</v>
      </c>
      <c r="R212" s="12" t="s">
        <v>1420</v>
      </c>
      <c r="S212" s="12" t="s">
        <v>1420</v>
      </c>
      <c r="T212" s="12" t="s">
        <v>1420</v>
      </c>
      <c r="U212" s="12" t="s">
        <v>1420</v>
      </c>
      <c r="V212" s="12" t="s">
        <v>1420</v>
      </c>
      <c r="W212" s="12" t="s">
        <v>1420</v>
      </c>
      <c r="X212" s="12" t="s">
        <v>1420</v>
      </c>
      <c r="Y212" s="12" t="s">
        <v>1420</v>
      </c>
      <c r="Z212" s="12" t="s">
        <v>1420</v>
      </c>
      <c r="AA212" s="12" t="s">
        <v>1420</v>
      </c>
      <c r="AB212" s="12" t="s">
        <v>1420</v>
      </c>
      <c r="AC212" s="12" t="s">
        <v>1420</v>
      </c>
      <c r="AD212" s="12" t="s">
        <v>1414</v>
      </c>
      <c r="AE212" s="12" t="s">
        <v>1414</v>
      </c>
      <c r="AF212" s="12" t="s">
        <v>1414</v>
      </c>
      <c r="AG212" s="12" t="s">
        <v>1420</v>
      </c>
    </row>
    <row r="213" spans="1:33" ht="14.4" x14ac:dyDescent="0.3">
      <c r="A213" s="12" t="s">
        <v>19</v>
      </c>
      <c r="B213" s="12" t="s">
        <v>1179</v>
      </c>
      <c r="C213" s="12" t="s">
        <v>1178</v>
      </c>
      <c r="D213" s="12" t="s">
        <v>1410</v>
      </c>
      <c r="E213" s="12" t="s">
        <v>1416</v>
      </c>
      <c r="F213" s="12" t="s">
        <v>1417</v>
      </c>
      <c r="G213" s="12" t="s">
        <v>1418</v>
      </c>
      <c r="H213" s="12" t="s">
        <v>1419</v>
      </c>
      <c r="I213" s="12" t="s">
        <v>1420</v>
      </c>
      <c r="J213" s="12" t="s">
        <v>1420</v>
      </c>
      <c r="K213" s="12" t="s">
        <v>1420</v>
      </c>
      <c r="L213" s="12" t="s">
        <v>1420</v>
      </c>
      <c r="M213" s="12" t="s">
        <v>1420</v>
      </c>
      <c r="N213" s="12" t="s">
        <v>1420</v>
      </c>
      <c r="O213" s="12" t="s">
        <v>1420</v>
      </c>
      <c r="P213" s="12" t="s">
        <v>1420</v>
      </c>
      <c r="Q213" s="12" t="s">
        <v>1420</v>
      </c>
      <c r="R213" s="12" t="s">
        <v>1420</v>
      </c>
      <c r="S213" s="12" t="s">
        <v>1414</v>
      </c>
      <c r="T213" s="12" t="s">
        <v>1420</v>
      </c>
      <c r="U213" s="12" t="s">
        <v>1420</v>
      </c>
      <c r="V213" s="12" t="s">
        <v>1420</v>
      </c>
      <c r="W213" s="12" t="s">
        <v>1414</v>
      </c>
      <c r="X213" s="12" t="s">
        <v>1420</v>
      </c>
      <c r="Y213" s="12" t="s">
        <v>1420</v>
      </c>
      <c r="Z213" s="12" t="s">
        <v>1420</v>
      </c>
      <c r="AA213" s="12" t="s">
        <v>1420</v>
      </c>
      <c r="AB213" s="12" t="s">
        <v>1420</v>
      </c>
      <c r="AC213" s="12" t="s">
        <v>1420</v>
      </c>
      <c r="AD213" s="12" t="s">
        <v>1420</v>
      </c>
      <c r="AE213" s="12" t="s">
        <v>1420</v>
      </c>
      <c r="AF213" s="12" t="s">
        <v>1420</v>
      </c>
      <c r="AG213" s="12" t="s">
        <v>1420</v>
      </c>
    </row>
    <row r="214" spans="1:33" ht="14.4" x14ac:dyDescent="0.3">
      <c r="A214" s="12" t="s">
        <v>66</v>
      </c>
      <c r="B214" s="12" t="s">
        <v>5592</v>
      </c>
      <c r="C214" s="12" t="s">
        <v>5593</v>
      </c>
      <c r="D214" s="12" t="s">
        <v>1410</v>
      </c>
      <c r="E214" s="12" t="s">
        <v>5514</v>
      </c>
      <c r="F214" s="12" t="s">
        <v>5594</v>
      </c>
      <c r="G214" s="12" t="s">
        <v>5595</v>
      </c>
      <c r="H214" s="12" t="s">
        <v>1488</v>
      </c>
      <c r="I214" s="12" t="s">
        <v>1420</v>
      </c>
      <c r="J214" s="12" t="s">
        <v>1420</v>
      </c>
      <c r="K214" s="12" t="s">
        <v>1420</v>
      </c>
      <c r="L214" s="12" t="s">
        <v>1420</v>
      </c>
      <c r="M214" s="12" t="s">
        <v>1420</v>
      </c>
      <c r="N214" s="12" t="s">
        <v>1420</v>
      </c>
      <c r="O214" s="12" t="s">
        <v>1414</v>
      </c>
      <c r="P214" s="12" t="s">
        <v>1420</v>
      </c>
      <c r="Q214" s="12" t="s">
        <v>1420</v>
      </c>
      <c r="R214" s="12" t="s">
        <v>1420</v>
      </c>
      <c r="S214" s="12" t="s">
        <v>1420</v>
      </c>
      <c r="T214" s="12" t="s">
        <v>1420</v>
      </c>
      <c r="U214" s="12" t="s">
        <v>1420</v>
      </c>
      <c r="V214" s="12" t="s">
        <v>1420</v>
      </c>
      <c r="W214" s="12" t="s">
        <v>1420</v>
      </c>
      <c r="X214" s="12" t="s">
        <v>1420</v>
      </c>
      <c r="Y214" s="12" t="s">
        <v>1414</v>
      </c>
      <c r="Z214" s="12" t="s">
        <v>1420</v>
      </c>
      <c r="AA214" s="12" t="s">
        <v>1420</v>
      </c>
      <c r="AB214" s="12" t="s">
        <v>1420</v>
      </c>
      <c r="AC214" s="12" t="s">
        <v>1414</v>
      </c>
      <c r="AD214" s="12" t="s">
        <v>1414</v>
      </c>
      <c r="AE214" s="12" t="s">
        <v>1420</v>
      </c>
      <c r="AF214" s="12" t="s">
        <v>1420</v>
      </c>
      <c r="AG214" s="12" t="s">
        <v>1420</v>
      </c>
    </row>
    <row r="215" spans="1:33" ht="14.4" x14ac:dyDescent="0.3">
      <c r="A215" s="12" t="s">
        <v>31</v>
      </c>
      <c r="B215" s="12" t="s">
        <v>1322</v>
      </c>
      <c r="C215" s="12" t="s">
        <v>1321</v>
      </c>
      <c r="D215" s="12" t="s">
        <v>1410</v>
      </c>
      <c r="E215" s="12" t="s">
        <v>2063</v>
      </c>
      <c r="F215" s="12" t="s">
        <v>2064</v>
      </c>
      <c r="G215" s="12" t="s">
        <v>1545</v>
      </c>
      <c r="H215" s="12" t="s">
        <v>1424</v>
      </c>
      <c r="I215" s="12" t="s">
        <v>1420</v>
      </c>
      <c r="J215" s="12" t="s">
        <v>1420</v>
      </c>
      <c r="K215" s="12" t="s">
        <v>1420</v>
      </c>
      <c r="L215" s="12" t="s">
        <v>1420</v>
      </c>
      <c r="M215" s="12" t="s">
        <v>1420</v>
      </c>
      <c r="N215" s="12" t="s">
        <v>1420</v>
      </c>
      <c r="O215" s="12" t="s">
        <v>1420</v>
      </c>
      <c r="P215" s="12" t="s">
        <v>1414</v>
      </c>
      <c r="Q215" s="12" t="s">
        <v>1420</v>
      </c>
      <c r="R215" s="12" t="s">
        <v>1420</v>
      </c>
      <c r="S215" s="12" t="s">
        <v>1420</v>
      </c>
      <c r="T215" s="12" t="s">
        <v>1420</v>
      </c>
      <c r="U215" s="12" t="s">
        <v>1420</v>
      </c>
      <c r="V215" s="12" t="s">
        <v>1420</v>
      </c>
      <c r="W215" s="12" t="s">
        <v>1420</v>
      </c>
      <c r="X215" s="12" t="s">
        <v>1420</v>
      </c>
      <c r="Y215" s="12" t="s">
        <v>1420</v>
      </c>
      <c r="Z215" s="12" t="s">
        <v>1414</v>
      </c>
      <c r="AA215" s="12" t="s">
        <v>1414</v>
      </c>
      <c r="AB215" s="12" t="s">
        <v>1420</v>
      </c>
      <c r="AC215" s="12" t="s">
        <v>1420</v>
      </c>
      <c r="AD215" s="12" t="s">
        <v>1420</v>
      </c>
      <c r="AE215" s="12" t="s">
        <v>1420</v>
      </c>
      <c r="AF215" s="12" t="s">
        <v>1420</v>
      </c>
      <c r="AG215" s="12" t="s">
        <v>1420</v>
      </c>
    </row>
    <row r="216" spans="1:33" ht="14.4" x14ac:dyDescent="0.3">
      <c r="A216" s="12" t="s">
        <v>25</v>
      </c>
      <c r="B216" s="12" t="s">
        <v>5596</v>
      </c>
      <c r="C216" s="12" t="s">
        <v>5597</v>
      </c>
      <c r="D216" s="12" t="s">
        <v>1410</v>
      </c>
      <c r="E216" s="12" t="s">
        <v>5598</v>
      </c>
      <c r="F216" s="12" t="s">
        <v>5548</v>
      </c>
      <c r="G216" s="12" t="s">
        <v>5599</v>
      </c>
      <c r="H216" s="12" t="s">
        <v>1908</v>
      </c>
      <c r="I216" s="12" t="s">
        <v>1420</v>
      </c>
      <c r="J216" s="12" t="s">
        <v>1420</v>
      </c>
      <c r="K216" s="12" t="s">
        <v>1420</v>
      </c>
      <c r="L216" s="12" t="s">
        <v>1420</v>
      </c>
      <c r="M216" s="12" t="s">
        <v>1420</v>
      </c>
      <c r="N216" s="12" t="s">
        <v>1414</v>
      </c>
      <c r="O216" s="12" t="s">
        <v>1420</v>
      </c>
      <c r="P216" s="12" t="s">
        <v>1420</v>
      </c>
      <c r="Q216" s="12" t="s">
        <v>1420</v>
      </c>
      <c r="R216" s="12" t="s">
        <v>1420</v>
      </c>
      <c r="S216" s="12" t="s">
        <v>1414</v>
      </c>
      <c r="T216" s="12" t="s">
        <v>1414</v>
      </c>
      <c r="U216" s="12" t="s">
        <v>1420</v>
      </c>
      <c r="V216" s="12" t="s">
        <v>1414</v>
      </c>
      <c r="W216" s="12" t="s">
        <v>1420</v>
      </c>
      <c r="X216" s="12" t="s">
        <v>1420</v>
      </c>
      <c r="Y216" s="12" t="s">
        <v>1420</v>
      </c>
      <c r="Z216" s="12" t="s">
        <v>1420</v>
      </c>
      <c r="AA216" s="12" t="s">
        <v>1420</v>
      </c>
      <c r="AB216" s="12" t="s">
        <v>1420</v>
      </c>
      <c r="AC216" s="12" t="s">
        <v>1414</v>
      </c>
      <c r="AD216" s="12" t="s">
        <v>1414</v>
      </c>
      <c r="AE216" s="12" t="s">
        <v>1414</v>
      </c>
      <c r="AF216" s="12" t="s">
        <v>1414</v>
      </c>
      <c r="AG216" s="12" t="s">
        <v>1414</v>
      </c>
    </row>
    <row r="217" spans="1:33" ht="14.4" x14ac:dyDescent="0.3">
      <c r="A217" s="12" t="s">
        <v>8</v>
      </c>
      <c r="B217" s="12" t="s">
        <v>1324</v>
      </c>
      <c r="C217" s="12" t="s">
        <v>1323</v>
      </c>
      <c r="D217" s="12" t="s">
        <v>1410</v>
      </c>
      <c r="E217" s="12" t="s">
        <v>1917</v>
      </c>
      <c r="F217" s="12" t="s">
        <v>1918</v>
      </c>
      <c r="G217" s="12" t="s">
        <v>1919</v>
      </c>
      <c r="H217" s="12" t="s">
        <v>1488</v>
      </c>
      <c r="I217" s="12" t="s">
        <v>1420</v>
      </c>
      <c r="J217" s="12" t="s">
        <v>1414</v>
      </c>
      <c r="K217" s="12" t="s">
        <v>1420</v>
      </c>
      <c r="L217" s="12" t="s">
        <v>1420</v>
      </c>
      <c r="M217" s="12" t="s">
        <v>1420</v>
      </c>
      <c r="N217" s="12" t="s">
        <v>1420</v>
      </c>
      <c r="O217" s="12" t="s">
        <v>1420</v>
      </c>
      <c r="P217" s="12" t="s">
        <v>1420</v>
      </c>
      <c r="Q217" s="12" t="s">
        <v>1420</v>
      </c>
      <c r="R217" s="12" t="s">
        <v>1420</v>
      </c>
      <c r="S217" s="12" t="s">
        <v>1420</v>
      </c>
      <c r="T217" s="12" t="s">
        <v>1420</v>
      </c>
      <c r="U217" s="12" t="s">
        <v>1420</v>
      </c>
      <c r="V217" s="12" t="s">
        <v>1420</v>
      </c>
      <c r="W217" s="12" t="s">
        <v>1420</v>
      </c>
      <c r="X217" s="12" t="s">
        <v>1420</v>
      </c>
      <c r="Y217" s="12" t="s">
        <v>1420</v>
      </c>
      <c r="Z217" s="12" t="s">
        <v>1420</v>
      </c>
      <c r="AA217" s="12" t="s">
        <v>1414</v>
      </c>
      <c r="AB217" s="12" t="s">
        <v>1414</v>
      </c>
      <c r="AC217" s="12" t="s">
        <v>1420</v>
      </c>
      <c r="AD217" s="12" t="s">
        <v>1414</v>
      </c>
      <c r="AE217" s="12" t="s">
        <v>1420</v>
      </c>
      <c r="AF217" s="12" t="s">
        <v>1420</v>
      </c>
      <c r="AG217" s="12" t="s">
        <v>1420</v>
      </c>
    </row>
    <row r="218" spans="1:33" ht="14.4" x14ac:dyDescent="0.3">
      <c r="A218" s="12" t="s">
        <v>8</v>
      </c>
      <c r="B218" s="12" t="s">
        <v>1326</v>
      </c>
      <c r="C218" s="12" t="s">
        <v>1325</v>
      </c>
      <c r="D218" s="12" t="s">
        <v>1410</v>
      </c>
      <c r="E218" s="12" t="s">
        <v>1923</v>
      </c>
      <c r="F218" s="12" t="s">
        <v>1924</v>
      </c>
      <c r="G218" s="12" t="s">
        <v>1925</v>
      </c>
      <c r="H218" s="12" t="s">
        <v>1488</v>
      </c>
      <c r="I218" s="12" t="s">
        <v>1420</v>
      </c>
      <c r="J218" s="12" t="s">
        <v>1414</v>
      </c>
      <c r="K218" s="12" t="s">
        <v>1420</v>
      </c>
      <c r="L218" s="12" t="s">
        <v>1420</v>
      </c>
      <c r="M218" s="12" t="s">
        <v>1420</v>
      </c>
      <c r="N218" s="12" t="s">
        <v>1414</v>
      </c>
      <c r="O218" s="12" t="s">
        <v>1420</v>
      </c>
      <c r="P218" s="12" t="s">
        <v>1414</v>
      </c>
      <c r="Q218" s="12" t="s">
        <v>1420</v>
      </c>
      <c r="R218" s="12" t="s">
        <v>1420</v>
      </c>
      <c r="S218" s="12" t="s">
        <v>1420</v>
      </c>
      <c r="T218" s="12" t="s">
        <v>1420</v>
      </c>
      <c r="U218" s="12" t="s">
        <v>1420</v>
      </c>
      <c r="V218" s="12" t="s">
        <v>1420</v>
      </c>
      <c r="W218" s="12" t="s">
        <v>1420</v>
      </c>
      <c r="X218" s="12" t="s">
        <v>1420</v>
      </c>
      <c r="Y218" s="12" t="s">
        <v>1420</v>
      </c>
      <c r="Z218" s="12" t="s">
        <v>1414</v>
      </c>
      <c r="AA218" s="12" t="s">
        <v>1420</v>
      </c>
      <c r="AB218" s="12" t="s">
        <v>1420</v>
      </c>
      <c r="AC218" s="12" t="s">
        <v>1420</v>
      </c>
      <c r="AD218" s="12" t="s">
        <v>1420</v>
      </c>
      <c r="AE218" s="12" t="s">
        <v>1420</v>
      </c>
      <c r="AF218" s="12" t="s">
        <v>1420</v>
      </c>
      <c r="AG218" s="12" t="s">
        <v>1420</v>
      </c>
    </row>
    <row r="219" spans="1:33" ht="14.4" x14ac:dyDescent="0.3">
      <c r="A219" s="12" t="s">
        <v>71</v>
      </c>
      <c r="B219" s="12" t="s">
        <v>814</v>
      </c>
      <c r="C219" s="12" t="s">
        <v>813</v>
      </c>
      <c r="D219" s="12" t="s">
        <v>1410</v>
      </c>
      <c r="E219" s="12" t="s">
        <v>2549</v>
      </c>
      <c r="F219" s="12" t="s">
        <v>2550</v>
      </c>
      <c r="G219" s="12" t="s">
        <v>2551</v>
      </c>
      <c r="H219" s="12" t="s">
        <v>1424</v>
      </c>
      <c r="I219" s="12" t="s">
        <v>1420</v>
      </c>
      <c r="J219" s="12" t="s">
        <v>1420</v>
      </c>
      <c r="K219" s="12" t="s">
        <v>1420</v>
      </c>
      <c r="L219" s="12" t="s">
        <v>1420</v>
      </c>
      <c r="M219" s="12" t="s">
        <v>1420</v>
      </c>
      <c r="N219" s="12" t="s">
        <v>1414</v>
      </c>
      <c r="O219" s="12" t="s">
        <v>1420</v>
      </c>
      <c r="P219" s="12" t="s">
        <v>1420</v>
      </c>
      <c r="Q219" s="12" t="s">
        <v>1420</v>
      </c>
      <c r="R219" s="12" t="s">
        <v>1420</v>
      </c>
      <c r="S219" s="12" t="s">
        <v>1420</v>
      </c>
      <c r="T219" s="12" t="s">
        <v>1420</v>
      </c>
      <c r="U219" s="12" t="s">
        <v>1420</v>
      </c>
      <c r="V219" s="12" t="s">
        <v>1420</v>
      </c>
      <c r="W219" s="12" t="s">
        <v>1414</v>
      </c>
      <c r="X219" s="12" t="s">
        <v>1414</v>
      </c>
      <c r="Y219" s="12" t="s">
        <v>1420</v>
      </c>
      <c r="Z219" s="12" t="s">
        <v>1420</v>
      </c>
      <c r="AA219" s="12" t="s">
        <v>1420</v>
      </c>
      <c r="AB219" s="12" t="s">
        <v>1420</v>
      </c>
      <c r="AC219" s="12" t="s">
        <v>1420</v>
      </c>
      <c r="AD219" s="12" t="s">
        <v>1420</v>
      </c>
      <c r="AE219" s="12" t="s">
        <v>1420</v>
      </c>
      <c r="AF219" s="12" t="s">
        <v>1420</v>
      </c>
      <c r="AG219" s="12" t="s">
        <v>1420</v>
      </c>
    </row>
    <row r="220" spans="1:33" ht="14.4" x14ac:dyDescent="0.3">
      <c r="A220" s="12" t="s">
        <v>31</v>
      </c>
      <c r="B220" s="12" t="s">
        <v>75</v>
      </c>
      <c r="C220" s="12" t="s">
        <v>74</v>
      </c>
      <c r="D220" s="12" t="s">
        <v>1410</v>
      </c>
      <c r="E220" s="12" t="s">
        <v>2150</v>
      </c>
      <c r="F220" s="12" t="s">
        <v>2120</v>
      </c>
      <c r="G220" s="12" t="s">
        <v>2153</v>
      </c>
      <c r="H220" s="12" t="s">
        <v>1464</v>
      </c>
      <c r="I220" s="12" t="s">
        <v>1420</v>
      </c>
      <c r="J220" s="12" t="s">
        <v>1420</v>
      </c>
      <c r="K220" s="12" t="s">
        <v>1420</v>
      </c>
      <c r="L220" s="12" t="s">
        <v>1420</v>
      </c>
      <c r="M220" s="12" t="s">
        <v>1420</v>
      </c>
      <c r="N220" s="12" t="s">
        <v>1420</v>
      </c>
      <c r="O220" s="12" t="s">
        <v>1420</v>
      </c>
      <c r="P220" s="12" t="s">
        <v>1420</v>
      </c>
      <c r="Q220" s="12" t="s">
        <v>1420</v>
      </c>
      <c r="R220" s="12" t="s">
        <v>1420</v>
      </c>
      <c r="S220" s="12" t="s">
        <v>1420</v>
      </c>
      <c r="T220" s="12" t="s">
        <v>1420</v>
      </c>
      <c r="U220" s="12" t="s">
        <v>1420</v>
      </c>
      <c r="V220" s="12" t="s">
        <v>1420</v>
      </c>
      <c r="W220" s="12" t="s">
        <v>1420</v>
      </c>
      <c r="X220" s="12" t="s">
        <v>1420</v>
      </c>
      <c r="Y220" s="12" t="s">
        <v>1420</v>
      </c>
      <c r="Z220" s="12" t="s">
        <v>1420</v>
      </c>
      <c r="AA220" s="12" t="s">
        <v>1420</v>
      </c>
      <c r="AB220" s="12" t="s">
        <v>1420</v>
      </c>
      <c r="AC220" s="12" t="s">
        <v>1420</v>
      </c>
      <c r="AD220" s="12" t="s">
        <v>1420</v>
      </c>
      <c r="AE220" s="12" t="s">
        <v>1420</v>
      </c>
      <c r="AF220" s="12" t="s">
        <v>1420</v>
      </c>
      <c r="AG220" s="12" t="s">
        <v>1420</v>
      </c>
    </row>
    <row r="221" spans="1:33" ht="14.4" x14ac:dyDescent="0.3">
      <c r="A221" s="12" t="s">
        <v>192</v>
      </c>
      <c r="B221" s="12" t="s">
        <v>1181</v>
      </c>
      <c r="C221" s="12" t="s">
        <v>1180</v>
      </c>
      <c r="D221" s="12" t="s">
        <v>1410</v>
      </c>
      <c r="E221" s="12" t="s">
        <v>2326</v>
      </c>
      <c r="F221" s="12" t="s">
        <v>2327</v>
      </c>
      <c r="G221" s="12" t="s">
        <v>2097</v>
      </c>
      <c r="H221" s="12" t="s">
        <v>1452</v>
      </c>
      <c r="I221" s="12" t="s">
        <v>1420</v>
      </c>
      <c r="J221" s="12" t="s">
        <v>1420</v>
      </c>
      <c r="K221" s="12" t="s">
        <v>1420</v>
      </c>
      <c r="L221" s="12" t="s">
        <v>1420</v>
      </c>
      <c r="M221" s="12" t="s">
        <v>1420</v>
      </c>
      <c r="N221" s="12" t="s">
        <v>1420</v>
      </c>
      <c r="O221" s="12" t="s">
        <v>1420</v>
      </c>
      <c r="P221" s="12" t="s">
        <v>1420</v>
      </c>
      <c r="Q221" s="12" t="s">
        <v>1420</v>
      </c>
      <c r="R221" s="12" t="s">
        <v>1420</v>
      </c>
      <c r="S221" s="12" t="s">
        <v>1420</v>
      </c>
      <c r="T221" s="12" t="s">
        <v>1420</v>
      </c>
      <c r="U221" s="12" t="s">
        <v>1420</v>
      </c>
      <c r="V221" s="12" t="s">
        <v>1420</v>
      </c>
      <c r="W221" s="12" t="s">
        <v>1420</v>
      </c>
      <c r="X221" s="12" t="s">
        <v>1420</v>
      </c>
      <c r="Y221" s="12" t="s">
        <v>1420</v>
      </c>
      <c r="Z221" s="12" t="s">
        <v>1420</v>
      </c>
      <c r="AA221" s="12" t="s">
        <v>1420</v>
      </c>
      <c r="AB221" s="12" t="s">
        <v>1420</v>
      </c>
      <c r="AC221" s="12" t="s">
        <v>1420</v>
      </c>
      <c r="AD221" s="12" t="s">
        <v>1420</v>
      </c>
      <c r="AE221" s="12" t="s">
        <v>1414</v>
      </c>
      <c r="AF221" s="12" t="s">
        <v>1420</v>
      </c>
      <c r="AG221" s="12" t="s">
        <v>1420</v>
      </c>
    </row>
    <row r="222" spans="1:33" ht="14.4" x14ac:dyDescent="0.3">
      <c r="A222" s="12" t="s">
        <v>5600</v>
      </c>
      <c r="B222" s="12" t="s">
        <v>5601</v>
      </c>
      <c r="C222" s="12" t="s">
        <v>5602</v>
      </c>
      <c r="D222" s="12" t="s">
        <v>1410</v>
      </c>
      <c r="E222" s="12" t="s">
        <v>5603</v>
      </c>
      <c r="F222" s="12" t="s">
        <v>5604</v>
      </c>
      <c r="G222" s="12" t="s">
        <v>2070</v>
      </c>
      <c r="H222" s="12" t="s">
        <v>1464</v>
      </c>
      <c r="I222" s="12" t="s">
        <v>1420</v>
      </c>
      <c r="J222" s="12" t="s">
        <v>1420</v>
      </c>
      <c r="K222" s="12" t="s">
        <v>1420</v>
      </c>
      <c r="L222" s="12" t="s">
        <v>1420</v>
      </c>
      <c r="M222" s="12" t="s">
        <v>1420</v>
      </c>
      <c r="N222" s="12" t="s">
        <v>1420</v>
      </c>
      <c r="O222" s="12" t="s">
        <v>1420</v>
      </c>
      <c r="P222" s="12" t="s">
        <v>1420</v>
      </c>
      <c r="Q222" s="12" t="s">
        <v>1420</v>
      </c>
      <c r="R222" s="12" t="s">
        <v>1420</v>
      </c>
      <c r="S222" s="12" t="s">
        <v>1420</v>
      </c>
      <c r="T222" s="12" t="s">
        <v>1420</v>
      </c>
      <c r="U222" s="12" t="s">
        <v>1420</v>
      </c>
      <c r="V222" s="12" t="s">
        <v>1420</v>
      </c>
      <c r="W222" s="12" t="s">
        <v>1420</v>
      </c>
      <c r="X222" s="12" t="s">
        <v>1420</v>
      </c>
      <c r="Y222" s="12" t="s">
        <v>1420</v>
      </c>
      <c r="Z222" s="12" t="s">
        <v>1420</v>
      </c>
      <c r="AA222" s="12" t="s">
        <v>1420</v>
      </c>
      <c r="AB222" s="12" t="s">
        <v>1420</v>
      </c>
      <c r="AC222" s="12" t="s">
        <v>1420</v>
      </c>
      <c r="AD222" s="12" t="s">
        <v>1420</v>
      </c>
      <c r="AE222" s="12" t="s">
        <v>1420</v>
      </c>
      <c r="AF222" s="12" t="s">
        <v>1420</v>
      </c>
      <c r="AG222" s="12" t="s">
        <v>1420</v>
      </c>
    </row>
    <row r="223" spans="1:33" ht="14.4" x14ac:dyDescent="0.3">
      <c r="A223" s="12" t="s">
        <v>8</v>
      </c>
      <c r="B223" s="12" t="s">
        <v>314</v>
      </c>
      <c r="C223" s="12" t="s">
        <v>313</v>
      </c>
      <c r="D223" s="12" t="s">
        <v>1410</v>
      </c>
      <c r="E223" s="12" t="s">
        <v>1732</v>
      </c>
      <c r="F223" s="12" t="s">
        <v>1733</v>
      </c>
      <c r="G223" s="12" t="s">
        <v>1734</v>
      </c>
      <c r="H223" s="12" t="s">
        <v>1448</v>
      </c>
      <c r="I223" s="12" t="s">
        <v>1420</v>
      </c>
      <c r="J223" s="12" t="s">
        <v>1420</v>
      </c>
      <c r="K223" s="12" t="s">
        <v>1420</v>
      </c>
      <c r="L223" s="12" t="s">
        <v>1420</v>
      </c>
      <c r="M223" s="12" t="s">
        <v>1420</v>
      </c>
      <c r="N223" s="12" t="s">
        <v>1420</v>
      </c>
      <c r="O223" s="12" t="s">
        <v>1420</v>
      </c>
      <c r="P223" s="12" t="s">
        <v>1420</v>
      </c>
      <c r="Q223" s="12" t="s">
        <v>1420</v>
      </c>
      <c r="R223" s="12" t="s">
        <v>1420</v>
      </c>
      <c r="S223" s="12" t="s">
        <v>1420</v>
      </c>
      <c r="T223" s="12" t="s">
        <v>1420</v>
      </c>
      <c r="U223" s="12" t="s">
        <v>1420</v>
      </c>
      <c r="V223" s="12" t="s">
        <v>1420</v>
      </c>
      <c r="W223" s="12" t="s">
        <v>1420</v>
      </c>
      <c r="X223" s="12" t="s">
        <v>1414</v>
      </c>
      <c r="Y223" s="12" t="s">
        <v>1420</v>
      </c>
      <c r="Z223" s="12" t="s">
        <v>1420</v>
      </c>
      <c r="AA223" s="12" t="s">
        <v>1414</v>
      </c>
      <c r="AB223" s="12" t="s">
        <v>1414</v>
      </c>
      <c r="AC223" s="12" t="s">
        <v>1414</v>
      </c>
      <c r="AD223" s="12" t="s">
        <v>1420</v>
      </c>
      <c r="AE223" s="12" t="s">
        <v>1414</v>
      </c>
      <c r="AF223" s="12" t="s">
        <v>1420</v>
      </c>
      <c r="AG223" s="12" t="s">
        <v>1420</v>
      </c>
    </row>
    <row r="224" spans="1:33" ht="14.4" x14ac:dyDescent="0.3">
      <c r="A224" s="12" t="s">
        <v>16</v>
      </c>
      <c r="B224" s="12" t="s">
        <v>1048</v>
      </c>
      <c r="C224" s="12" t="s">
        <v>1047</v>
      </c>
      <c r="D224" s="12" t="s">
        <v>1410</v>
      </c>
      <c r="E224" s="12" t="s">
        <v>2862</v>
      </c>
      <c r="F224" s="12" t="s">
        <v>2863</v>
      </c>
      <c r="G224" s="12" t="s">
        <v>1868</v>
      </c>
      <c r="H224" s="12" t="s">
        <v>1464</v>
      </c>
      <c r="I224" s="12" t="s">
        <v>1420</v>
      </c>
      <c r="J224" s="12" t="s">
        <v>1420</v>
      </c>
      <c r="K224" s="12" t="s">
        <v>1420</v>
      </c>
      <c r="L224" s="12" t="s">
        <v>1420</v>
      </c>
      <c r="M224" s="12" t="s">
        <v>1420</v>
      </c>
      <c r="N224" s="12" t="s">
        <v>1420</v>
      </c>
      <c r="O224" s="12" t="s">
        <v>1420</v>
      </c>
      <c r="P224" s="12" t="s">
        <v>1420</v>
      </c>
      <c r="Q224" s="12" t="s">
        <v>1420</v>
      </c>
      <c r="R224" s="12" t="s">
        <v>1420</v>
      </c>
      <c r="S224" s="12" t="s">
        <v>1420</v>
      </c>
      <c r="T224" s="12" t="s">
        <v>1420</v>
      </c>
      <c r="U224" s="12" t="s">
        <v>1420</v>
      </c>
      <c r="V224" s="12" t="s">
        <v>1420</v>
      </c>
      <c r="W224" s="12" t="s">
        <v>1420</v>
      </c>
      <c r="X224" s="12" t="s">
        <v>1420</v>
      </c>
      <c r="Y224" s="12" t="s">
        <v>1420</v>
      </c>
      <c r="Z224" s="12" t="s">
        <v>1420</v>
      </c>
      <c r="AA224" s="12" t="s">
        <v>1420</v>
      </c>
      <c r="AB224" s="12" t="s">
        <v>1420</v>
      </c>
      <c r="AC224" s="12" t="s">
        <v>1420</v>
      </c>
      <c r="AD224" s="12" t="s">
        <v>1420</v>
      </c>
      <c r="AE224" s="12" t="s">
        <v>1420</v>
      </c>
      <c r="AF224" s="12" t="s">
        <v>1420</v>
      </c>
      <c r="AG224" s="12" t="s">
        <v>1420</v>
      </c>
    </row>
    <row r="225" spans="1:33" ht="14.4" x14ac:dyDescent="0.3">
      <c r="A225" s="12" t="s">
        <v>179</v>
      </c>
      <c r="B225" s="12" t="s">
        <v>423</v>
      </c>
      <c r="C225" s="12" t="s">
        <v>422</v>
      </c>
      <c r="D225" s="12" t="s">
        <v>1410</v>
      </c>
      <c r="E225" s="12" t="s">
        <v>2263</v>
      </c>
      <c r="F225" s="12" t="s">
        <v>2264</v>
      </c>
      <c r="G225" s="12" t="s">
        <v>2265</v>
      </c>
      <c r="H225" s="12" t="s">
        <v>1488</v>
      </c>
      <c r="I225" s="12" t="s">
        <v>1420</v>
      </c>
      <c r="J225" s="12" t="s">
        <v>1420</v>
      </c>
      <c r="K225" s="12" t="s">
        <v>1420</v>
      </c>
      <c r="L225" s="12" t="s">
        <v>1420</v>
      </c>
      <c r="M225" s="12" t="s">
        <v>1420</v>
      </c>
      <c r="N225" s="12" t="s">
        <v>1420</v>
      </c>
      <c r="O225" s="12" t="s">
        <v>1420</v>
      </c>
      <c r="P225" s="12" t="s">
        <v>1414</v>
      </c>
      <c r="Q225" s="12" t="s">
        <v>1420</v>
      </c>
      <c r="R225" s="12" t="s">
        <v>1420</v>
      </c>
      <c r="S225" s="12" t="s">
        <v>1414</v>
      </c>
      <c r="T225" s="12" t="s">
        <v>1420</v>
      </c>
      <c r="U225" s="12" t="s">
        <v>1420</v>
      </c>
      <c r="V225" s="12" t="s">
        <v>1420</v>
      </c>
      <c r="W225" s="12" t="s">
        <v>1420</v>
      </c>
      <c r="X225" s="12" t="s">
        <v>1414</v>
      </c>
      <c r="Y225" s="12" t="s">
        <v>1420</v>
      </c>
      <c r="Z225" s="12" t="s">
        <v>1420</v>
      </c>
      <c r="AA225" s="12" t="s">
        <v>1420</v>
      </c>
      <c r="AB225" s="12" t="s">
        <v>1420</v>
      </c>
      <c r="AC225" s="12" t="s">
        <v>1420</v>
      </c>
      <c r="AD225" s="12" t="s">
        <v>1420</v>
      </c>
      <c r="AE225" s="12" t="s">
        <v>1420</v>
      </c>
      <c r="AF225" s="12" t="s">
        <v>1414</v>
      </c>
      <c r="AG225" s="12" t="s">
        <v>1420</v>
      </c>
    </row>
    <row r="226" spans="1:33" ht="14.4" x14ac:dyDescent="0.3">
      <c r="A226" s="12" t="s">
        <v>133</v>
      </c>
      <c r="B226" s="12" t="s">
        <v>509</v>
      </c>
      <c r="C226" s="12" t="s">
        <v>508</v>
      </c>
      <c r="D226" s="12" t="s">
        <v>1410</v>
      </c>
      <c r="E226" s="12" t="s">
        <v>3068</v>
      </c>
      <c r="F226" s="12" t="s">
        <v>3069</v>
      </c>
      <c r="G226" s="12" t="s">
        <v>3070</v>
      </c>
      <c r="H226" s="12" t="s">
        <v>1428</v>
      </c>
      <c r="I226" s="12" t="s">
        <v>1420</v>
      </c>
      <c r="J226" s="12" t="s">
        <v>1414</v>
      </c>
      <c r="K226" s="12" t="s">
        <v>1414</v>
      </c>
      <c r="L226" s="12" t="s">
        <v>1420</v>
      </c>
      <c r="M226" s="12" t="s">
        <v>1420</v>
      </c>
      <c r="N226" s="12" t="s">
        <v>1420</v>
      </c>
      <c r="O226" s="12" t="s">
        <v>1414</v>
      </c>
      <c r="P226" s="12" t="s">
        <v>1414</v>
      </c>
      <c r="Q226" s="12" t="s">
        <v>1420</v>
      </c>
      <c r="R226" s="12" t="s">
        <v>1420</v>
      </c>
      <c r="S226" s="12" t="s">
        <v>1414</v>
      </c>
      <c r="T226" s="12" t="s">
        <v>1414</v>
      </c>
      <c r="U226" s="12" t="s">
        <v>1420</v>
      </c>
      <c r="V226" s="12" t="s">
        <v>1420</v>
      </c>
      <c r="W226" s="12" t="s">
        <v>1420</v>
      </c>
      <c r="X226" s="12" t="s">
        <v>1414</v>
      </c>
      <c r="Y226" s="12" t="s">
        <v>1420</v>
      </c>
      <c r="Z226" s="12" t="s">
        <v>1420</v>
      </c>
      <c r="AA226" s="12" t="s">
        <v>1420</v>
      </c>
      <c r="AB226" s="12" t="s">
        <v>1420</v>
      </c>
      <c r="AC226" s="12" t="s">
        <v>1420</v>
      </c>
      <c r="AD226" s="12" t="s">
        <v>1420</v>
      </c>
      <c r="AE226" s="12" t="s">
        <v>1420</v>
      </c>
      <c r="AF226" s="12" t="s">
        <v>1420</v>
      </c>
      <c r="AG226" s="12" t="s">
        <v>1420</v>
      </c>
    </row>
    <row r="227" spans="1:33" ht="14.4" x14ac:dyDescent="0.3">
      <c r="A227" s="12" t="s">
        <v>8</v>
      </c>
      <c r="B227" s="12" t="s">
        <v>1328</v>
      </c>
      <c r="C227" s="12" t="s">
        <v>1327</v>
      </c>
      <c r="D227" s="12" t="s">
        <v>1410</v>
      </c>
      <c r="E227" s="12" t="s">
        <v>2286</v>
      </c>
      <c r="F227" s="12" t="s">
        <v>2287</v>
      </c>
      <c r="G227" s="12" t="s">
        <v>2288</v>
      </c>
      <c r="H227" s="12" t="s">
        <v>1448</v>
      </c>
      <c r="I227" s="12" t="s">
        <v>1420</v>
      </c>
      <c r="J227" s="12" t="s">
        <v>1420</v>
      </c>
      <c r="K227" s="12" t="s">
        <v>1414</v>
      </c>
      <c r="L227" s="12" t="s">
        <v>1414</v>
      </c>
      <c r="M227" s="12" t="s">
        <v>1420</v>
      </c>
      <c r="N227" s="12" t="s">
        <v>1414</v>
      </c>
      <c r="O227" s="12" t="s">
        <v>1414</v>
      </c>
      <c r="P227" s="12" t="s">
        <v>1420</v>
      </c>
      <c r="Q227" s="12" t="s">
        <v>1420</v>
      </c>
      <c r="R227" s="12" t="s">
        <v>1420</v>
      </c>
      <c r="S227" s="12" t="s">
        <v>1420</v>
      </c>
      <c r="T227" s="12" t="s">
        <v>1420</v>
      </c>
      <c r="U227" s="12" t="s">
        <v>1420</v>
      </c>
      <c r="V227" s="12" t="s">
        <v>1420</v>
      </c>
      <c r="W227" s="12" t="s">
        <v>1420</v>
      </c>
      <c r="X227" s="12" t="s">
        <v>1420</v>
      </c>
      <c r="Y227" s="12" t="s">
        <v>1420</v>
      </c>
      <c r="Z227" s="12" t="s">
        <v>1420</v>
      </c>
      <c r="AA227" s="12" t="s">
        <v>1414</v>
      </c>
      <c r="AB227" s="12" t="s">
        <v>1420</v>
      </c>
      <c r="AC227" s="12" t="s">
        <v>1420</v>
      </c>
      <c r="AD227" s="12" t="s">
        <v>1420</v>
      </c>
      <c r="AE227" s="12" t="s">
        <v>1420</v>
      </c>
      <c r="AF227" s="12" t="s">
        <v>1420</v>
      </c>
      <c r="AG227" s="12" t="s">
        <v>1420</v>
      </c>
    </row>
    <row r="228" spans="1:33" ht="14.4" x14ac:dyDescent="0.3">
      <c r="A228" s="12" t="s">
        <v>133</v>
      </c>
      <c r="B228" s="12" t="s">
        <v>816</v>
      </c>
      <c r="C228" s="12" t="s">
        <v>815</v>
      </c>
      <c r="D228" s="12" t="s">
        <v>1410</v>
      </c>
      <c r="E228" s="12" t="s">
        <v>2866</v>
      </c>
      <c r="F228" s="12" t="s">
        <v>2867</v>
      </c>
      <c r="G228" s="12" t="s">
        <v>2868</v>
      </c>
      <c r="H228" s="12" t="s">
        <v>1606</v>
      </c>
      <c r="I228" s="12" t="s">
        <v>1420</v>
      </c>
      <c r="J228" s="12" t="s">
        <v>1420</v>
      </c>
      <c r="K228" s="12" t="s">
        <v>1420</v>
      </c>
      <c r="L228" s="12" t="s">
        <v>1420</v>
      </c>
      <c r="M228" s="12" t="s">
        <v>1420</v>
      </c>
      <c r="N228" s="12" t="s">
        <v>1414</v>
      </c>
      <c r="O228" s="12" t="s">
        <v>1420</v>
      </c>
      <c r="P228" s="12" t="s">
        <v>1414</v>
      </c>
      <c r="Q228" s="12" t="s">
        <v>1420</v>
      </c>
      <c r="R228" s="12" t="s">
        <v>1420</v>
      </c>
      <c r="S228" s="12" t="s">
        <v>1414</v>
      </c>
      <c r="T228" s="12" t="s">
        <v>1414</v>
      </c>
      <c r="U228" s="12" t="s">
        <v>1420</v>
      </c>
      <c r="V228" s="12" t="s">
        <v>1420</v>
      </c>
      <c r="W228" s="12" t="s">
        <v>1420</v>
      </c>
      <c r="X228" s="12" t="s">
        <v>1414</v>
      </c>
      <c r="Y228" s="12" t="s">
        <v>1420</v>
      </c>
      <c r="Z228" s="12" t="s">
        <v>1420</v>
      </c>
      <c r="AA228" s="12" t="s">
        <v>1414</v>
      </c>
      <c r="AB228" s="12" t="s">
        <v>1420</v>
      </c>
      <c r="AC228" s="12" t="s">
        <v>1414</v>
      </c>
      <c r="AD228" s="12" t="s">
        <v>1414</v>
      </c>
      <c r="AE228" s="12" t="s">
        <v>1420</v>
      </c>
      <c r="AF228" s="12" t="s">
        <v>1420</v>
      </c>
      <c r="AG228" s="12" t="s">
        <v>1420</v>
      </c>
    </row>
    <row r="229" spans="1:33" ht="14.4" x14ac:dyDescent="0.3">
      <c r="A229" s="12" t="s">
        <v>8</v>
      </c>
      <c r="B229" s="12" t="s">
        <v>511</v>
      </c>
      <c r="C229" s="12" t="s">
        <v>510</v>
      </c>
      <c r="D229" s="12" t="s">
        <v>1410</v>
      </c>
      <c r="E229" s="12" t="s">
        <v>1495</v>
      </c>
      <c r="F229" s="12" t="s">
        <v>1496</v>
      </c>
      <c r="G229" s="12" t="s">
        <v>1497</v>
      </c>
      <c r="H229" s="12" t="s">
        <v>1419</v>
      </c>
      <c r="I229" s="12" t="s">
        <v>1420</v>
      </c>
      <c r="J229" s="12" t="s">
        <v>1420</v>
      </c>
      <c r="K229" s="12" t="s">
        <v>1420</v>
      </c>
      <c r="L229" s="12" t="s">
        <v>1420</v>
      </c>
      <c r="M229" s="12" t="s">
        <v>1420</v>
      </c>
      <c r="N229" s="12" t="s">
        <v>1420</v>
      </c>
      <c r="O229" s="12" t="s">
        <v>1420</v>
      </c>
      <c r="P229" s="12" t="s">
        <v>1414</v>
      </c>
      <c r="Q229" s="12" t="s">
        <v>1420</v>
      </c>
      <c r="R229" s="12" t="s">
        <v>1420</v>
      </c>
      <c r="S229" s="12" t="s">
        <v>1420</v>
      </c>
      <c r="T229" s="12" t="s">
        <v>1420</v>
      </c>
      <c r="U229" s="12" t="s">
        <v>1420</v>
      </c>
      <c r="V229" s="12" t="s">
        <v>1420</v>
      </c>
      <c r="W229" s="12" t="s">
        <v>1420</v>
      </c>
      <c r="X229" s="12" t="s">
        <v>1420</v>
      </c>
      <c r="Y229" s="12" t="s">
        <v>1420</v>
      </c>
      <c r="Z229" s="12" t="s">
        <v>1414</v>
      </c>
      <c r="AA229" s="12" t="s">
        <v>1420</v>
      </c>
      <c r="AB229" s="12" t="s">
        <v>1420</v>
      </c>
      <c r="AC229" s="12" t="s">
        <v>1420</v>
      </c>
      <c r="AD229" s="12" t="s">
        <v>1420</v>
      </c>
      <c r="AE229" s="12" t="s">
        <v>1420</v>
      </c>
      <c r="AF229" s="12" t="s">
        <v>1420</v>
      </c>
      <c r="AG229" s="12" t="s">
        <v>1420</v>
      </c>
    </row>
    <row r="230" spans="1:33" ht="14.4" x14ac:dyDescent="0.3">
      <c r="A230" s="12" t="s">
        <v>8</v>
      </c>
      <c r="B230" s="12" t="s">
        <v>1330</v>
      </c>
      <c r="C230" s="12" t="s">
        <v>1329</v>
      </c>
      <c r="D230" s="12" t="s">
        <v>1410</v>
      </c>
      <c r="E230" s="12" t="s">
        <v>1897</v>
      </c>
      <c r="F230" s="12" t="s">
        <v>1904</v>
      </c>
      <c r="G230" s="12" t="s">
        <v>1566</v>
      </c>
      <c r="H230" s="12" t="s">
        <v>1419</v>
      </c>
      <c r="I230" s="12" t="s">
        <v>1420</v>
      </c>
      <c r="J230" s="12" t="s">
        <v>1420</v>
      </c>
      <c r="K230" s="12" t="s">
        <v>1420</v>
      </c>
      <c r="L230" s="12" t="s">
        <v>1420</v>
      </c>
      <c r="M230" s="12" t="s">
        <v>1420</v>
      </c>
      <c r="N230" s="12" t="s">
        <v>1420</v>
      </c>
      <c r="O230" s="12" t="s">
        <v>1414</v>
      </c>
      <c r="P230" s="12" t="s">
        <v>1420</v>
      </c>
      <c r="Q230" s="12" t="s">
        <v>1420</v>
      </c>
      <c r="R230" s="12" t="s">
        <v>1420</v>
      </c>
      <c r="S230" s="12" t="s">
        <v>1420</v>
      </c>
      <c r="T230" s="12" t="s">
        <v>1420</v>
      </c>
      <c r="U230" s="12" t="s">
        <v>1420</v>
      </c>
      <c r="V230" s="12" t="s">
        <v>1420</v>
      </c>
      <c r="W230" s="12" t="s">
        <v>1420</v>
      </c>
      <c r="X230" s="12" t="s">
        <v>1420</v>
      </c>
      <c r="Y230" s="12" t="s">
        <v>1420</v>
      </c>
      <c r="Z230" s="12" t="s">
        <v>1420</v>
      </c>
      <c r="AA230" s="12" t="s">
        <v>1420</v>
      </c>
      <c r="AB230" s="12" t="s">
        <v>1420</v>
      </c>
      <c r="AC230" s="12" t="s">
        <v>1420</v>
      </c>
      <c r="AD230" s="12" t="s">
        <v>1414</v>
      </c>
      <c r="AE230" s="12" t="s">
        <v>1420</v>
      </c>
      <c r="AF230" s="12" t="s">
        <v>1420</v>
      </c>
      <c r="AG230" s="12" t="s">
        <v>1420</v>
      </c>
    </row>
    <row r="231" spans="1:33" ht="14.4" x14ac:dyDescent="0.3">
      <c r="A231" s="12" t="s">
        <v>8</v>
      </c>
      <c r="B231" s="12" t="s">
        <v>1330</v>
      </c>
      <c r="C231" s="12" t="s">
        <v>1329</v>
      </c>
      <c r="D231" s="12" t="s">
        <v>1410</v>
      </c>
      <c r="E231" s="12" t="s">
        <v>1876</v>
      </c>
      <c r="F231" s="12" t="s">
        <v>1915</v>
      </c>
      <c r="G231" s="12" t="s">
        <v>1916</v>
      </c>
      <c r="H231" s="12" t="s">
        <v>1419</v>
      </c>
      <c r="I231" s="12" t="s">
        <v>1420</v>
      </c>
      <c r="J231" s="12" t="s">
        <v>1420</v>
      </c>
      <c r="K231" s="12" t="s">
        <v>1420</v>
      </c>
      <c r="L231" s="12" t="s">
        <v>1420</v>
      </c>
      <c r="M231" s="12" t="s">
        <v>1420</v>
      </c>
      <c r="N231" s="12" t="s">
        <v>1420</v>
      </c>
      <c r="O231" s="12" t="s">
        <v>1414</v>
      </c>
      <c r="P231" s="12" t="s">
        <v>1420</v>
      </c>
      <c r="Q231" s="12" t="s">
        <v>1420</v>
      </c>
      <c r="R231" s="12" t="s">
        <v>1420</v>
      </c>
      <c r="S231" s="12" t="s">
        <v>1420</v>
      </c>
      <c r="T231" s="12" t="s">
        <v>1420</v>
      </c>
      <c r="U231" s="12" t="s">
        <v>1420</v>
      </c>
      <c r="V231" s="12" t="s">
        <v>1420</v>
      </c>
      <c r="W231" s="12" t="s">
        <v>1420</v>
      </c>
      <c r="X231" s="12" t="s">
        <v>1420</v>
      </c>
      <c r="Y231" s="12" t="s">
        <v>1420</v>
      </c>
      <c r="Z231" s="12" t="s">
        <v>1420</v>
      </c>
      <c r="AA231" s="12" t="s">
        <v>1420</v>
      </c>
      <c r="AB231" s="12" t="s">
        <v>1420</v>
      </c>
      <c r="AC231" s="12" t="s">
        <v>1414</v>
      </c>
      <c r="AD231" s="12" t="s">
        <v>1420</v>
      </c>
      <c r="AE231" s="12" t="s">
        <v>1420</v>
      </c>
      <c r="AF231" s="12" t="s">
        <v>1420</v>
      </c>
      <c r="AG231" s="12" t="s">
        <v>1420</v>
      </c>
    </row>
    <row r="232" spans="1:33" ht="14.4" x14ac:dyDescent="0.3">
      <c r="A232" s="12" t="s">
        <v>8</v>
      </c>
      <c r="B232" s="12" t="s">
        <v>513</v>
      </c>
      <c r="C232" s="12" t="s">
        <v>512</v>
      </c>
      <c r="D232" s="12" t="s">
        <v>1410</v>
      </c>
      <c r="E232" s="12" t="s">
        <v>2826</v>
      </c>
      <c r="F232" s="12" t="s">
        <v>2819</v>
      </c>
      <c r="G232" s="12" t="s">
        <v>2827</v>
      </c>
      <c r="H232" s="12" t="s">
        <v>1448</v>
      </c>
      <c r="I232" s="12" t="s">
        <v>1420</v>
      </c>
      <c r="J232" s="12" t="s">
        <v>1420</v>
      </c>
      <c r="K232" s="12" t="s">
        <v>1420</v>
      </c>
      <c r="L232" s="12" t="s">
        <v>1420</v>
      </c>
      <c r="M232" s="12" t="s">
        <v>1420</v>
      </c>
      <c r="N232" s="12" t="s">
        <v>1420</v>
      </c>
      <c r="O232" s="12" t="s">
        <v>1414</v>
      </c>
      <c r="P232" s="12" t="s">
        <v>1420</v>
      </c>
      <c r="Q232" s="12" t="s">
        <v>1420</v>
      </c>
      <c r="R232" s="12" t="s">
        <v>1420</v>
      </c>
      <c r="S232" s="12" t="s">
        <v>1420</v>
      </c>
      <c r="T232" s="12" t="s">
        <v>1420</v>
      </c>
      <c r="U232" s="12" t="s">
        <v>1420</v>
      </c>
      <c r="V232" s="12" t="s">
        <v>1420</v>
      </c>
      <c r="W232" s="12" t="s">
        <v>1420</v>
      </c>
      <c r="X232" s="12" t="s">
        <v>1414</v>
      </c>
      <c r="Y232" s="12" t="s">
        <v>1420</v>
      </c>
      <c r="Z232" s="12" t="s">
        <v>1420</v>
      </c>
      <c r="AA232" s="12" t="s">
        <v>1420</v>
      </c>
      <c r="AB232" s="12" t="s">
        <v>1420</v>
      </c>
      <c r="AC232" s="12" t="s">
        <v>1414</v>
      </c>
      <c r="AD232" s="12" t="s">
        <v>1414</v>
      </c>
      <c r="AE232" s="12" t="s">
        <v>1420</v>
      </c>
      <c r="AF232" s="12" t="s">
        <v>1414</v>
      </c>
      <c r="AG232" s="12" t="s">
        <v>1420</v>
      </c>
    </row>
    <row r="233" spans="1:33" ht="14.4" x14ac:dyDescent="0.3">
      <c r="A233" s="12" t="s">
        <v>8</v>
      </c>
      <c r="B233" s="12" t="s">
        <v>1050</v>
      </c>
      <c r="C233" s="12" t="s">
        <v>1049</v>
      </c>
      <c r="D233" s="12" t="s">
        <v>1410</v>
      </c>
      <c r="E233" s="12" t="s">
        <v>2920</v>
      </c>
      <c r="F233" s="12" t="s">
        <v>2921</v>
      </c>
      <c r="G233" s="12" t="s">
        <v>2004</v>
      </c>
      <c r="H233" s="12" t="s">
        <v>1428</v>
      </c>
      <c r="I233" s="12" t="s">
        <v>1420</v>
      </c>
      <c r="J233" s="12" t="s">
        <v>1420</v>
      </c>
      <c r="K233" s="12" t="s">
        <v>1420</v>
      </c>
      <c r="L233" s="12" t="s">
        <v>1420</v>
      </c>
      <c r="M233" s="12" t="s">
        <v>1420</v>
      </c>
      <c r="N233" s="12" t="s">
        <v>1420</v>
      </c>
      <c r="O233" s="12" t="s">
        <v>1414</v>
      </c>
      <c r="P233" s="12" t="s">
        <v>1414</v>
      </c>
      <c r="Q233" s="12" t="s">
        <v>1420</v>
      </c>
      <c r="R233" s="12" t="s">
        <v>1420</v>
      </c>
      <c r="S233" s="12" t="s">
        <v>1420</v>
      </c>
      <c r="T233" s="12" t="s">
        <v>1414</v>
      </c>
      <c r="U233" s="12" t="s">
        <v>1420</v>
      </c>
      <c r="V233" s="12" t="s">
        <v>1420</v>
      </c>
      <c r="W233" s="12" t="s">
        <v>1420</v>
      </c>
      <c r="X233" s="12" t="s">
        <v>1420</v>
      </c>
      <c r="Y233" s="12" t="s">
        <v>1420</v>
      </c>
      <c r="Z233" s="12" t="s">
        <v>1414</v>
      </c>
      <c r="AA233" s="12" t="s">
        <v>1414</v>
      </c>
      <c r="AB233" s="12" t="s">
        <v>1420</v>
      </c>
      <c r="AC233" s="12" t="s">
        <v>1414</v>
      </c>
      <c r="AD233" s="12" t="s">
        <v>1414</v>
      </c>
      <c r="AE233" s="12" t="s">
        <v>1420</v>
      </c>
      <c r="AF233" s="12" t="s">
        <v>1420</v>
      </c>
      <c r="AG233" s="12" t="s">
        <v>1420</v>
      </c>
    </row>
    <row r="234" spans="1:33" ht="14.4" x14ac:dyDescent="0.3">
      <c r="A234" s="12" t="s">
        <v>31</v>
      </c>
      <c r="B234" s="12" t="s">
        <v>1183</v>
      </c>
      <c r="C234" s="12" t="s">
        <v>1182</v>
      </c>
      <c r="D234" s="12" t="s">
        <v>1410</v>
      </c>
      <c r="E234" s="12" t="s">
        <v>1501</v>
      </c>
      <c r="F234" s="12" t="s">
        <v>1502</v>
      </c>
      <c r="G234" s="12" t="s">
        <v>1503</v>
      </c>
      <c r="H234" s="12" t="s">
        <v>1464</v>
      </c>
      <c r="I234" s="12" t="s">
        <v>1420</v>
      </c>
      <c r="J234" s="12" t="s">
        <v>1420</v>
      </c>
      <c r="K234" s="12" t="s">
        <v>1420</v>
      </c>
      <c r="L234" s="12" t="s">
        <v>1420</v>
      </c>
      <c r="M234" s="12" t="s">
        <v>1420</v>
      </c>
      <c r="N234" s="12" t="s">
        <v>1420</v>
      </c>
      <c r="O234" s="12" t="s">
        <v>1420</v>
      </c>
      <c r="P234" s="12" t="s">
        <v>1420</v>
      </c>
      <c r="Q234" s="12" t="s">
        <v>1420</v>
      </c>
      <c r="R234" s="12" t="s">
        <v>1420</v>
      </c>
      <c r="S234" s="12" t="s">
        <v>1420</v>
      </c>
      <c r="T234" s="12" t="s">
        <v>1420</v>
      </c>
      <c r="U234" s="12" t="s">
        <v>1420</v>
      </c>
      <c r="V234" s="12" t="s">
        <v>1420</v>
      </c>
      <c r="W234" s="12" t="s">
        <v>1420</v>
      </c>
      <c r="X234" s="12" t="s">
        <v>1420</v>
      </c>
      <c r="Y234" s="12" t="s">
        <v>1420</v>
      </c>
      <c r="Z234" s="12" t="s">
        <v>1420</v>
      </c>
      <c r="AA234" s="12" t="s">
        <v>1420</v>
      </c>
      <c r="AB234" s="12" t="s">
        <v>1420</v>
      </c>
      <c r="AC234" s="12" t="s">
        <v>1420</v>
      </c>
      <c r="AD234" s="12" t="s">
        <v>1420</v>
      </c>
      <c r="AE234" s="12" t="s">
        <v>1420</v>
      </c>
      <c r="AF234" s="12" t="s">
        <v>1420</v>
      </c>
      <c r="AG234" s="12" t="s">
        <v>1420</v>
      </c>
    </row>
    <row r="235" spans="1:33" ht="14.4" x14ac:dyDescent="0.3">
      <c r="A235" s="12" t="s">
        <v>55</v>
      </c>
      <c r="B235" s="12" t="s">
        <v>5605</v>
      </c>
      <c r="C235" s="12" t="s">
        <v>5606</v>
      </c>
      <c r="D235" s="12" t="s">
        <v>1410</v>
      </c>
      <c r="E235" s="12" t="s">
        <v>5607</v>
      </c>
      <c r="F235" s="12" t="s">
        <v>5608</v>
      </c>
      <c r="G235" s="12" t="s">
        <v>5609</v>
      </c>
      <c r="H235" s="12" t="s">
        <v>3204</v>
      </c>
      <c r="I235" s="12" t="s">
        <v>1414</v>
      </c>
      <c r="J235" s="12" t="s">
        <v>1414</v>
      </c>
      <c r="K235" s="12" t="s">
        <v>1414</v>
      </c>
      <c r="L235" s="12" t="s">
        <v>1414</v>
      </c>
      <c r="M235" s="12" t="s">
        <v>1414</v>
      </c>
      <c r="N235" s="12" t="s">
        <v>1414</v>
      </c>
      <c r="O235" s="12" t="s">
        <v>1420</v>
      </c>
      <c r="P235" s="12" t="s">
        <v>1414</v>
      </c>
      <c r="Q235" s="12" t="s">
        <v>1414</v>
      </c>
      <c r="R235" s="12" t="s">
        <v>1420</v>
      </c>
      <c r="S235" s="12" t="s">
        <v>1414</v>
      </c>
      <c r="T235" s="12" t="s">
        <v>1414</v>
      </c>
      <c r="U235" s="12" t="s">
        <v>1414</v>
      </c>
      <c r="V235" s="12" t="s">
        <v>1420</v>
      </c>
      <c r="W235" s="12" t="s">
        <v>1414</v>
      </c>
      <c r="X235" s="12" t="s">
        <v>1420</v>
      </c>
      <c r="Y235" s="12" t="s">
        <v>1414</v>
      </c>
      <c r="Z235" s="12" t="s">
        <v>1414</v>
      </c>
      <c r="AA235" s="12" t="s">
        <v>1414</v>
      </c>
      <c r="AB235" s="12" t="s">
        <v>1414</v>
      </c>
      <c r="AC235" s="12" t="s">
        <v>1420</v>
      </c>
      <c r="AD235" s="12" t="s">
        <v>1414</v>
      </c>
      <c r="AE235" s="12" t="s">
        <v>1420</v>
      </c>
      <c r="AF235" s="12" t="s">
        <v>1414</v>
      </c>
      <c r="AG235" s="12" t="s">
        <v>1414</v>
      </c>
    </row>
    <row r="236" spans="1:33" ht="14.4" x14ac:dyDescent="0.3">
      <c r="A236" s="12" t="s">
        <v>19</v>
      </c>
      <c r="B236" s="12" t="s">
        <v>818</v>
      </c>
      <c r="C236" s="12" t="s">
        <v>817</v>
      </c>
      <c r="D236" s="12" t="s">
        <v>1410</v>
      </c>
      <c r="E236" s="12" t="s">
        <v>2347</v>
      </c>
      <c r="F236" s="12" t="s">
        <v>2343</v>
      </c>
      <c r="G236" s="12" t="s">
        <v>2017</v>
      </c>
      <c r="H236" s="12" t="s">
        <v>1419</v>
      </c>
      <c r="I236" s="12" t="s">
        <v>1420</v>
      </c>
      <c r="J236" s="12" t="s">
        <v>1420</v>
      </c>
      <c r="K236" s="12" t="s">
        <v>1420</v>
      </c>
      <c r="L236" s="12" t="s">
        <v>1420</v>
      </c>
      <c r="M236" s="12" t="s">
        <v>1420</v>
      </c>
      <c r="N236" s="12" t="s">
        <v>1420</v>
      </c>
      <c r="O236" s="12" t="s">
        <v>1420</v>
      </c>
      <c r="P236" s="12" t="s">
        <v>1420</v>
      </c>
      <c r="Q236" s="12" t="s">
        <v>1420</v>
      </c>
      <c r="R236" s="12" t="s">
        <v>1420</v>
      </c>
      <c r="S236" s="12" t="s">
        <v>1420</v>
      </c>
      <c r="T236" s="12" t="s">
        <v>1420</v>
      </c>
      <c r="U236" s="12" t="s">
        <v>1420</v>
      </c>
      <c r="V236" s="12" t="s">
        <v>1420</v>
      </c>
      <c r="W236" s="12" t="s">
        <v>1420</v>
      </c>
      <c r="X236" s="12" t="s">
        <v>1420</v>
      </c>
      <c r="Y236" s="12" t="s">
        <v>1420</v>
      </c>
      <c r="Z236" s="12" t="s">
        <v>1420</v>
      </c>
      <c r="AA236" s="12" t="s">
        <v>1420</v>
      </c>
      <c r="AB236" s="12" t="s">
        <v>1420</v>
      </c>
      <c r="AC236" s="12" t="s">
        <v>1420</v>
      </c>
      <c r="AD236" s="12" t="s">
        <v>1414</v>
      </c>
      <c r="AE236" s="12" t="s">
        <v>1414</v>
      </c>
      <c r="AF236" s="12" t="s">
        <v>1420</v>
      </c>
      <c r="AG236" s="12" t="s">
        <v>1420</v>
      </c>
    </row>
    <row r="237" spans="1:33" ht="14.4" x14ac:dyDescent="0.3">
      <c r="A237" s="12" t="s">
        <v>19</v>
      </c>
      <c r="B237" s="12" t="s">
        <v>818</v>
      </c>
      <c r="C237" s="12" t="s">
        <v>819</v>
      </c>
      <c r="D237" s="12" t="s">
        <v>1410</v>
      </c>
      <c r="E237" s="12" t="s">
        <v>2565</v>
      </c>
      <c r="F237" s="12" t="s">
        <v>2566</v>
      </c>
      <c r="G237" s="12" t="s">
        <v>2044</v>
      </c>
      <c r="H237" s="12" t="s">
        <v>1448</v>
      </c>
      <c r="I237" s="12" t="s">
        <v>1420</v>
      </c>
      <c r="J237" s="12" t="s">
        <v>1420</v>
      </c>
      <c r="K237" s="12" t="s">
        <v>1420</v>
      </c>
      <c r="L237" s="12" t="s">
        <v>1420</v>
      </c>
      <c r="M237" s="12" t="s">
        <v>1420</v>
      </c>
      <c r="N237" s="12" t="s">
        <v>1420</v>
      </c>
      <c r="O237" s="12" t="s">
        <v>1420</v>
      </c>
      <c r="P237" s="12" t="s">
        <v>1414</v>
      </c>
      <c r="Q237" s="12" t="s">
        <v>1420</v>
      </c>
      <c r="R237" s="12" t="s">
        <v>1420</v>
      </c>
      <c r="S237" s="12" t="s">
        <v>1414</v>
      </c>
      <c r="T237" s="12" t="s">
        <v>1420</v>
      </c>
      <c r="U237" s="12" t="s">
        <v>1420</v>
      </c>
      <c r="V237" s="12" t="s">
        <v>1414</v>
      </c>
      <c r="W237" s="12" t="s">
        <v>1420</v>
      </c>
      <c r="X237" s="12" t="s">
        <v>1414</v>
      </c>
      <c r="Y237" s="12" t="s">
        <v>1420</v>
      </c>
      <c r="Z237" s="12" t="s">
        <v>1420</v>
      </c>
      <c r="AA237" s="12" t="s">
        <v>1414</v>
      </c>
      <c r="AB237" s="12" t="s">
        <v>1420</v>
      </c>
      <c r="AC237" s="12" t="s">
        <v>1420</v>
      </c>
      <c r="AD237" s="12" t="s">
        <v>1420</v>
      </c>
      <c r="AE237" s="12" t="s">
        <v>1420</v>
      </c>
      <c r="AF237" s="12" t="s">
        <v>1420</v>
      </c>
      <c r="AG237" s="12" t="s">
        <v>1420</v>
      </c>
    </row>
    <row r="238" spans="1:33" ht="14.4" x14ac:dyDescent="0.3">
      <c r="A238" s="12" t="s">
        <v>42</v>
      </c>
      <c r="B238" s="12" t="s">
        <v>818</v>
      </c>
      <c r="C238" s="12" t="s">
        <v>820</v>
      </c>
      <c r="D238" s="12" t="s">
        <v>1410</v>
      </c>
      <c r="E238" s="12" t="s">
        <v>2644</v>
      </c>
      <c r="F238" s="12" t="s">
        <v>2646</v>
      </c>
      <c r="G238" s="12" t="s">
        <v>2285</v>
      </c>
      <c r="H238" s="12" t="s">
        <v>1452</v>
      </c>
      <c r="I238" s="12" t="s">
        <v>1420</v>
      </c>
      <c r="J238" s="12" t="s">
        <v>1414</v>
      </c>
      <c r="K238" s="12" t="s">
        <v>1420</v>
      </c>
      <c r="L238" s="12" t="s">
        <v>1420</v>
      </c>
      <c r="M238" s="12" t="s">
        <v>1420</v>
      </c>
      <c r="N238" s="12" t="s">
        <v>1420</v>
      </c>
      <c r="O238" s="12" t="s">
        <v>1420</v>
      </c>
      <c r="P238" s="12" t="s">
        <v>1420</v>
      </c>
      <c r="Q238" s="12" t="s">
        <v>1420</v>
      </c>
      <c r="R238" s="12" t="s">
        <v>1420</v>
      </c>
      <c r="S238" s="12" t="s">
        <v>1420</v>
      </c>
      <c r="T238" s="12" t="s">
        <v>1420</v>
      </c>
      <c r="U238" s="12" t="s">
        <v>1420</v>
      </c>
      <c r="V238" s="12" t="s">
        <v>1420</v>
      </c>
      <c r="W238" s="12" t="s">
        <v>1420</v>
      </c>
      <c r="X238" s="12" t="s">
        <v>1420</v>
      </c>
      <c r="Y238" s="12" t="s">
        <v>1420</v>
      </c>
      <c r="Z238" s="12" t="s">
        <v>1420</v>
      </c>
      <c r="AA238" s="12" t="s">
        <v>1420</v>
      </c>
      <c r="AB238" s="12" t="s">
        <v>1420</v>
      </c>
      <c r="AC238" s="12" t="s">
        <v>1420</v>
      </c>
      <c r="AD238" s="12" t="s">
        <v>1420</v>
      </c>
      <c r="AE238" s="12" t="s">
        <v>1420</v>
      </c>
      <c r="AF238" s="12" t="s">
        <v>1420</v>
      </c>
      <c r="AG238" s="12" t="s">
        <v>1420</v>
      </c>
    </row>
    <row r="239" spans="1:33" ht="14.4" x14ac:dyDescent="0.3">
      <c r="A239" s="12" t="s">
        <v>28</v>
      </c>
      <c r="B239" s="12" t="s">
        <v>1185</v>
      </c>
      <c r="C239" s="12" t="s">
        <v>1184</v>
      </c>
      <c r="D239" s="12" t="s">
        <v>1410</v>
      </c>
      <c r="E239" s="12" t="s">
        <v>2320</v>
      </c>
      <c r="F239" s="12" t="s">
        <v>2321</v>
      </c>
      <c r="G239" s="12" t="s">
        <v>2322</v>
      </c>
      <c r="H239" s="12" t="s">
        <v>1452</v>
      </c>
      <c r="I239" s="12" t="s">
        <v>1420</v>
      </c>
      <c r="J239" s="12" t="s">
        <v>1420</v>
      </c>
      <c r="K239" s="12" t="s">
        <v>1420</v>
      </c>
      <c r="L239" s="12" t="s">
        <v>1420</v>
      </c>
      <c r="M239" s="12" t="s">
        <v>1420</v>
      </c>
      <c r="N239" s="12" t="s">
        <v>1420</v>
      </c>
      <c r="O239" s="12" t="s">
        <v>1420</v>
      </c>
      <c r="P239" s="12" t="s">
        <v>1420</v>
      </c>
      <c r="Q239" s="12" t="s">
        <v>1420</v>
      </c>
      <c r="R239" s="12" t="s">
        <v>1420</v>
      </c>
      <c r="S239" s="12" t="s">
        <v>1420</v>
      </c>
      <c r="T239" s="12" t="s">
        <v>1420</v>
      </c>
      <c r="U239" s="12" t="s">
        <v>1420</v>
      </c>
      <c r="V239" s="12" t="s">
        <v>1420</v>
      </c>
      <c r="W239" s="12" t="s">
        <v>1414</v>
      </c>
      <c r="X239" s="12" t="s">
        <v>1420</v>
      </c>
      <c r="Y239" s="12" t="s">
        <v>1420</v>
      </c>
      <c r="Z239" s="12" t="s">
        <v>1420</v>
      </c>
      <c r="AA239" s="12" t="s">
        <v>1420</v>
      </c>
      <c r="AB239" s="12" t="s">
        <v>1420</v>
      </c>
      <c r="AC239" s="12" t="s">
        <v>1420</v>
      </c>
      <c r="AD239" s="12" t="s">
        <v>1420</v>
      </c>
      <c r="AE239" s="12" t="s">
        <v>1420</v>
      </c>
      <c r="AF239" s="12" t="s">
        <v>1420</v>
      </c>
      <c r="AG239" s="12" t="s">
        <v>1420</v>
      </c>
    </row>
    <row r="240" spans="1:33" ht="14.4" x14ac:dyDescent="0.3">
      <c r="A240" s="12" t="s">
        <v>42</v>
      </c>
      <c r="B240" s="12" t="s">
        <v>1332</v>
      </c>
      <c r="C240" s="12" t="s">
        <v>1331</v>
      </c>
      <c r="D240" s="12" t="s">
        <v>1410</v>
      </c>
      <c r="E240" s="12" t="s">
        <v>1926</v>
      </c>
      <c r="F240" s="12" t="s">
        <v>1927</v>
      </c>
      <c r="G240" s="12" t="s">
        <v>1928</v>
      </c>
      <c r="H240" s="12" t="s">
        <v>1424</v>
      </c>
      <c r="I240" s="12" t="s">
        <v>1420</v>
      </c>
      <c r="J240" s="12" t="s">
        <v>1414</v>
      </c>
      <c r="K240" s="12" t="s">
        <v>1420</v>
      </c>
      <c r="L240" s="12" t="s">
        <v>1420</v>
      </c>
      <c r="M240" s="12" t="s">
        <v>1420</v>
      </c>
      <c r="N240" s="12" t="s">
        <v>1420</v>
      </c>
      <c r="O240" s="12" t="s">
        <v>1420</v>
      </c>
      <c r="P240" s="12" t="s">
        <v>1414</v>
      </c>
      <c r="Q240" s="12" t="s">
        <v>1420</v>
      </c>
      <c r="R240" s="12" t="s">
        <v>1420</v>
      </c>
      <c r="S240" s="12" t="s">
        <v>1420</v>
      </c>
      <c r="T240" s="12" t="s">
        <v>1420</v>
      </c>
      <c r="U240" s="12" t="s">
        <v>1420</v>
      </c>
      <c r="V240" s="12" t="s">
        <v>1420</v>
      </c>
      <c r="W240" s="12" t="s">
        <v>1420</v>
      </c>
      <c r="X240" s="12" t="s">
        <v>1420</v>
      </c>
      <c r="Y240" s="12" t="s">
        <v>1420</v>
      </c>
      <c r="Z240" s="12" t="s">
        <v>1414</v>
      </c>
      <c r="AA240" s="12" t="s">
        <v>1420</v>
      </c>
      <c r="AB240" s="12" t="s">
        <v>1420</v>
      </c>
      <c r="AC240" s="12" t="s">
        <v>1420</v>
      </c>
      <c r="AD240" s="12" t="s">
        <v>1420</v>
      </c>
      <c r="AE240" s="12" t="s">
        <v>1420</v>
      </c>
      <c r="AF240" s="12" t="s">
        <v>1420</v>
      </c>
      <c r="AG240" s="12" t="s">
        <v>1420</v>
      </c>
    </row>
    <row r="241" spans="1:33" ht="14.4" x14ac:dyDescent="0.3">
      <c r="A241" s="12" t="s">
        <v>317</v>
      </c>
      <c r="B241" s="12" t="s">
        <v>316</v>
      </c>
      <c r="C241" s="12" t="s">
        <v>315</v>
      </c>
      <c r="D241" s="12" t="s">
        <v>1410</v>
      </c>
      <c r="E241" s="12" t="s">
        <v>2015</v>
      </c>
      <c r="F241" s="12" t="s">
        <v>2016</v>
      </c>
      <c r="G241" s="12" t="s">
        <v>2017</v>
      </c>
      <c r="H241" s="12" t="s">
        <v>2018</v>
      </c>
      <c r="I241" s="12" t="s">
        <v>1420</v>
      </c>
      <c r="J241" s="12" t="s">
        <v>1414</v>
      </c>
      <c r="K241" s="12" t="s">
        <v>1414</v>
      </c>
      <c r="L241" s="12" t="s">
        <v>1420</v>
      </c>
      <c r="M241" s="12" t="s">
        <v>1420</v>
      </c>
      <c r="N241" s="12" t="s">
        <v>1414</v>
      </c>
      <c r="O241" s="12" t="s">
        <v>1414</v>
      </c>
      <c r="P241" s="12" t="s">
        <v>1414</v>
      </c>
      <c r="Q241" s="12" t="s">
        <v>1414</v>
      </c>
      <c r="R241" s="12" t="s">
        <v>1414</v>
      </c>
      <c r="S241" s="12" t="s">
        <v>1414</v>
      </c>
      <c r="T241" s="12" t="s">
        <v>1414</v>
      </c>
      <c r="U241" s="12" t="s">
        <v>1420</v>
      </c>
      <c r="V241" s="12" t="s">
        <v>1420</v>
      </c>
      <c r="W241" s="12" t="s">
        <v>1420</v>
      </c>
      <c r="X241" s="12" t="s">
        <v>1420</v>
      </c>
      <c r="Y241" s="12" t="s">
        <v>1414</v>
      </c>
      <c r="Z241" s="12" t="s">
        <v>1414</v>
      </c>
      <c r="AA241" s="12" t="s">
        <v>1420</v>
      </c>
      <c r="AB241" s="12" t="s">
        <v>1414</v>
      </c>
      <c r="AC241" s="12" t="s">
        <v>1414</v>
      </c>
      <c r="AD241" s="12" t="s">
        <v>1414</v>
      </c>
      <c r="AE241" s="12" t="s">
        <v>1414</v>
      </c>
      <c r="AF241" s="12" t="s">
        <v>1420</v>
      </c>
      <c r="AG241" s="12" t="s">
        <v>1420</v>
      </c>
    </row>
    <row r="242" spans="1:33" ht="14.4" x14ac:dyDescent="0.3">
      <c r="A242" s="12" t="s">
        <v>11</v>
      </c>
      <c r="B242" s="12" t="s">
        <v>316</v>
      </c>
      <c r="C242" s="12" t="s">
        <v>821</v>
      </c>
      <c r="D242" s="12" t="s">
        <v>1410</v>
      </c>
      <c r="E242" s="12" t="s">
        <v>2789</v>
      </c>
      <c r="F242" s="12" t="s">
        <v>2790</v>
      </c>
      <c r="G242" s="12" t="s">
        <v>2791</v>
      </c>
      <c r="H242" s="12" t="s">
        <v>1424</v>
      </c>
      <c r="I242" s="12" t="s">
        <v>1420</v>
      </c>
      <c r="J242" s="12" t="s">
        <v>1420</v>
      </c>
      <c r="K242" s="12" t="s">
        <v>1420</v>
      </c>
      <c r="L242" s="12" t="s">
        <v>1420</v>
      </c>
      <c r="M242" s="12" t="s">
        <v>1420</v>
      </c>
      <c r="N242" s="12" t="s">
        <v>1420</v>
      </c>
      <c r="O242" s="12" t="s">
        <v>1420</v>
      </c>
      <c r="P242" s="12" t="s">
        <v>1420</v>
      </c>
      <c r="Q242" s="12" t="s">
        <v>1420</v>
      </c>
      <c r="R242" s="12" t="s">
        <v>1420</v>
      </c>
      <c r="S242" s="12" t="s">
        <v>1414</v>
      </c>
      <c r="T242" s="12" t="s">
        <v>1420</v>
      </c>
      <c r="U242" s="12" t="s">
        <v>1420</v>
      </c>
      <c r="V242" s="12" t="s">
        <v>1420</v>
      </c>
      <c r="W242" s="12" t="s">
        <v>1420</v>
      </c>
      <c r="X242" s="12" t="s">
        <v>1420</v>
      </c>
      <c r="Y242" s="12" t="s">
        <v>1420</v>
      </c>
      <c r="Z242" s="12" t="s">
        <v>1420</v>
      </c>
      <c r="AA242" s="12" t="s">
        <v>1420</v>
      </c>
      <c r="AB242" s="12" t="s">
        <v>1420</v>
      </c>
      <c r="AC242" s="12" t="s">
        <v>1414</v>
      </c>
      <c r="AD242" s="12" t="s">
        <v>1420</v>
      </c>
      <c r="AE242" s="12" t="s">
        <v>1414</v>
      </c>
      <c r="AF242" s="12" t="s">
        <v>1420</v>
      </c>
      <c r="AG242" s="12" t="s">
        <v>1420</v>
      </c>
    </row>
    <row r="243" spans="1:33" ht="14.4" x14ac:dyDescent="0.3">
      <c r="A243" s="12" t="s">
        <v>8</v>
      </c>
      <c r="B243" s="12" t="s">
        <v>319</v>
      </c>
      <c r="C243" s="12" t="s">
        <v>318</v>
      </c>
      <c r="D243" s="12" t="s">
        <v>1410</v>
      </c>
      <c r="E243" s="12" t="s">
        <v>1678</v>
      </c>
      <c r="F243" s="12" t="s">
        <v>1679</v>
      </c>
      <c r="G243" s="12" t="s">
        <v>1680</v>
      </c>
      <c r="H243" s="12" t="s">
        <v>1464</v>
      </c>
      <c r="I243" s="12" t="s">
        <v>1420</v>
      </c>
      <c r="J243" s="12" t="s">
        <v>1420</v>
      </c>
      <c r="K243" s="12" t="s">
        <v>1420</v>
      </c>
      <c r="L243" s="12" t="s">
        <v>1420</v>
      </c>
      <c r="M243" s="12" t="s">
        <v>1420</v>
      </c>
      <c r="N243" s="12" t="s">
        <v>1420</v>
      </c>
      <c r="O243" s="12" t="s">
        <v>1420</v>
      </c>
      <c r="P243" s="12" t="s">
        <v>1420</v>
      </c>
      <c r="Q243" s="12" t="s">
        <v>1420</v>
      </c>
      <c r="R243" s="12" t="s">
        <v>1420</v>
      </c>
      <c r="S243" s="12" t="s">
        <v>1420</v>
      </c>
      <c r="T243" s="12" t="s">
        <v>1420</v>
      </c>
      <c r="U243" s="12" t="s">
        <v>1420</v>
      </c>
      <c r="V243" s="12" t="s">
        <v>1420</v>
      </c>
      <c r="W243" s="12" t="s">
        <v>1420</v>
      </c>
      <c r="X243" s="12" t="s">
        <v>1420</v>
      </c>
      <c r="Y243" s="12" t="s">
        <v>1420</v>
      </c>
      <c r="Z243" s="12" t="s">
        <v>1420</v>
      </c>
      <c r="AA243" s="12" t="s">
        <v>1420</v>
      </c>
      <c r="AB243" s="12" t="s">
        <v>1420</v>
      </c>
      <c r="AC243" s="12" t="s">
        <v>1420</v>
      </c>
      <c r="AD243" s="12" t="s">
        <v>1420</v>
      </c>
      <c r="AE243" s="12" t="s">
        <v>1420</v>
      </c>
      <c r="AF243" s="12" t="s">
        <v>1420</v>
      </c>
      <c r="AG243" s="12" t="s">
        <v>1420</v>
      </c>
    </row>
    <row r="244" spans="1:33" ht="14.4" x14ac:dyDescent="0.3">
      <c r="A244" s="12" t="s">
        <v>55</v>
      </c>
      <c r="B244" s="12" t="s">
        <v>319</v>
      </c>
      <c r="C244" s="12" t="s">
        <v>822</v>
      </c>
      <c r="D244" s="12" t="s">
        <v>1410</v>
      </c>
      <c r="E244" s="12" t="s">
        <v>2228</v>
      </c>
      <c r="F244" s="12" t="s">
        <v>2229</v>
      </c>
      <c r="G244" s="12" t="s">
        <v>2230</v>
      </c>
      <c r="H244" s="12" t="s">
        <v>1424</v>
      </c>
      <c r="I244" s="12" t="s">
        <v>1420</v>
      </c>
      <c r="J244" s="12" t="s">
        <v>1420</v>
      </c>
      <c r="K244" s="12" t="s">
        <v>1420</v>
      </c>
      <c r="L244" s="12" t="s">
        <v>1420</v>
      </c>
      <c r="M244" s="12" t="s">
        <v>1420</v>
      </c>
      <c r="N244" s="12" t="s">
        <v>1420</v>
      </c>
      <c r="O244" s="12" t="s">
        <v>1420</v>
      </c>
      <c r="P244" s="12" t="s">
        <v>1420</v>
      </c>
      <c r="Q244" s="12" t="s">
        <v>1420</v>
      </c>
      <c r="R244" s="12" t="s">
        <v>1420</v>
      </c>
      <c r="S244" s="12" t="s">
        <v>1414</v>
      </c>
      <c r="T244" s="12" t="s">
        <v>1420</v>
      </c>
      <c r="U244" s="12" t="s">
        <v>1420</v>
      </c>
      <c r="V244" s="12" t="s">
        <v>1420</v>
      </c>
      <c r="W244" s="12" t="s">
        <v>1420</v>
      </c>
      <c r="X244" s="12" t="s">
        <v>1414</v>
      </c>
      <c r="Y244" s="12" t="s">
        <v>1420</v>
      </c>
      <c r="Z244" s="12" t="s">
        <v>1420</v>
      </c>
      <c r="AA244" s="12" t="s">
        <v>1414</v>
      </c>
      <c r="AB244" s="12" t="s">
        <v>1420</v>
      </c>
      <c r="AC244" s="12" t="s">
        <v>1420</v>
      </c>
      <c r="AD244" s="12" t="s">
        <v>1420</v>
      </c>
      <c r="AE244" s="12" t="s">
        <v>1420</v>
      </c>
      <c r="AF244" s="12" t="s">
        <v>1420</v>
      </c>
      <c r="AG244" s="12" t="s">
        <v>1420</v>
      </c>
    </row>
    <row r="245" spans="1:33" ht="14.4" x14ac:dyDescent="0.3">
      <c r="A245" s="12" t="s">
        <v>19</v>
      </c>
      <c r="B245" s="12" t="s">
        <v>5610</v>
      </c>
      <c r="C245" s="12" t="s">
        <v>5611</v>
      </c>
      <c r="D245" s="12" t="s">
        <v>1410</v>
      </c>
      <c r="E245" s="12" t="s">
        <v>5515</v>
      </c>
      <c r="F245" s="12" t="s">
        <v>5504</v>
      </c>
      <c r="G245" s="12" t="s">
        <v>5612</v>
      </c>
      <c r="H245" s="12" t="s">
        <v>1908</v>
      </c>
      <c r="I245" s="12" t="s">
        <v>1420</v>
      </c>
      <c r="J245" s="12" t="s">
        <v>1414</v>
      </c>
      <c r="K245" s="12" t="s">
        <v>1420</v>
      </c>
      <c r="L245" s="12" t="s">
        <v>1414</v>
      </c>
      <c r="M245" s="12" t="s">
        <v>1420</v>
      </c>
      <c r="N245" s="12" t="s">
        <v>1414</v>
      </c>
      <c r="O245" s="12" t="s">
        <v>1420</v>
      </c>
      <c r="P245" s="12" t="s">
        <v>1414</v>
      </c>
      <c r="Q245" s="12" t="s">
        <v>1420</v>
      </c>
      <c r="R245" s="12" t="s">
        <v>1420</v>
      </c>
      <c r="S245" s="12" t="s">
        <v>1420</v>
      </c>
      <c r="T245" s="12" t="s">
        <v>1420</v>
      </c>
      <c r="U245" s="12" t="s">
        <v>1420</v>
      </c>
      <c r="V245" s="12" t="s">
        <v>1420</v>
      </c>
      <c r="W245" s="12" t="s">
        <v>1414</v>
      </c>
      <c r="X245" s="12" t="s">
        <v>1420</v>
      </c>
      <c r="Y245" s="12" t="s">
        <v>1420</v>
      </c>
      <c r="Z245" s="12" t="s">
        <v>1414</v>
      </c>
      <c r="AA245" s="12" t="s">
        <v>1420</v>
      </c>
      <c r="AB245" s="12" t="s">
        <v>1420</v>
      </c>
      <c r="AC245" s="12" t="s">
        <v>1414</v>
      </c>
      <c r="AD245" s="12" t="s">
        <v>1414</v>
      </c>
      <c r="AE245" s="12" t="s">
        <v>1420</v>
      </c>
      <c r="AF245" s="12" t="s">
        <v>1420</v>
      </c>
      <c r="AG245" s="12" t="s">
        <v>1414</v>
      </c>
    </row>
    <row r="246" spans="1:33" ht="14.4" x14ac:dyDescent="0.3">
      <c r="A246" s="12" t="s">
        <v>11</v>
      </c>
      <c r="B246" s="12" t="s">
        <v>1334</v>
      </c>
      <c r="C246" s="12" t="s">
        <v>1333</v>
      </c>
      <c r="D246" s="12" t="s">
        <v>1410</v>
      </c>
      <c r="E246" s="12" t="s">
        <v>1875</v>
      </c>
      <c r="F246" s="12" t="s">
        <v>1876</v>
      </c>
      <c r="G246" s="12" t="s">
        <v>1877</v>
      </c>
      <c r="H246" s="12" t="s">
        <v>1419</v>
      </c>
      <c r="I246" s="12" t="s">
        <v>1420</v>
      </c>
      <c r="J246" s="12" t="s">
        <v>1414</v>
      </c>
      <c r="K246" s="12" t="s">
        <v>1420</v>
      </c>
      <c r="L246" s="12" t="s">
        <v>1420</v>
      </c>
      <c r="M246" s="12" t="s">
        <v>1420</v>
      </c>
      <c r="N246" s="12" t="s">
        <v>1420</v>
      </c>
      <c r="O246" s="12" t="s">
        <v>1420</v>
      </c>
      <c r="P246" s="12" t="s">
        <v>1420</v>
      </c>
      <c r="Q246" s="12" t="s">
        <v>1420</v>
      </c>
      <c r="R246" s="12" t="s">
        <v>1420</v>
      </c>
      <c r="S246" s="12" t="s">
        <v>1414</v>
      </c>
      <c r="T246" s="12" t="s">
        <v>1420</v>
      </c>
      <c r="U246" s="12" t="s">
        <v>1420</v>
      </c>
      <c r="V246" s="12" t="s">
        <v>1420</v>
      </c>
      <c r="W246" s="12" t="s">
        <v>1420</v>
      </c>
      <c r="X246" s="12" t="s">
        <v>1420</v>
      </c>
      <c r="Y246" s="12" t="s">
        <v>1420</v>
      </c>
      <c r="Z246" s="12" t="s">
        <v>1420</v>
      </c>
      <c r="AA246" s="12" t="s">
        <v>1420</v>
      </c>
      <c r="AB246" s="12" t="s">
        <v>1420</v>
      </c>
      <c r="AC246" s="12" t="s">
        <v>1420</v>
      </c>
      <c r="AD246" s="12" t="s">
        <v>1420</v>
      </c>
      <c r="AE246" s="12" t="s">
        <v>1420</v>
      </c>
      <c r="AF246" s="12" t="s">
        <v>1420</v>
      </c>
      <c r="AG246" s="12" t="s">
        <v>1420</v>
      </c>
    </row>
    <row r="247" spans="1:33" ht="14.4" x14ac:dyDescent="0.3">
      <c r="A247" s="12" t="s">
        <v>31</v>
      </c>
      <c r="B247" s="12" t="s">
        <v>77</v>
      </c>
      <c r="C247" s="12" t="s">
        <v>76</v>
      </c>
      <c r="D247" s="12" t="s">
        <v>1410</v>
      </c>
      <c r="E247" s="12" t="s">
        <v>2111</v>
      </c>
      <c r="F247" s="12" t="s">
        <v>2112</v>
      </c>
      <c r="G247" s="12" t="s">
        <v>2113</v>
      </c>
      <c r="H247" s="12" t="s">
        <v>1448</v>
      </c>
      <c r="I247" s="12" t="s">
        <v>1420</v>
      </c>
      <c r="J247" s="12" t="s">
        <v>1414</v>
      </c>
      <c r="K247" s="12" t="s">
        <v>1420</v>
      </c>
      <c r="L247" s="12" t="s">
        <v>1420</v>
      </c>
      <c r="M247" s="12" t="s">
        <v>1420</v>
      </c>
      <c r="N247" s="12" t="s">
        <v>1420</v>
      </c>
      <c r="O247" s="12" t="s">
        <v>1414</v>
      </c>
      <c r="P247" s="12" t="s">
        <v>1420</v>
      </c>
      <c r="Q247" s="12" t="s">
        <v>1420</v>
      </c>
      <c r="R247" s="12" t="s">
        <v>1420</v>
      </c>
      <c r="S247" s="12" t="s">
        <v>1420</v>
      </c>
      <c r="T247" s="12" t="s">
        <v>1420</v>
      </c>
      <c r="U247" s="12" t="s">
        <v>1420</v>
      </c>
      <c r="V247" s="12" t="s">
        <v>1420</v>
      </c>
      <c r="W247" s="12" t="s">
        <v>1420</v>
      </c>
      <c r="X247" s="12" t="s">
        <v>1420</v>
      </c>
      <c r="Y247" s="12" t="s">
        <v>1414</v>
      </c>
      <c r="Z247" s="12" t="s">
        <v>1420</v>
      </c>
      <c r="AA247" s="12" t="s">
        <v>1420</v>
      </c>
      <c r="AB247" s="12" t="s">
        <v>1414</v>
      </c>
      <c r="AC247" s="12" t="s">
        <v>1414</v>
      </c>
      <c r="AD247" s="12" t="s">
        <v>1420</v>
      </c>
      <c r="AE247" s="12" t="s">
        <v>1420</v>
      </c>
      <c r="AF247" s="12" t="s">
        <v>1420</v>
      </c>
      <c r="AG247" s="12" t="s">
        <v>1420</v>
      </c>
    </row>
    <row r="248" spans="1:33" ht="14.4" x14ac:dyDescent="0.3">
      <c r="A248" s="12" t="s">
        <v>8</v>
      </c>
      <c r="B248" s="12" t="s">
        <v>1336</v>
      </c>
      <c r="C248" s="12" t="s">
        <v>1335</v>
      </c>
      <c r="D248" s="12" t="s">
        <v>1410</v>
      </c>
      <c r="E248" s="12" t="s">
        <v>2277</v>
      </c>
      <c r="F248" s="12" t="s">
        <v>2278</v>
      </c>
      <c r="G248" s="12" t="s">
        <v>2279</v>
      </c>
      <c r="H248" s="12" t="s">
        <v>1419</v>
      </c>
      <c r="I248" s="12" t="s">
        <v>1420</v>
      </c>
      <c r="J248" s="12" t="s">
        <v>1420</v>
      </c>
      <c r="K248" s="12" t="s">
        <v>1420</v>
      </c>
      <c r="L248" s="12" t="s">
        <v>1420</v>
      </c>
      <c r="M248" s="12" t="s">
        <v>1420</v>
      </c>
      <c r="N248" s="12" t="s">
        <v>1420</v>
      </c>
      <c r="O248" s="12" t="s">
        <v>1414</v>
      </c>
      <c r="P248" s="12" t="s">
        <v>1420</v>
      </c>
      <c r="Q248" s="12" t="s">
        <v>1420</v>
      </c>
      <c r="R248" s="12" t="s">
        <v>1420</v>
      </c>
      <c r="S248" s="12" t="s">
        <v>1420</v>
      </c>
      <c r="T248" s="12" t="s">
        <v>1420</v>
      </c>
      <c r="U248" s="12" t="s">
        <v>1420</v>
      </c>
      <c r="V248" s="12" t="s">
        <v>1420</v>
      </c>
      <c r="W248" s="12" t="s">
        <v>1420</v>
      </c>
      <c r="X248" s="12" t="s">
        <v>1420</v>
      </c>
      <c r="Y248" s="12" t="s">
        <v>1420</v>
      </c>
      <c r="Z248" s="12" t="s">
        <v>1420</v>
      </c>
      <c r="AA248" s="12" t="s">
        <v>1420</v>
      </c>
      <c r="AB248" s="12" t="s">
        <v>1414</v>
      </c>
      <c r="AC248" s="12" t="s">
        <v>1420</v>
      </c>
      <c r="AD248" s="12" t="s">
        <v>1420</v>
      </c>
      <c r="AE248" s="12" t="s">
        <v>1420</v>
      </c>
      <c r="AF248" s="12" t="s">
        <v>1420</v>
      </c>
      <c r="AG248" s="12" t="s">
        <v>1420</v>
      </c>
    </row>
    <row r="249" spans="1:33" ht="14.4" x14ac:dyDescent="0.3">
      <c r="A249" s="12" t="s">
        <v>170</v>
      </c>
      <c r="B249" s="12" t="s">
        <v>515</v>
      </c>
      <c r="C249" s="12" t="s">
        <v>514</v>
      </c>
      <c r="D249" s="12" t="s">
        <v>1410</v>
      </c>
      <c r="E249" s="12" t="s">
        <v>1955</v>
      </c>
      <c r="F249" s="12" t="s">
        <v>1956</v>
      </c>
      <c r="G249" s="12" t="s">
        <v>1957</v>
      </c>
      <c r="H249" s="12" t="s">
        <v>1452</v>
      </c>
      <c r="I249" s="12" t="s">
        <v>1420</v>
      </c>
      <c r="J249" s="12" t="s">
        <v>1420</v>
      </c>
      <c r="K249" s="12" t="s">
        <v>1420</v>
      </c>
      <c r="L249" s="12" t="s">
        <v>1420</v>
      </c>
      <c r="M249" s="12" t="s">
        <v>1420</v>
      </c>
      <c r="N249" s="12" t="s">
        <v>1420</v>
      </c>
      <c r="O249" s="12" t="s">
        <v>1420</v>
      </c>
      <c r="P249" s="12" t="s">
        <v>1420</v>
      </c>
      <c r="Q249" s="12" t="s">
        <v>1420</v>
      </c>
      <c r="R249" s="12" t="s">
        <v>1414</v>
      </c>
      <c r="S249" s="12" t="s">
        <v>1420</v>
      </c>
      <c r="T249" s="12" t="s">
        <v>1420</v>
      </c>
      <c r="U249" s="12" t="s">
        <v>1420</v>
      </c>
      <c r="V249" s="12" t="s">
        <v>1420</v>
      </c>
      <c r="W249" s="12" t="s">
        <v>1420</v>
      </c>
      <c r="X249" s="12" t="s">
        <v>1420</v>
      </c>
      <c r="Y249" s="12" t="s">
        <v>1420</v>
      </c>
      <c r="Z249" s="12" t="s">
        <v>1420</v>
      </c>
      <c r="AA249" s="12" t="s">
        <v>1420</v>
      </c>
      <c r="AB249" s="12" t="s">
        <v>1420</v>
      </c>
      <c r="AC249" s="12" t="s">
        <v>1420</v>
      </c>
      <c r="AD249" s="12" t="s">
        <v>1420</v>
      </c>
      <c r="AE249" s="12" t="s">
        <v>1420</v>
      </c>
      <c r="AF249" s="12" t="s">
        <v>1420</v>
      </c>
      <c r="AG249" s="12" t="s">
        <v>1420</v>
      </c>
    </row>
    <row r="250" spans="1:33" ht="14.4" x14ac:dyDescent="0.3">
      <c r="A250" s="12" t="s">
        <v>5613</v>
      </c>
      <c r="B250" s="12" t="s">
        <v>321</v>
      </c>
      <c r="C250" s="12" t="s">
        <v>320</v>
      </c>
      <c r="D250" s="12" t="s">
        <v>1410</v>
      </c>
      <c r="E250" s="12" t="s">
        <v>1653</v>
      </c>
      <c r="F250" s="12" t="s">
        <v>1656</v>
      </c>
      <c r="G250" s="12" t="s">
        <v>1657</v>
      </c>
      <c r="H250" s="12" t="s">
        <v>1464</v>
      </c>
      <c r="I250" s="12" t="s">
        <v>1420</v>
      </c>
      <c r="J250" s="12" t="s">
        <v>1420</v>
      </c>
      <c r="K250" s="12" t="s">
        <v>1420</v>
      </c>
      <c r="L250" s="12" t="s">
        <v>1420</v>
      </c>
      <c r="M250" s="12" t="s">
        <v>1420</v>
      </c>
      <c r="N250" s="12" t="s">
        <v>1420</v>
      </c>
      <c r="O250" s="12" t="s">
        <v>1420</v>
      </c>
      <c r="P250" s="12" t="s">
        <v>1420</v>
      </c>
      <c r="Q250" s="12" t="s">
        <v>1420</v>
      </c>
      <c r="R250" s="12" t="s">
        <v>1420</v>
      </c>
      <c r="S250" s="12" t="s">
        <v>1420</v>
      </c>
      <c r="T250" s="12" t="s">
        <v>1420</v>
      </c>
      <c r="U250" s="12" t="s">
        <v>1420</v>
      </c>
      <c r="V250" s="12" t="s">
        <v>1420</v>
      </c>
      <c r="W250" s="12" t="s">
        <v>1420</v>
      </c>
      <c r="X250" s="12" t="s">
        <v>1420</v>
      </c>
      <c r="Y250" s="12" t="s">
        <v>1420</v>
      </c>
      <c r="Z250" s="12" t="s">
        <v>1420</v>
      </c>
      <c r="AA250" s="12" t="s">
        <v>1420</v>
      </c>
      <c r="AB250" s="12" t="s">
        <v>1420</v>
      </c>
      <c r="AC250" s="12" t="s">
        <v>1420</v>
      </c>
      <c r="AD250" s="12" t="s">
        <v>1420</v>
      </c>
      <c r="AE250" s="12" t="s">
        <v>1420</v>
      </c>
      <c r="AF250" s="12" t="s">
        <v>1420</v>
      </c>
      <c r="AG250" s="12" t="s">
        <v>1420</v>
      </c>
    </row>
    <row r="251" spans="1:33" ht="14.4" x14ac:dyDescent="0.3">
      <c r="A251" s="12" t="s">
        <v>42</v>
      </c>
      <c r="B251" s="12" t="s">
        <v>5614</v>
      </c>
      <c r="C251" s="12" t="s">
        <v>5615</v>
      </c>
      <c r="D251" s="12" t="s">
        <v>1410</v>
      </c>
      <c r="E251" s="12" t="s">
        <v>5616</v>
      </c>
      <c r="F251" s="12" t="s">
        <v>5617</v>
      </c>
      <c r="G251" s="12" t="s">
        <v>5618</v>
      </c>
      <c r="H251" s="12" t="s">
        <v>1452</v>
      </c>
      <c r="I251" s="12" t="s">
        <v>1420</v>
      </c>
      <c r="J251" s="12" t="s">
        <v>1420</v>
      </c>
      <c r="K251" s="12" t="s">
        <v>1420</v>
      </c>
      <c r="L251" s="12" t="s">
        <v>1420</v>
      </c>
      <c r="M251" s="12" t="s">
        <v>1420</v>
      </c>
      <c r="N251" s="12" t="s">
        <v>1420</v>
      </c>
      <c r="O251" s="12" t="s">
        <v>1420</v>
      </c>
      <c r="P251" s="12" t="s">
        <v>1420</v>
      </c>
      <c r="Q251" s="12" t="s">
        <v>1420</v>
      </c>
      <c r="R251" s="12" t="s">
        <v>1420</v>
      </c>
      <c r="S251" s="12" t="s">
        <v>1420</v>
      </c>
      <c r="T251" s="12" t="s">
        <v>1420</v>
      </c>
      <c r="U251" s="12" t="s">
        <v>1420</v>
      </c>
      <c r="V251" s="12" t="s">
        <v>1420</v>
      </c>
      <c r="W251" s="12" t="s">
        <v>1420</v>
      </c>
      <c r="X251" s="12" t="s">
        <v>1420</v>
      </c>
      <c r="Y251" s="12" t="s">
        <v>1420</v>
      </c>
      <c r="Z251" s="12" t="s">
        <v>1420</v>
      </c>
      <c r="AA251" s="12" t="s">
        <v>1420</v>
      </c>
      <c r="AB251" s="12" t="s">
        <v>1420</v>
      </c>
      <c r="AC251" s="12" t="s">
        <v>1414</v>
      </c>
      <c r="AD251" s="12" t="s">
        <v>1420</v>
      </c>
      <c r="AE251" s="12" t="s">
        <v>1420</v>
      </c>
      <c r="AF251" s="12" t="s">
        <v>1420</v>
      </c>
      <c r="AG251" s="12" t="s">
        <v>1420</v>
      </c>
    </row>
    <row r="252" spans="1:33" ht="14.4" x14ac:dyDescent="0.3">
      <c r="A252" s="12" t="s">
        <v>42</v>
      </c>
      <c r="B252" s="12" t="s">
        <v>517</v>
      </c>
      <c r="C252" s="12" t="s">
        <v>516</v>
      </c>
      <c r="D252" s="12" t="s">
        <v>1410</v>
      </c>
      <c r="E252" s="12" t="s">
        <v>1969</v>
      </c>
      <c r="F252" s="12" t="s">
        <v>1956</v>
      </c>
      <c r="G252" s="12" t="s">
        <v>1970</v>
      </c>
      <c r="H252" s="12" t="s">
        <v>1464</v>
      </c>
      <c r="I252" s="12" t="s">
        <v>1420</v>
      </c>
      <c r="J252" s="12" t="s">
        <v>1420</v>
      </c>
      <c r="K252" s="12" t="s">
        <v>1420</v>
      </c>
      <c r="L252" s="12" t="s">
        <v>1420</v>
      </c>
      <c r="M252" s="12" t="s">
        <v>1420</v>
      </c>
      <c r="N252" s="12" t="s">
        <v>1420</v>
      </c>
      <c r="O252" s="12" t="s">
        <v>1420</v>
      </c>
      <c r="P252" s="12" t="s">
        <v>1420</v>
      </c>
      <c r="Q252" s="12" t="s">
        <v>1420</v>
      </c>
      <c r="R252" s="12" t="s">
        <v>1420</v>
      </c>
      <c r="S252" s="12" t="s">
        <v>1420</v>
      </c>
      <c r="T252" s="12" t="s">
        <v>1420</v>
      </c>
      <c r="U252" s="12" t="s">
        <v>1420</v>
      </c>
      <c r="V252" s="12" t="s">
        <v>1420</v>
      </c>
      <c r="W252" s="12" t="s">
        <v>1420</v>
      </c>
      <c r="X252" s="12" t="s">
        <v>1420</v>
      </c>
      <c r="Y252" s="12" t="s">
        <v>1420</v>
      </c>
      <c r="Z252" s="12" t="s">
        <v>1420</v>
      </c>
      <c r="AA252" s="12" t="s">
        <v>1420</v>
      </c>
      <c r="AB252" s="12" t="s">
        <v>1420</v>
      </c>
      <c r="AC252" s="12" t="s">
        <v>1420</v>
      </c>
      <c r="AD252" s="12" t="s">
        <v>1420</v>
      </c>
      <c r="AE252" s="12" t="s">
        <v>1420</v>
      </c>
      <c r="AF252" s="12" t="s">
        <v>1420</v>
      </c>
      <c r="AG252" s="12" t="s">
        <v>1420</v>
      </c>
    </row>
    <row r="253" spans="1:33" ht="14.4" x14ac:dyDescent="0.3">
      <c r="A253" s="12" t="s">
        <v>1085</v>
      </c>
      <c r="B253" s="12" t="s">
        <v>1084</v>
      </c>
      <c r="C253" s="12" t="s">
        <v>1083</v>
      </c>
      <c r="D253" s="12" t="s">
        <v>1410</v>
      </c>
      <c r="E253" s="12" t="s">
        <v>2577</v>
      </c>
      <c r="F253" s="12" t="s">
        <v>2578</v>
      </c>
      <c r="G253" s="12" t="s">
        <v>2579</v>
      </c>
      <c r="H253" s="12" t="s">
        <v>1488</v>
      </c>
      <c r="I253" s="12" t="s">
        <v>1420</v>
      </c>
      <c r="J253" s="12" t="s">
        <v>1420</v>
      </c>
      <c r="K253" s="12" t="s">
        <v>1420</v>
      </c>
      <c r="L253" s="12" t="s">
        <v>1420</v>
      </c>
      <c r="M253" s="12" t="s">
        <v>1420</v>
      </c>
      <c r="N253" s="12" t="s">
        <v>1420</v>
      </c>
      <c r="O253" s="12" t="s">
        <v>1420</v>
      </c>
      <c r="P253" s="12" t="s">
        <v>1420</v>
      </c>
      <c r="Q253" s="12" t="s">
        <v>1420</v>
      </c>
      <c r="R253" s="12" t="s">
        <v>1420</v>
      </c>
      <c r="S253" s="12" t="s">
        <v>1414</v>
      </c>
      <c r="T253" s="12" t="s">
        <v>1420</v>
      </c>
      <c r="U253" s="12" t="s">
        <v>1420</v>
      </c>
      <c r="V253" s="12" t="s">
        <v>1420</v>
      </c>
      <c r="W253" s="12" t="s">
        <v>1420</v>
      </c>
      <c r="X253" s="12" t="s">
        <v>1420</v>
      </c>
      <c r="Y253" s="12" t="s">
        <v>1420</v>
      </c>
      <c r="Z253" s="12" t="s">
        <v>1420</v>
      </c>
      <c r="AA253" s="12" t="s">
        <v>1420</v>
      </c>
      <c r="AB253" s="12" t="s">
        <v>1414</v>
      </c>
      <c r="AC253" s="12" t="s">
        <v>1414</v>
      </c>
      <c r="AD253" s="12" t="s">
        <v>1414</v>
      </c>
      <c r="AE253" s="12" t="s">
        <v>1420</v>
      </c>
      <c r="AF253" s="12" t="s">
        <v>1420</v>
      </c>
      <c r="AG253" s="12" t="s">
        <v>1420</v>
      </c>
    </row>
    <row r="254" spans="1:33" ht="14.4" x14ac:dyDescent="0.3">
      <c r="A254" s="12" t="s">
        <v>22</v>
      </c>
      <c r="B254" s="12" t="s">
        <v>1187</v>
      </c>
      <c r="C254" s="12" t="s">
        <v>1186</v>
      </c>
      <c r="D254" s="12" t="s">
        <v>1410</v>
      </c>
      <c r="E254" s="12" t="s">
        <v>1982</v>
      </c>
      <c r="F254" s="12" t="s">
        <v>1990</v>
      </c>
      <c r="G254" s="12" t="s">
        <v>1991</v>
      </c>
      <c r="H254" s="12" t="s">
        <v>1428</v>
      </c>
      <c r="I254" s="12" t="s">
        <v>1420</v>
      </c>
      <c r="J254" s="12" t="s">
        <v>1420</v>
      </c>
      <c r="K254" s="12" t="s">
        <v>1420</v>
      </c>
      <c r="L254" s="12" t="s">
        <v>1420</v>
      </c>
      <c r="M254" s="12" t="s">
        <v>1420</v>
      </c>
      <c r="N254" s="12" t="s">
        <v>1420</v>
      </c>
      <c r="O254" s="12" t="s">
        <v>1420</v>
      </c>
      <c r="P254" s="12" t="s">
        <v>1414</v>
      </c>
      <c r="Q254" s="12" t="s">
        <v>1420</v>
      </c>
      <c r="R254" s="12" t="s">
        <v>1420</v>
      </c>
      <c r="S254" s="12" t="s">
        <v>1414</v>
      </c>
      <c r="T254" s="12" t="s">
        <v>1420</v>
      </c>
      <c r="U254" s="12" t="s">
        <v>1414</v>
      </c>
      <c r="V254" s="12" t="s">
        <v>1420</v>
      </c>
      <c r="W254" s="12" t="s">
        <v>1414</v>
      </c>
      <c r="X254" s="12" t="s">
        <v>1420</v>
      </c>
      <c r="Y254" s="12" t="s">
        <v>1420</v>
      </c>
      <c r="Z254" s="12" t="s">
        <v>1420</v>
      </c>
      <c r="AA254" s="12" t="s">
        <v>1420</v>
      </c>
      <c r="AB254" s="12" t="s">
        <v>1414</v>
      </c>
      <c r="AC254" s="12" t="s">
        <v>1414</v>
      </c>
      <c r="AD254" s="12" t="s">
        <v>1420</v>
      </c>
      <c r="AE254" s="12" t="s">
        <v>1420</v>
      </c>
      <c r="AF254" s="12" t="s">
        <v>1420</v>
      </c>
      <c r="AG254" s="12" t="s">
        <v>1414</v>
      </c>
    </row>
    <row r="255" spans="1:33" ht="14.4" x14ac:dyDescent="0.3">
      <c r="A255" s="12" t="s">
        <v>8</v>
      </c>
      <c r="B255" s="12" t="s">
        <v>519</v>
      </c>
      <c r="C255" s="12" t="s">
        <v>518</v>
      </c>
      <c r="D255" s="12" t="s">
        <v>1410</v>
      </c>
      <c r="E255" s="12" t="s">
        <v>1613</v>
      </c>
      <c r="F255" s="12" t="s">
        <v>1614</v>
      </c>
      <c r="G255" s="12" t="s">
        <v>1615</v>
      </c>
      <c r="H255" s="12" t="s">
        <v>1419</v>
      </c>
      <c r="I255" s="12" t="s">
        <v>1420</v>
      </c>
      <c r="J255" s="12" t="s">
        <v>1420</v>
      </c>
      <c r="K255" s="12" t="s">
        <v>1420</v>
      </c>
      <c r="L255" s="12" t="s">
        <v>1420</v>
      </c>
      <c r="M255" s="12" t="s">
        <v>1420</v>
      </c>
      <c r="N255" s="12" t="s">
        <v>1420</v>
      </c>
      <c r="O255" s="12" t="s">
        <v>1420</v>
      </c>
      <c r="P255" s="12" t="s">
        <v>1420</v>
      </c>
      <c r="Q255" s="12" t="s">
        <v>1420</v>
      </c>
      <c r="R255" s="12" t="s">
        <v>1420</v>
      </c>
      <c r="S255" s="12" t="s">
        <v>1420</v>
      </c>
      <c r="T255" s="12" t="s">
        <v>1420</v>
      </c>
      <c r="U255" s="12" t="s">
        <v>1414</v>
      </c>
      <c r="V255" s="12" t="s">
        <v>1420</v>
      </c>
      <c r="W255" s="12" t="s">
        <v>1420</v>
      </c>
      <c r="X255" s="12" t="s">
        <v>1420</v>
      </c>
      <c r="Y255" s="12" t="s">
        <v>1420</v>
      </c>
      <c r="Z255" s="12" t="s">
        <v>1420</v>
      </c>
      <c r="AA255" s="12" t="s">
        <v>1420</v>
      </c>
      <c r="AB255" s="12" t="s">
        <v>1420</v>
      </c>
      <c r="AC255" s="12" t="s">
        <v>1420</v>
      </c>
      <c r="AD255" s="12" t="s">
        <v>1414</v>
      </c>
      <c r="AE255" s="12" t="s">
        <v>1420</v>
      </c>
      <c r="AF255" s="12" t="s">
        <v>1420</v>
      </c>
      <c r="AG255" s="12" t="s">
        <v>1420</v>
      </c>
    </row>
    <row r="256" spans="1:33" ht="14.4" x14ac:dyDescent="0.3">
      <c r="A256" s="12" t="s">
        <v>28</v>
      </c>
      <c r="B256" s="12" t="s">
        <v>5619</v>
      </c>
      <c r="C256" s="12" t="s">
        <v>5620</v>
      </c>
      <c r="D256" s="12" t="s">
        <v>1410</v>
      </c>
      <c r="E256" s="12" t="s">
        <v>5621</v>
      </c>
      <c r="F256" s="12" t="s">
        <v>5576</v>
      </c>
      <c r="G256" s="12" t="s">
        <v>5454</v>
      </c>
      <c r="H256" s="12" t="s">
        <v>1419</v>
      </c>
      <c r="I256" s="12" t="s">
        <v>1420</v>
      </c>
      <c r="J256" s="12" t="s">
        <v>1414</v>
      </c>
      <c r="K256" s="12" t="s">
        <v>1420</v>
      </c>
      <c r="L256" s="12" t="s">
        <v>1420</v>
      </c>
      <c r="M256" s="12" t="s">
        <v>1420</v>
      </c>
      <c r="N256" s="12" t="s">
        <v>1420</v>
      </c>
      <c r="O256" s="12" t="s">
        <v>1414</v>
      </c>
      <c r="P256" s="12" t="s">
        <v>1420</v>
      </c>
      <c r="Q256" s="12" t="s">
        <v>1420</v>
      </c>
      <c r="R256" s="12" t="s">
        <v>1420</v>
      </c>
      <c r="S256" s="12" t="s">
        <v>1420</v>
      </c>
      <c r="T256" s="12" t="s">
        <v>1420</v>
      </c>
      <c r="U256" s="12" t="s">
        <v>1420</v>
      </c>
      <c r="V256" s="12" t="s">
        <v>1420</v>
      </c>
      <c r="W256" s="12" t="s">
        <v>1420</v>
      </c>
      <c r="X256" s="12" t="s">
        <v>1420</v>
      </c>
      <c r="Y256" s="12" t="s">
        <v>1420</v>
      </c>
      <c r="Z256" s="12" t="s">
        <v>1420</v>
      </c>
      <c r="AA256" s="12" t="s">
        <v>1420</v>
      </c>
      <c r="AB256" s="12" t="s">
        <v>1420</v>
      </c>
      <c r="AC256" s="12" t="s">
        <v>1420</v>
      </c>
      <c r="AD256" s="12" t="s">
        <v>1420</v>
      </c>
      <c r="AE256" s="12" t="s">
        <v>1420</v>
      </c>
      <c r="AF256" s="12" t="s">
        <v>1420</v>
      </c>
      <c r="AG256" s="12" t="s">
        <v>1420</v>
      </c>
    </row>
    <row r="257" spans="1:33" ht="14.4" x14ac:dyDescent="0.3">
      <c r="A257" s="12" t="s">
        <v>825</v>
      </c>
      <c r="B257" s="12" t="s">
        <v>824</v>
      </c>
      <c r="C257" s="12" t="s">
        <v>823</v>
      </c>
      <c r="D257" s="12" t="s">
        <v>1410</v>
      </c>
      <c r="E257" s="12" t="s">
        <v>2538</v>
      </c>
      <c r="F257" s="12" t="s">
        <v>2541</v>
      </c>
      <c r="G257" s="12" t="s">
        <v>2542</v>
      </c>
      <c r="H257" s="12" t="s">
        <v>1419</v>
      </c>
      <c r="I257" s="12" t="s">
        <v>1420</v>
      </c>
      <c r="J257" s="12" t="s">
        <v>1420</v>
      </c>
      <c r="K257" s="12" t="s">
        <v>1420</v>
      </c>
      <c r="L257" s="12" t="s">
        <v>1420</v>
      </c>
      <c r="M257" s="12" t="s">
        <v>1420</v>
      </c>
      <c r="N257" s="12" t="s">
        <v>1420</v>
      </c>
      <c r="O257" s="12" t="s">
        <v>1420</v>
      </c>
      <c r="P257" s="12" t="s">
        <v>1420</v>
      </c>
      <c r="Q257" s="12" t="s">
        <v>1420</v>
      </c>
      <c r="R257" s="12" t="s">
        <v>1420</v>
      </c>
      <c r="S257" s="12" t="s">
        <v>1420</v>
      </c>
      <c r="T257" s="12" t="s">
        <v>1414</v>
      </c>
      <c r="U257" s="12" t="s">
        <v>1420</v>
      </c>
      <c r="V257" s="12" t="s">
        <v>1420</v>
      </c>
      <c r="W257" s="12" t="s">
        <v>1420</v>
      </c>
      <c r="X257" s="12" t="s">
        <v>1420</v>
      </c>
      <c r="Y257" s="12" t="s">
        <v>1420</v>
      </c>
      <c r="Z257" s="12" t="s">
        <v>1420</v>
      </c>
      <c r="AA257" s="12" t="s">
        <v>1420</v>
      </c>
      <c r="AB257" s="12" t="s">
        <v>1420</v>
      </c>
      <c r="AC257" s="12" t="s">
        <v>1420</v>
      </c>
      <c r="AD257" s="12" t="s">
        <v>1414</v>
      </c>
      <c r="AE257" s="12" t="s">
        <v>1420</v>
      </c>
      <c r="AF257" s="12" t="s">
        <v>1420</v>
      </c>
      <c r="AG257" s="12" t="s">
        <v>1420</v>
      </c>
    </row>
    <row r="258" spans="1:33" ht="14.4" x14ac:dyDescent="0.3">
      <c r="A258" s="12" t="s">
        <v>8</v>
      </c>
      <c r="B258" s="12" t="s">
        <v>1338</v>
      </c>
      <c r="C258" s="12" t="s">
        <v>1337</v>
      </c>
      <c r="D258" s="12" t="s">
        <v>1410</v>
      </c>
      <c r="E258" s="12" t="s">
        <v>2068</v>
      </c>
      <c r="F258" s="12" t="s">
        <v>2069</v>
      </c>
      <c r="G258" s="12" t="s">
        <v>2070</v>
      </c>
      <c r="H258" s="12" t="s">
        <v>1452</v>
      </c>
      <c r="I258" s="12" t="s">
        <v>1420</v>
      </c>
      <c r="J258" s="12" t="s">
        <v>1420</v>
      </c>
      <c r="K258" s="12" t="s">
        <v>1420</v>
      </c>
      <c r="L258" s="12" t="s">
        <v>1414</v>
      </c>
      <c r="M258" s="12" t="s">
        <v>1420</v>
      </c>
      <c r="N258" s="12" t="s">
        <v>1420</v>
      </c>
      <c r="O258" s="12" t="s">
        <v>1420</v>
      </c>
      <c r="P258" s="12" t="s">
        <v>1420</v>
      </c>
      <c r="Q258" s="12" t="s">
        <v>1420</v>
      </c>
      <c r="R258" s="12" t="s">
        <v>1420</v>
      </c>
      <c r="S258" s="12" t="s">
        <v>1420</v>
      </c>
      <c r="T258" s="12" t="s">
        <v>1420</v>
      </c>
      <c r="U258" s="12" t="s">
        <v>1420</v>
      </c>
      <c r="V258" s="12" t="s">
        <v>1420</v>
      </c>
      <c r="W258" s="12" t="s">
        <v>1420</v>
      </c>
      <c r="X258" s="12" t="s">
        <v>1420</v>
      </c>
      <c r="Y258" s="12" t="s">
        <v>1420</v>
      </c>
      <c r="Z258" s="12" t="s">
        <v>1420</v>
      </c>
      <c r="AA258" s="12" t="s">
        <v>1420</v>
      </c>
      <c r="AB258" s="12" t="s">
        <v>1420</v>
      </c>
      <c r="AC258" s="12" t="s">
        <v>1420</v>
      </c>
      <c r="AD258" s="12" t="s">
        <v>1420</v>
      </c>
      <c r="AE258" s="12" t="s">
        <v>1420</v>
      </c>
      <c r="AF258" s="12" t="s">
        <v>1420</v>
      </c>
      <c r="AG258" s="12" t="s">
        <v>1420</v>
      </c>
    </row>
    <row r="259" spans="1:33" ht="14.4" x14ac:dyDescent="0.3">
      <c r="A259" s="12" t="s">
        <v>5622</v>
      </c>
      <c r="B259" s="12" t="s">
        <v>5623</v>
      </c>
      <c r="C259" s="12" t="s">
        <v>5624</v>
      </c>
      <c r="D259" s="12" t="s">
        <v>1410</v>
      </c>
      <c r="E259" s="12" t="s">
        <v>5625</v>
      </c>
      <c r="F259" s="12" t="s">
        <v>5626</v>
      </c>
      <c r="G259" s="12" t="s">
        <v>5627</v>
      </c>
      <c r="H259" s="12" t="s">
        <v>1424</v>
      </c>
      <c r="I259" s="12" t="s">
        <v>1420</v>
      </c>
      <c r="J259" s="12" t="s">
        <v>1420</v>
      </c>
      <c r="K259" s="12" t="s">
        <v>1420</v>
      </c>
      <c r="L259" s="12" t="s">
        <v>1420</v>
      </c>
      <c r="M259" s="12" t="s">
        <v>1420</v>
      </c>
      <c r="N259" s="12" t="s">
        <v>1420</v>
      </c>
      <c r="O259" s="12" t="s">
        <v>1420</v>
      </c>
      <c r="P259" s="12" t="s">
        <v>1420</v>
      </c>
      <c r="Q259" s="12" t="s">
        <v>1420</v>
      </c>
      <c r="R259" s="12" t="s">
        <v>1420</v>
      </c>
      <c r="S259" s="12" t="s">
        <v>1420</v>
      </c>
      <c r="T259" s="12" t="s">
        <v>1420</v>
      </c>
      <c r="U259" s="12" t="s">
        <v>1420</v>
      </c>
      <c r="V259" s="12" t="s">
        <v>1420</v>
      </c>
      <c r="W259" s="12" t="s">
        <v>1414</v>
      </c>
      <c r="X259" s="12" t="s">
        <v>1420</v>
      </c>
      <c r="Y259" s="12" t="s">
        <v>1414</v>
      </c>
      <c r="Z259" s="12" t="s">
        <v>1420</v>
      </c>
      <c r="AA259" s="12" t="s">
        <v>1420</v>
      </c>
      <c r="AB259" s="12" t="s">
        <v>1420</v>
      </c>
      <c r="AC259" s="12" t="s">
        <v>1420</v>
      </c>
      <c r="AD259" s="12" t="s">
        <v>1414</v>
      </c>
      <c r="AE259" s="12" t="s">
        <v>1420</v>
      </c>
      <c r="AF259" s="12" t="s">
        <v>1420</v>
      </c>
      <c r="AG259" s="12" t="s">
        <v>1420</v>
      </c>
    </row>
    <row r="260" spans="1:33" ht="14.4" x14ac:dyDescent="0.3">
      <c r="A260" s="12" t="s">
        <v>8</v>
      </c>
      <c r="B260" s="12" t="s">
        <v>5623</v>
      </c>
      <c r="C260" s="12" t="s">
        <v>5628</v>
      </c>
      <c r="D260" s="12" t="s">
        <v>1410</v>
      </c>
      <c r="E260" s="12" t="s">
        <v>5629</v>
      </c>
      <c r="F260" s="12" t="s">
        <v>5630</v>
      </c>
      <c r="G260" s="12" t="s">
        <v>2693</v>
      </c>
      <c r="H260" s="12" t="s">
        <v>1428</v>
      </c>
      <c r="I260" s="12" t="s">
        <v>1420</v>
      </c>
      <c r="J260" s="12" t="s">
        <v>1420</v>
      </c>
      <c r="K260" s="12" t="s">
        <v>1420</v>
      </c>
      <c r="L260" s="12" t="s">
        <v>1420</v>
      </c>
      <c r="M260" s="12" t="s">
        <v>1420</v>
      </c>
      <c r="N260" s="12" t="s">
        <v>1420</v>
      </c>
      <c r="O260" s="12" t="s">
        <v>1414</v>
      </c>
      <c r="P260" s="12" t="s">
        <v>1414</v>
      </c>
      <c r="Q260" s="12" t="s">
        <v>1420</v>
      </c>
      <c r="R260" s="12" t="s">
        <v>1420</v>
      </c>
      <c r="S260" s="12" t="s">
        <v>1420</v>
      </c>
      <c r="T260" s="12" t="s">
        <v>1414</v>
      </c>
      <c r="U260" s="12" t="s">
        <v>1414</v>
      </c>
      <c r="V260" s="12" t="s">
        <v>1420</v>
      </c>
      <c r="W260" s="12" t="s">
        <v>1420</v>
      </c>
      <c r="X260" s="12" t="s">
        <v>1420</v>
      </c>
      <c r="Y260" s="12" t="s">
        <v>1420</v>
      </c>
      <c r="Z260" s="12" t="s">
        <v>1414</v>
      </c>
      <c r="AA260" s="12" t="s">
        <v>1414</v>
      </c>
      <c r="AB260" s="12" t="s">
        <v>1420</v>
      </c>
      <c r="AC260" s="12" t="s">
        <v>1420</v>
      </c>
      <c r="AD260" s="12" t="s">
        <v>1414</v>
      </c>
      <c r="AE260" s="12" t="s">
        <v>1420</v>
      </c>
      <c r="AF260" s="12" t="s">
        <v>1420</v>
      </c>
      <c r="AG260" s="12" t="s">
        <v>1420</v>
      </c>
    </row>
    <row r="261" spans="1:33" ht="14.4" x14ac:dyDescent="0.3">
      <c r="A261" s="12" t="s">
        <v>8</v>
      </c>
      <c r="B261" s="12" t="s">
        <v>827</v>
      </c>
      <c r="C261" s="12" t="s">
        <v>826</v>
      </c>
      <c r="D261" s="12" t="s">
        <v>1410</v>
      </c>
      <c r="E261" s="12" t="s">
        <v>2890</v>
      </c>
      <c r="F261" s="12" t="s">
        <v>2891</v>
      </c>
      <c r="G261" s="12" t="s">
        <v>2024</v>
      </c>
      <c r="H261" s="12" t="s">
        <v>1488</v>
      </c>
      <c r="I261" s="12" t="s">
        <v>1420</v>
      </c>
      <c r="J261" s="12" t="s">
        <v>1420</v>
      </c>
      <c r="K261" s="12" t="s">
        <v>1420</v>
      </c>
      <c r="L261" s="12" t="s">
        <v>1420</v>
      </c>
      <c r="M261" s="12" t="s">
        <v>1420</v>
      </c>
      <c r="N261" s="12" t="s">
        <v>1420</v>
      </c>
      <c r="O261" s="12" t="s">
        <v>1414</v>
      </c>
      <c r="P261" s="12" t="s">
        <v>1420</v>
      </c>
      <c r="Q261" s="12" t="s">
        <v>1420</v>
      </c>
      <c r="R261" s="12" t="s">
        <v>1420</v>
      </c>
      <c r="S261" s="12" t="s">
        <v>1420</v>
      </c>
      <c r="T261" s="12" t="s">
        <v>1420</v>
      </c>
      <c r="U261" s="12" t="s">
        <v>1420</v>
      </c>
      <c r="V261" s="12" t="s">
        <v>1420</v>
      </c>
      <c r="W261" s="12" t="s">
        <v>1420</v>
      </c>
      <c r="X261" s="12" t="s">
        <v>1420</v>
      </c>
      <c r="Y261" s="12" t="s">
        <v>1420</v>
      </c>
      <c r="Z261" s="12" t="s">
        <v>1420</v>
      </c>
      <c r="AA261" s="12" t="s">
        <v>1414</v>
      </c>
      <c r="AB261" s="12" t="s">
        <v>1414</v>
      </c>
      <c r="AC261" s="12" t="s">
        <v>1414</v>
      </c>
      <c r="AD261" s="12" t="s">
        <v>1420</v>
      </c>
      <c r="AE261" s="12" t="s">
        <v>1420</v>
      </c>
      <c r="AF261" s="12" t="s">
        <v>1420</v>
      </c>
      <c r="AG261" s="12" t="s">
        <v>1420</v>
      </c>
    </row>
    <row r="262" spans="1:33" ht="14.4" x14ac:dyDescent="0.3">
      <c r="A262" s="12" t="s">
        <v>19</v>
      </c>
      <c r="B262" s="12" t="s">
        <v>827</v>
      </c>
      <c r="C262" s="12" t="s">
        <v>1051</v>
      </c>
      <c r="D262" s="12" t="s">
        <v>1410</v>
      </c>
      <c r="E262" s="12" t="s">
        <v>2947</v>
      </c>
      <c r="F262" s="12" t="s">
        <v>2948</v>
      </c>
      <c r="G262" s="12" t="s">
        <v>2949</v>
      </c>
      <c r="H262" s="12" t="s">
        <v>1424</v>
      </c>
      <c r="I262" s="12" t="s">
        <v>1420</v>
      </c>
      <c r="J262" s="12" t="s">
        <v>1420</v>
      </c>
      <c r="K262" s="12" t="s">
        <v>1420</v>
      </c>
      <c r="L262" s="12" t="s">
        <v>1420</v>
      </c>
      <c r="M262" s="12" t="s">
        <v>1420</v>
      </c>
      <c r="N262" s="12" t="s">
        <v>1420</v>
      </c>
      <c r="O262" s="12" t="s">
        <v>1420</v>
      </c>
      <c r="P262" s="12" t="s">
        <v>1420</v>
      </c>
      <c r="Q262" s="12" t="s">
        <v>1420</v>
      </c>
      <c r="R262" s="12" t="s">
        <v>1420</v>
      </c>
      <c r="S262" s="12" t="s">
        <v>1414</v>
      </c>
      <c r="T262" s="12" t="s">
        <v>1420</v>
      </c>
      <c r="U262" s="12" t="s">
        <v>1420</v>
      </c>
      <c r="V262" s="12" t="s">
        <v>1420</v>
      </c>
      <c r="W262" s="12" t="s">
        <v>1420</v>
      </c>
      <c r="X262" s="12" t="s">
        <v>1420</v>
      </c>
      <c r="Y262" s="12" t="s">
        <v>1420</v>
      </c>
      <c r="Z262" s="12" t="s">
        <v>1420</v>
      </c>
      <c r="AA262" s="12" t="s">
        <v>1420</v>
      </c>
      <c r="AB262" s="12" t="s">
        <v>1414</v>
      </c>
      <c r="AC262" s="12" t="s">
        <v>1420</v>
      </c>
      <c r="AD262" s="12" t="s">
        <v>1414</v>
      </c>
      <c r="AE262" s="12" t="s">
        <v>1420</v>
      </c>
      <c r="AF262" s="12" t="s">
        <v>1420</v>
      </c>
      <c r="AG262" s="12" t="s">
        <v>1420</v>
      </c>
    </row>
    <row r="263" spans="1:33" ht="14.4" x14ac:dyDescent="0.3">
      <c r="A263" s="12" t="s">
        <v>170</v>
      </c>
      <c r="B263" s="12" t="s">
        <v>269</v>
      </c>
      <c r="C263" s="12" t="s">
        <v>268</v>
      </c>
      <c r="D263" s="12" t="s">
        <v>1410</v>
      </c>
      <c r="E263" s="12" t="s">
        <v>2952</v>
      </c>
      <c r="F263" s="12" t="s">
        <v>2953</v>
      </c>
      <c r="G263" s="12" t="s">
        <v>1846</v>
      </c>
      <c r="H263" s="12" t="s">
        <v>1424</v>
      </c>
      <c r="I263" s="12" t="s">
        <v>1420</v>
      </c>
      <c r="J263" s="12" t="s">
        <v>1420</v>
      </c>
      <c r="K263" s="12" t="s">
        <v>1420</v>
      </c>
      <c r="L263" s="12" t="s">
        <v>1420</v>
      </c>
      <c r="M263" s="12" t="s">
        <v>1420</v>
      </c>
      <c r="N263" s="12" t="s">
        <v>1420</v>
      </c>
      <c r="O263" s="12" t="s">
        <v>1420</v>
      </c>
      <c r="P263" s="12" t="s">
        <v>1420</v>
      </c>
      <c r="Q263" s="12" t="s">
        <v>1420</v>
      </c>
      <c r="R263" s="12" t="s">
        <v>1420</v>
      </c>
      <c r="S263" s="12" t="s">
        <v>1420</v>
      </c>
      <c r="T263" s="12" t="s">
        <v>1420</v>
      </c>
      <c r="U263" s="12" t="s">
        <v>1420</v>
      </c>
      <c r="V263" s="12" t="s">
        <v>1414</v>
      </c>
      <c r="W263" s="12" t="s">
        <v>1420</v>
      </c>
      <c r="X263" s="12" t="s">
        <v>1420</v>
      </c>
      <c r="Y263" s="12" t="s">
        <v>1420</v>
      </c>
      <c r="Z263" s="12" t="s">
        <v>1420</v>
      </c>
      <c r="AA263" s="12" t="s">
        <v>1414</v>
      </c>
      <c r="AB263" s="12" t="s">
        <v>1420</v>
      </c>
      <c r="AC263" s="12" t="s">
        <v>1420</v>
      </c>
      <c r="AD263" s="12" t="s">
        <v>1420</v>
      </c>
      <c r="AE263" s="12" t="s">
        <v>1414</v>
      </c>
      <c r="AF263" s="12" t="s">
        <v>1420</v>
      </c>
      <c r="AG263" s="12" t="s">
        <v>1420</v>
      </c>
    </row>
    <row r="264" spans="1:33" ht="14.4" x14ac:dyDescent="0.3">
      <c r="A264" s="12" t="s">
        <v>8</v>
      </c>
      <c r="B264" s="12" t="s">
        <v>521</v>
      </c>
      <c r="C264" s="12" t="s">
        <v>520</v>
      </c>
      <c r="D264" s="12" t="s">
        <v>1410</v>
      </c>
      <c r="E264" s="12" t="s">
        <v>1692</v>
      </c>
      <c r="F264" s="12" t="s">
        <v>1693</v>
      </c>
      <c r="G264" s="12" t="s">
        <v>1694</v>
      </c>
      <c r="H264" s="12" t="s">
        <v>1424</v>
      </c>
      <c r="I264" s="12" t="s">
        <v>1420</v>
      </c>
      <c r="J264" s="12" t="s">
        <v>1420</v>
      </c>
      <c r="K264" s="12" t="s">
        <v>1420</v>
      </c>
      <c r="L264" s="12" t="s">
        <v>1420</v>
      </c>
      <c r="M264" s="12" t="s">
        <v>1420</v>
      </c>
      <c r="N264" s="12" t="s">
        <v>1414</v>
      </c>
      <c r="O264" s="12" t="s">
        <v>1420</v>
      </c>
      <c r="P264" s="12" t="s">
        <v>1420</v>
      </c>
      <c r="Q264" s="12" t="s">
        <v>1420</v>
      </c>
      <c r="R264" s="12" t="s">
        <v>1420</v>
      </c>
      <c r="S264" s="12" t="s">
        <v>1414</v>
      </c>
      <c r="T264" s="12" t="s">
        <v>1420</v>
      </c>
      <c r="U264" s="12" t="s">
        <v>1420</v>
      </c>
      <c r="V264" s="12" t="s">
        <v>1420</v>
      </c>
      <c r="W264" s="12" t="s">
        <v>1420</v>
      </c>
      <c r="X264" s="12" t="s">
        <v>1420</v>
      </c>
      <c r="Y264" s="12" t="s">
        <v>1420</v>
      </c>
      <c r="Z264" s="12" t="s">
        <v>1420</v>
      </c>
      <c r="AA264" s="12" t="s">
        <v>1420</v>
      </c>
      <c r="AB264" s="12" t="s">
        <v>1420</v>
      </c>
      <c r="AC264" s="12" t="s">
        <v>1414</v>
      </c>
      <c r="AD264" s="12" t="s">
        <v>1420</v>
      </c>
      <c r="AE264" s="12" t="s">
        <v>1420</v>
      </c>
      <c r="AF264" s="12" t="s">
        <v>1420</v>
      </c>
      <c r="AG264" s="12" t="s">
        <v>1420</v>
      </c>
    </row>
    <row r="265" spans="1:33" ht="14.4" x14ac:dyDescent="0.3">
      <c r="A265" s="12" t="s">
        <v>8</v>
      </c>
      <c r="B265" s="12" t="s">
        <v>5631</v>
      </c>
      <c r="C265" s="12" t="s">
        <v>5632</v>
      </c>
      <c r="D265" s="12" t="s">
        <v>1410</v>
      </c>
      <c r="E265" s="12" t="s">
        <v>5633</v>
      </c>
      <c r="F265" s="12" t="s">
        <v>5634</v>
      </c>
      <c r="G265" s="12" t="s">
        <v>5635</v>
      </c>
      <c r="H265" s="12" t="s">
        <v>1419</v>
      </c>
      <c r="I265" s="12" t="s">
        <v>1420</v>
      </c>
      <c r="J265" s="12" t="s">
        <v>1420</v>
      </c>
      <c r="K265" s="12" t="s">
        <v>1420</v>
      </c>
      <c r="L265" s="12" t="s">
        <v>1420</v>
      </c>
      <c r="M265" s="12" t="s">
        <v>1420</v>
      </c>
      <c r="N265" s="12" t="s">
        <v>1420</v>
      </c>
      <c r="O265" s="12" t="s">
        <v>1414</v>
      </c>
      <c r="P265" s="12" t="s">
        <v>1420</v>
      </c>
      <c r="Q265" s="12" t="s">
        <v>1420</v>
      </c>
      <c r="R265" s="12" t="s">
        <v>1420</v>
      </c>
      <c r="S265" s="12" t="s">
        <v>1414</v>
      </c>
      <c r="T265" s="12" t="s">
        <v>1420</v>
      </c>
      <c r="U265" s="12" t="s">
        <v>1420</v>
      </c>
      <c r="V265" s="12" t="s">
        <v>1420</v>
      </c>
      <c r="W265" s="12" t="s">
        <v>1420</v>
      </c>
      <c r="X265" s="12" t="s">
        <v>1420</v>
      </c>
      <c r="Y265" s="12" t="s">
        <v>1420</v>
      </c>
      <c r="Z265" s="12" t="s">
        <v>1420</v>
      </c>
      <c r="AA265" s="12" t="s">
        <v>1420</v>
      </c>
      <c r="AB265" s="12" t="s">
        <v>1420</v>
      </c>
      <c r="AC265" s="12" t="s">
        <v>1420</v>
      </c>
      <c r="AD265" s="12" t="s">
        <v>1420</v>
      </c>
      <c r="AE265" s="12" t="s">
        <v>1420</v>
      </c>
      <c r="AF265" s="12" t="s">
        <v>1420</v>
      </c>
      <c r="AG265" s="12" t="s">
        <v>1420</v>
      </c>
    </row>
    <row r="266" spans="1:33" ht="14.4" x14ac:dyDescent="0.3">
      <c r="A266" s="12" t="s">
        <v>80</v>
      </c>
      <c r="B266" s="12" t="s">
        <v>79</v>
      </c>
      <c r="C266" s="12" t="s">
        <v>78</v>
      </c>
      <c r="D266" s="12" t="s">
        <v>1410</v>
      </c>
      <c r="E266" s="12" t="s">
        <v>2130</v>
      </c>
      <c r="F266" s="12" t="s">
        <v>2124</v>
      </c>
      <c r="G266" s="12" t="s">
        <v>2131</v>
      </c>
      <c r="H266" s="12" t="s">
        <v>1464</v>
      </c>
      <c r="I266" s="12" t="s">
        <v>1420</v>
      </c>
      <c r="J266" s="12" t="s">
        <v>1420</v>
      </c>
      <c r="K266" s="12" t="s">
        <v>1420</v>
      </c>
      <c r="L266" s="12" t="s">
        <v>1420</v>
      </c>
      <c r="M266" s="12" t="s">
        <v>1420</v>
      </c>
      <c r="N266" s="12" t="s">
        <v>1420</v>
      </c>
      <c r="O266" s="12" t="s">
        <v>1420</v>
      </c>
      <c r="P266" s="12" t="s">
        <v>1420</v>
      </c>
      <c r="Q266" s="12" t="s">
        <v>1420</v>
      </c>
      <c r="R266" s="12" t="s">
        <v>1420</v>
      </c>
      <c r="S266" s="12" t="s">
        <v>1420</v>
      </c>
      <c r="T266" s="12" t="s">
        <v>1420</v>
      </c>
      <c r="U266" s="12" t="s">
        <v>1420</v>
      </c>
      <c r="V266" s="12" t="s">
        <v>1420</v>
      </c>
      <c r="W266" s="12" t="s">
        <v>1420</v>
      </c>
      <c r="X266" s="12" t="s">
        <v>1420</v>
      </c>
      <c r="Y266" s="12" t="s">
        <v>1420</v>
      </c>
      <c r="Z266" s="12" t="s">
        <v>1420</v>
      </c>
      <c r="AA266" s="12" t="s">
        <v>1420</v>
      </c>
      <c r="AB266" s="12" t="s">
        <v>1420</v>
      </c>
      <c r="AC266" s="12" t="s">
        <v>1420</v>
      </c>
      <c r="AD266" s="12" t="s">
        <v>1420</v>
      </c>
      <c r="AE266" s="12" t="s">
        <v>1420</v>
      </c>
      <c r="AF266" s="12" t="s">
        <v>1420</v>
      </c>
      <c r="AG266" s="12" t="s">
        <v>1420</v>
      </c>
    </row>
    <row r="267" spans="1:33" ht="14.4" x14ac:dyDescent="0.3">
      <c r="A267" s="12" t="s">
        <v>25</v>
      </c>
      <c r="B267" s="12" t="s">
        <v>79</v>
      </c>
      <c r="C267" s="12" t="s">
        <v>81</v>
      </c>
      <c r="D267" s="12" t="s">
        <v>1410</v>
      </c>
      <c r="E267" s="12" t="s">
        <v>2247</v>
      </c>
      <c r="F267" s="12" t="s">
        <v>2248</v>
      </c>
      <c r="G267" s="12" t="s">
        <v>2249</v>
      </c>
      <c r="H267" s="12" t="s">
        <v>1424</v>
      </c>
      <c r="I267" s="12" t="s">
        <v>1420</v>
      </c>
      <c r="J267" s="12" t="s">
        <v>1420</v>
      </c>
      <c r="K267" s="12" t="s">
        <v>1420</v>
      </c>
      <c r="L267" s="12" t="s">
        <v>1420</v>
      </c>
      <c r="M267" s="12" t="s">
        <v>1420</v>
      </c>
      <c r="N267" s="12" t="s">
        <v>1414</v>
      </c>
      <c r="O267" s="12" t="s">
        <v>1420</v>
      </c>
      <c r="P267" s="12" t="s">
        <v>1420</v>
      </c>
      <c r="Q267" s="12" t="s">
        <v>1420</v>
      </c>
      <c r="R267" s="12" t="s">
        <v>1420</v>
      </c>
      <c r="S267" s="12" t="s">
        <v>1420</v>
      </c>
      <c r="T267" s="12" t="s">
        <v>1420</v>
      </c>
      <c r="U267" s="12" t="s">
        <v>1420</v>
      </c>
      <c r="V267" s="12" t="s">
        <v>1414</v>
      </c>
      <c r="W267" s="12" t="s">
        <v>1420</v>
      </c>
      <c r="X267" s="12" t="s">
        <v>1414</v>
      </c>
      <c r="Y267" s="12" t="s">
        <v>1420</v>
      </c>
      <c r="Z267" s="12" t="s">
        <v>1420</v>
      </c>
      <c r="AA267" s="12" t="s">
        <v>1420</v>
      </c>
      <c r="AB267" s="12" t="s">
        <v>1420</v>
      </c>
      <c r="AC267" s="12" t="s">
        <v>1420</v>
      </c>
      <c r="AD267" s="12" t="s">
        <v>1420</v>
      </c>
      <c r="AE267" s="12" t="s">
        <v>1420</v>
      </c>
      <c r="AF267" s="12" t="s">
        <v>1420</v>
      </c>
      <c r="AG267" s="12" t="s">
        <v>1420</v>
      </c>
    </row>
    <row r="268" spans="1:33" ht="14.4" x14ac:dyDescent="0.3">
      <c r="A268" s="12" t="s">
        <v>80</v>
      </c>
      <c r="B268" s="12" t="s">
        <v>523</v>
      </c>
      <c r="C268" s="12" t="s">
        <v>522</v>
      </c>
      <c r="D268" s="12" t="s">
        <v>1410</v>
      </c>
      <c r="E268" s="12" t="s">
        <v>2554</v>
      </c>
      <c r="F268" s="12" t="s">
        <v>2555</v>
      </c>
      <c r="G268" s="12" t="s">
        <v>2556</v>
      </c>
      <c r="H268" s="12" t="s">
        <v>1464</v>
      </c>
      <c r="I268" s="12" t="s">
        <v>1420</v>
      </c>
      <c r="J268" s="12" t="s">
        <v>1420</v>
      </c>
      <c r="K268" s="12" t="s">
        <v>1420</v>
      </c>
      <c r="L268" s="12" t="s">
        <v>1420</v>
      </c>
      <c r="M268" s="12" t="s">
        <v>1420</v>
      </c>
      <c r="N268" s="12" t="s">
        <v>1420</v>
      </c>
      <c r="O268" s="12" t="s">
        <v>1420</v>
      </c>
      <c r="P268" s="12" t="s">
        <v>1420</v>
      </c>
      <c r="Q268" s="12" t="s">
        <v>1420</v>
      </c>
      <c r="R268" s="12" t="s">
        <v>1420</v>
      </c>
      <c r="S268" s="12" t="s">
        <v>1420</v>
      </c>
      <c r="T268" s="12" t="s">
        <v>1420</v>
      </c>
      <c r="U268" s="12" t="s">
        <v>1420</v>
      </c>
      <c r="V268" s="12" t="s">
        <v>1420</v>
      </c>
      <c r="W268" s="12" t="s">
        <v>1420</v>
      </c>
      <c r="X268" s="12" t="s">
        <v>1420</v>
      </c>
      <c r="Y268" s="12" t="s">
        <v>1420</v>
      </c>
      <c r="Z268" s="12" t="s">
        <v>1420</v>
      </c>
      <c r="AA268" s="12" t="s">
        <v>1420</v>
      </c>
      <c r="AB268" s="12" t="s">
        <v>1420</v>
      </c>
      <c r="AC268" s="12" t="s">
        <v>1420</v>
      </c>
      <c r="AD268" s="12" t="s">
        <v>1420</v>
      </c>
      <c r="AE268" s="12" t="s">
        <v>1420</v>
      </c>
      <c r="AF268" s="12" t="s">
        <v>1420</v>
      </c>
      <c r="AG268" s="12" t="s">
        <v>1420</v>
      </c>
    </row>
    <row r="269" spans="1:33" ht="14.4" x14ac:dyDescent="0.3">
      <c r="A269" s="12" t="s">
        <v>31</v>
      </c>
      <c r="B269" s="12" t="s">
        <v>79</v>
      </c>
      <c r="C269" s="12" t="s">
        <v>524</v>
      </c>
      <c r="D269" s="12" t="s">
        <v>1410</v>
      </c>
      <c r="E269" s="12" t="s">
        <v>1856</v>
      </c>
      <c r="F269" s="12" t="s">
        <v>1857</v>
      </c>
      <c r="G269" s="12" t="s">
        <v>1858</v>
      </c>
      <c r="H269" s="12" t="s">
        <v>1419</v>
      </c>
      <c r="I269" s="12" t="s">
        <v>1420</v>
      </c>
      <c r="J269" s="12" t="s">
        <v>1420</v>
      </c>
      <c r="K269" s="12" t="s">
        <v>1420</v>
      </c>
      <c r="L269" s="12" t="s">
        <v>1420</v>
      </c>
      <c r="M269" s="12" t="s">
        <v>1420</v>
      </c>
      <c r="N269" s="12" t="s">
        <v>1420</v>
      </c>
      <c r="O269" s="12" t="s">
        <v>1420</v>
      </c>
      <c r="P269" s="12" t="s">
        <v>1420</v>
      </c>
      <c r="Q269" s="12" t="s">
        <v>1420</v>
      </c>
      <c r="R269" s="12" t="s">
        <v>1420</v>
      </c>
      <c r="S269" s="12" t="s">
        <v>1420</v>
      </c>
      <c r="T269" s="12" t="s">
        <v>1420</v>
      </c>
      <c r="U269" s="12" t="s">
        <v>1420</v>
      </c>
      <c r="V269" s="12" t="s">
        <v>1420</v>
      </c>
      <c r="W269" s="12" t="s">
        <v>1420</v>
      </c>
      <c r="X269" s="12" t="s">
        <v>1414</v>
      </c>
      <c r="Y269" s="12" t="s">
        <v>1420</v>
      </c>
      <c r="Z269" s="12" t="s">
        <v>1414</v>
      </c>
      <c r="AA269" s="12" t="s">
        <v>1420</v>
      </c>
      <c r="AB269" s="12" t="s">
        <v>1420</v>
      </c>
      <c r="AC269" s="12" t="s">
        <v>1420</v>
      </c>
      <c r="AD269" s="12" t="s">
        <v>1420</v>
      </c>
      <c r="AE269" s="12" t="s">
        <v>1420</v>
      </c>
      <c r="AF269" s="12" t="s">
        <v>1420</v>
      </c>
      <c r="AG269" s="12" t="s">
        <v>1420</v>
      </c>
    </row>
    <row r="270" spans="1:33" ht="14.4" x14ac:dyDescent="0.3">
      <c r="A270" s="12" t="s">
        <v>526</v>
      </c>
      <c r="B270" s="12" t="s">
        <v>79</v>
      </c>
      <c r="C270" s="12" t="s">
        <v>525</v>
      </c>
      <c r="D270" s="12" t="s">
        <v>1410</v>
      </c>
      <c r="E270" s="12" t="s">
        <v>1689</v>
      </c>
      <c r="F270" s="12" t="s">
        <v>1690</v>
      </c>
      <c r="G270" s="12" t="s">
        <v>1691</v>
      </c>
      <c r="H270" s="12" t="s">
        <v>1424</v>
      </c>
      <c r="I270" s="12" t="s">
        <v>1420</v>
      </c>
      <c r="J270" s="12" t="s">
        <v>1420</v>
      </c>
      <c r="K270" s="12" t="s">
        <v>1420</v>
      </c>
      <c r="L270" s="12" t="s">
        <v>1420</v>
      </c>
      <c r="M270" s="12" t="s">
        <v>1420</v>
      </c>
      <c r="N270" s="12" t="s">
        <v>1420</v>
      </c>
      <c r="O270" s="12" t="s">
        <v>1420</v>
      </c>
      <c r="P270" s="12" t="s">
        <v>1420</v>
      </c>
      <c r="Q270" s="12" t="s">
        <v>1420</v>
      </c>
      <c r="R270" s="12" t="s">
        <v>1420</v>
      </c>
      <c r="S270" s="12" t="s">
        <v>1420</v>
      </c>
      <c r="T270" s="12" t="s">
        <v>1414</v>
      </c>
      <c r="U270" s="12" t="s">
        <v>1420</v>
      </c>
      <c r="V270" s="12" t="s">
        <v>1420</v>
      </c>
      <c r="W270" s="12" t="s">
        <v>1414</v>
      </c>
      <c r="X270" s="12" t="s">
        <v>1420</v>
      </c>
      <c r="Y270" s="12" t="s">
        <v>1420</v>
      </c>
      <c r="Z270" s="12" t="s">
        <v>1420</v>
      </c>
      <c r="AA270" s="12" t="s">
        <v>1414</v>
      </c>
      <c r="AB270" s="12" t="s">
        <v>1420</v>
      </c>
      <c r="AC270" s="12" t="s">
        <v>1420</v>
      </c>
      <c r="AD270" s="12" t="s">
        <v>1420</v>
      </c>
      <c r="AE270" s="12" t="s">
        <v>1420</v>
      </c>
      <c r="AF270" s="12" t="s">
        <v>1420</v>
      </c>
      <c r="AG270" s="12" t="s">
        <v>1420</v>
      </c>
    </row>
    <row r="271" spans="1:33" ht="14.4" x14ac:dyDescent="0.3">
      <c r="A271" s="12" t="s">
        <v>528</v>
      </c>
      <c r="B271" s="12" t="s">
        <v>79</v>
      </c>
      <c r="C271" s="12" t="s">
        <v>527</v>
      </c>
      <c r="D271" s="12" t="s">
        <v>1410</v>
      </c>
      <c r="E271" s="12" t="s">
        <v>1660</v>
      </c>
      <c r="F271" s="12" t="s">
        <v>1661</v>
      </c>
      <c r="G271" s="12" t="s">
        <v>1662</v>
      </c>
      <c r="H271" s="12" t="s">
        <v>1419</v>
      </c>
      <c r="I271" s="12" t="s">
        <v>1420</v>
      </c>
      <c r="J271" s="12" t="s">
        <v>1420</v>
      </c>
      <c r="K271" s="12" t="s">
        <v>1420</v>
      </c>
      <c r="L271" s="12" t="s">
        <v>1420</v>
      </c>
      <c r="M271" s="12" t="s">
        <v>1420</v>
      </c>
      <c r="N271" s="12" t="s">
        <v>1420</v>
      </c>
      <c r="O271" s="12" t="s">
        <v>1420</v>
      </c>
      <c r="P271" s="12" t="s">
        <v>1420</v>
      </c>
      <c r="Q271" s="12" t="s">
        <v>1420</v>
      </c>
      <c r="R271" s="12" t="s">
        <v>1420</v>
      </c>
      <c r="S271" s="12" t="s">
        <v>1414</v>
      </c>
      <c r="T271" s="12" t="s">
        <v>1420</v>
      </c>
      <c r="U271" s="12" t="s">
        <v>1420</v>
      </c>
      <c r="V271" s="12" t="s">
        <v>1420</v>
      </c>
      <c r="W271" s="12" t="s">
        <v>1420</v>
      </c>
      <c r="X271" s="12" t="s">
        <v>1414</v>
      </c>
      <c r="Y271" s="12" t="s">
        <v>1420</v>
      </c>
      <c r="Z271" s="12" t="s">
        <v>1420</v>
      </c>
      <c r="AA271" s="12" t="s">
        <v>1420</v>
      </c>
      <c r="AB271" s="12" t="s">
        <v>1420</v>
      </c>
      <c r="AC271" s="12" t="s">
        <v>1420</v>
      </c>
      <c r="AD271" s="12" t="s">
        <v>1420</v>
      </c>
      <c r="AE271" s="12" t="s">
        <v>1420</v>
      </c>
      <c r="AF271" s="12" t="s">
        <v>1420</v>
      </c>
      <c r="AG271" s="12" t="s">
        <v>1420</v>
      </c>
    </row>
    <row r="272" spans="1:33" ht="14.4" x14ac:dyDescent="0.3">
      <c r="A272" s="12" t="s">
        <v>8</v>
      </c>
      <c r="B272" s="12" t="s">
        <v>79</v>
      </c>
      <c r="C272" s="12" t="s">
        <v>828</v>
      </c>
      <c r="D272" s="12" t="s">
        <v>1410</v>
      </c>
      <c r="E272" s="12" t="s">
        <v>2613</v>
      </c>
      <c r="F272" s="12" t="s">
        <v>2614</v>
      </c>
      <c r="G272" s="12" t="s">
        <v>2615</v>
      </c>
      <c r="H272" s="12" t="s">
        <v>1424</v>
      </c>
      <c r="I272" s="12" t="s">
        <v>1420</v>
      </c>
      <c r="J272" s="12" t="s">
        <v>1420</v>
      </c>
      <c r="K272" s="12" t="s">
        <v>1420</v>
      </c>
      <c r="L272" s="12" t="s">
        <v>1420</v>
      </c>
      <c r="M272" s="12" t="s">
        <v>1420</v>
      </c>
      <c r="N272" s="12" t="s">
        <v>1420</v>
      </c>
      <c r="O272" s="12" t="s">
        <v>1420</v>
      </c>
      <c r="P272" s="12" t="s">
        <v>1420</v>
      </c>
      <c r="Q272" s="12" t="s">
        <v>1420</v>
      </c>
      <c r="R272" s="12" t="s">
        <v>1420</v>
      </c>
      <c r="S272" s="12" t="s">
        <v>1414</v>
      </c>
      <c r="T272" s="12" t="s">
        <v>1420</v>
      </c>
      <c r="U272" s="12" t="s">
        <v>1420</v>
      </c>
      <c r="V272" s="12" t="s">
        <v>1420</v>
      </c>
      <c r="W272" s="12" t="s">
        <v>1420</v>
      </c>
      <c r="X272" s="12" t="s">
        <v>1414</v>
      </c>
      <c r="Y272" s="12" t="s">
        <v>1420</v>
      </c>
      <c r="Z272" s="12" t="s">
        <v>1420</v>
      </c>
      <c r="AA272" s="12" t="s">
        <v>1420</v>
      </c>
      <c r="AB272" s="12" t="s">
        <v>1420</v>
      </c>
      <c r="AC272" s="12" t="s">
        <v>1414</v>
      </c>
      <c r="AD272" s="12" t="s">
        <v>1420</v>
      </c>
      <c r="AE272" s="12" t="s">
        <v>1420</v>
      </c>
      <c r="AF272" s="12" t="s">
        <v>1420</v>
      </c>
      <c r="AG272" s="12" t="s">
        <v>1420</v>
      </c>
    </row>
    <row r="273" spans="1:33" ht="14.4" x14ac:dyDescent="0.3">
      <c r="A273" s="12" t="s">
        <v>337</v>
      </c>
      <c r="B273" s="12" t="s">
        <v>79</v>
      </c>
      <c r="C273" s="12" t="s">
        <v>829</v>
      </c>
      <c r="D273" s="12" t="s">
        <v>1410</v>
      </c>
      <c r="E273" s="12" t="s">
        <v>2762</v>
      </c>
      <c r="F273" s="12" t="s">
        <v>2763</v>
      </c>
      <c r="G273" s="12" t="s">
        <v>2764</v>
      </c>
      <c r="H273" s="12" t="s">
        <v>1424</v>
      </c>
      <c r="I273" s="12" t="s">
        <v>1420</v>
      </c>
      <c r="J273" s="12" t="s">
        <v>1420</v>
      </c>
      <c r="K273" s="12" t="s">
        <v>1420</v>
      </c>
      <c r="L273" s="12" t="s">
        <v>1420</v>
      </c>
      <c r="M273" s="12" t="s">
        <v>1420</v>
      </c>
      <c r="N273" s="12" t="s">
        <v>1420</v>
      </c>
      <c r="O273" s="12" t="s">
        <v>1420</v>
      </c>
      <c r="P273" s="12" t="s">
        <v>1420</v>
      </c>
      <c r="Q273" s="12" t="s">
        <v>1420</v>
      </c>
      <c r="R273" s="12" t="s">
        <v>1420</v>
      </c>
      <c r="S273" s="12" t="s">
        <v>1420</v>
      </c>
      <c r="T273" s="12" t="s">
        <v>1414</v>
      </c>
      <c r="U273" s="12" t="s">
        <v>1420</v>
      </c>
      <c r="V273" s="12" t="s">
        <v>1420</v>
      </c>
      <c r="W273" s="12" t="s">
        <v>1414</v>
      </c>
      <c r="X273" s="12" t="s">
        <v>1420</v>
      </c>
      <c r="Y273" s="12" t="s">
        <v>1420</v>
      </c>
      <c r="Z273" s="12" t="s">
        <v>1420</v>
      </c>
      <c r="AA273" s="12" t="s">
        <v>1420</v>
      </c>
      <c r="AB273" s="12" t="s">
        <v>1420</v>
      </c>
      <c r="AC273" s="12" t="s">
        <v>1414</v>
      </c>
      <c r="AD273" s="12" t="s">
        <v>1420</v>
      </c>
      <c r="AE273" s="12" t="s">
        <v>1420</v>
      </c>
      <c r="AF273" s="12" t="s">
        <v>1420</v>
      </c>
      <c r="AG273" s="12" t="s">
        <v>1420</v>
      </c>
    </row>
    <row r="274" spans="1:33" ht="14.4" x14ac:dyDescent="0.3">
      <c r="A274" s="12" t="s">
        <v>49</v>
      </c>
      <c r="B274" s="12" t="s">
        <v>79</v>
      </c>
      <c r="C274" s="12" t="s">
        <v>1052</v>
      </c>
      <c r="D274" s="12" t="s">
        <v>1410</v>
      </c>
      <c r="E274" s="12" t="s">
        <v>2965</v>
      </c>
      <c r="F274" s="12" t="s">
        <v>2966</v>
      </c>
      <c r="G274" s="12" t="s">
        <v>2144</v>
      </c>
      <c r="H274" s="12" t="s">
        <v>1419</v>
      </c>
      <c r="I274" s="12" t="s">
        <v>1420</v>
      </c>
      <c r="J274" s="12" t="s">
        <v>1420</v>
      </c>
      <c r="K274" s="12" t="s">
        <v>1420</v>
      </c>
      <c r="L274" s="12" t="s">
        <v>1420</v>
      </c>
      <c r="M274" s="12" t="s">
        <v>1420</v>
      </c>
      <c r="N274" s="12" t="s">
        <v>1420</v>
      </c>
      <c r="O274" s="12" t="s">
        <v>1420</v>
      </c>
      <c r="P274" s="12" t="s">
        <v>1420</v>
      </c>
      <c r="Q274" s="12" t="s">
        <v>1420</v>
      </c>
      <c r="R274" s="12" t="s">
        <v>1420</v>
      </c>
      <c r="S274" s="12" t="s">
        <v>1414</v>
      </c>
      <c r="T274" s="12" t="s">
        <v>1420</v>
      </c>
      <c r="U274" s="12" t="s">
        <v>1420</v>
      </c>
      <c r="V274" s="12" t="s">
        <v>1420</v>
      </c>
      <c r="W274" s="12" t="s">
        <v>1420</v>
      </c>
      <c r="X274" s="12" t="s">
        <v>1420</v>
      </c>
      <c r="Y274" s="12" t="s">
        <v>1420</v>
      </c>
      <c r="Z274" s="12" t="s">
        <v>1420</v>
      </c>
      <c r="AA274" s="12" t="s">
        <v>1420</v>
      </c>
      <c r="AB274" s="12" t="s">
        <v>1420</v>
      </c>
      <c r="AC274" s="12" t="s">
        <v>1414</v>
      </c>
      <c r="AD274" s="12" t="s">
        <v>1420</v>
      </c>
      <c r="AE274" s="12" t="s">
        <v>1420</v>
      </c>
      <c r="AF274" s="12" t="s">
        <v>1420</v>
      </c>
      <c r="AG274" s="12" t="s">
        <v>1420</v>
      </c>
    </row>
    <row r="275" spans="1:33" ht="14.4" x14ac:dyDescent="0.3">
      <c r="A275" s="12" t="s">
        <v>80</v>
      </c>
      <c r="B275" s="12" t="s">
        <v>324</v>
      </c>
      <c r="C275" s="12" t="s">
        <v>323</v>
      </c>
      <c r="D275" s="12" t="s">
        <v>1410</v>
      </c>
      <c r="E275" s="12" t="s">
        <v>1822</v>
      </c>
      <c r="F275" s="12" t="s">
        <v>1823</v>
      </c>
      <c r="G275" s="12" t="s">
        <v>1824</v>
      </c>
      <c r="H275" s="12" t="s">
        <v>1448</v>
      </c>
      <c r="I275" s="12" t="s">
        <v>1420</v>
      </c>
      <c r="J275" s="12" t="s">
        <v>1420</v>
      </c>
      <c r="K275" s="12" t="s">
        <v>1420</v>
      </c>
      <c r="L275" s="12" t="s">
        <v>1420</v>
      </c>
      <c r="M275" s="12" t="s">
        <v>1420</v>
      </c>
      <c r="N275" s="12" t="s">
        <v>1414</v>
      </c>
      <c r="O275" s="12" t="s">
        <v>1414</v>
      </c>
      <c r="P275" s="12" t="s">
        <v>1414</v>
      </c>
      <c r="Q275" s="12" t="s">
        <v>1420</v>
      </c>
      <c r="R275" s="12" t="s">
        <v>1420</v>
      </c>
      <c r="S275" s="12" t="s">
        <v>1420</v>
      </c>
      <c r="T275" s="12" t="s">
        <v>1420</v>
      </c>
      <c r="U275" s="12" t="s">
        <v>1420</v>
      </c>
      <c r="V275" s="12" t="s">
        <v>1420</v>
      </c>
      <c r="W275" s="12" t="s">
        <v>1420</v>
      </c>
      <c r="X275" s="12" t="s">
        <v>1414</v>
      </c>
      <c r="Y275" s="12" t="s">
        <v>1420</v>
      </c>
      <c r="Z275" s="12" t="s">
        <v>1420</v>
      </c>
      <c r="AA275" s="12" t="s">
        <v>1420</v>
      </c>
      <c r="AB275" s="12" t="s">
        <v>1420</v>
      </c>
      <c r="AC275" s="12" t="s">
        <v>1414</v>
      </c>
      <c r="AD275" s="12" t="s">
        <v>1420</v>
      </c>
      <c r="AE275" s="12" t="s">
        <v>1420</v>
      </c>
      <c r="AF275" s="12" t="s">
        <v>1420</v>
      </c>
      <c r="AG275" s="12" t="s">
        <v>1420</v>
      </c>
    </row>
    <row r="276" spans="1:33" ht="14.4" x14ac:dyDescent="0.3">
      <c r="A276" s="12" t="s">
        <v>84</v>
      </c>
      <c r="B276" s="12" t="s">
        <v>83</v>
      </c>
      <c r="C276" s="12" t="s">
        <v>82</v>
      </c>
      <c r="D276" s="12" t="s">
        <v>1410</v>
      </c>
      <c r="E276" s="12" t="s">
        <v>2096</v>
      </c>
      <c r="F276" s="12" t="s">
        <v>2151</v>
      </c>
      <c r="G276" s="12" t="s">
        <v>2163</v>
      </c>
      <c r="H276" s="12" t="s">
        <v>1452</v>
      </c>
      <c r="I276" s="12" t="s">
        <v>1420</v>
      </c>
      <c r="J276" s="12" t="s">
        <v>1420</v>
      </c>
      <c r="K276" s="12" t="s">
        <v>1420</v>
      </c>
      <c r="L276" s="12" t="s">
        <v>1420</v>
      </c>
      <c r="M276" s="12" t="s">
        <v>1420</v>
      </c>
      <c r="N276" s="12" t="s">
        <v>1420</v>
      </c>
      <c r="O276" s="12" t="s">
        <v>1420</v>
      </c>
      <c r="P276" s="12" t="s">
        <v>1420</v>
      </c>
      <c r="Q276" s="12" t="s">
        <v>1420</v>
      </c>
      <c r="R276" s="12" t="s">
        <v>1420</v>
      </c>
      <c r="S276" s="12" t="s">
        <v>1420</v>
      </c>
      <c r="T276" s="12" t="s">
        <v>1420</v>
      </c>
      <c r="U276" s="12" t="s">
        <v>1420</v>
      </c>
      <c r="V276" s="12" t="s">
        <v>1420</v>
      </c>
      <c r="W276" s="12" t="s">
        <v>1420</v>
      </c>
      <c r="X276" s="12" t="s">
        <v>1414</v>
      </c>
      <c r="Y276" s="12" t="s">
        <v>1420</v>
      </c>
      <c r="Z276" s="12" t="s">
        <v>1420</v>
      </c>
      <c r="AA276" s="12" t="s">
        <v>1420</v>
      </c>
      <c r="AB276" s="12" t="s">
        <v>1420</v>
      </c>
      <c r="AC276" s="12" t="s">
        <v>1420</v>
      </c>
      <c r="AD276" s="12" t="s">
        <v>1420</v>
      </c>
      <c r="AE276" s="12" t="s">
        <v>1420</v>
      </c>
      <c r="AF276" s="12" t="s">
        <v>1420</v>
      </c>
      <c r="AG276" s="12" t="s">
        <v>1420</v>
      </c>
    </row>
    <row r="277" spans="1:33" ht="14.4" x14ac:dyDescent="0.3">
      <c r="A277" s="12" t="s">
        <v>42</v>
      </c>
      <c r="B277" s="12" t="s">
        <v>530</v>
      </c>
      <c r="C277" s="12" t="s">
        <v>529</v>
      </c>
      <c r="D277" s="12" t="s">
        <v>1456</v>
      </c>
      <c r="E277" s="12" t="s">
        <v>1778</v>
      </c>
      <c r="F277" s="12" t="s">
        <v>1415</v>
      </c>
      <c r="G277" s="12" t="s">
        <v>1415</v>
      </c>
      <c r="H277" s="12" t="s">
        <v>1415</v>
      </c>
      <c r="I277" s="12" t="s">
        <v>1415</v>
      </c>
      <c r="J277" s="12" t="s">
        <v>1415</v>
      </c>
      <c r="K277" s="12" t="s">
        <v>1415</v>
      </c>
      <c r="L277" s="12" t="s">
        <v>1415</v>
      </c>
      <c r="M277" s="12" t="s">
        <v>1415</v>
      </c>
      <c r="N277" s="12" t="s">
        <v>1415</v>
      </c>
      <c r="O277" s="12" t="s">
        <v>1415</v>
      </c>
      <c r="P277" s="12" t="s">
        <v>1415</v>
      </c>
      <c r="Q277" s="12" t="s">
        <v>1415</v>
      </c>
      <c r="R277" s="12" t="s">
        <v>1415</v>
      </c>
      <c r="S277" s="12" t="s">
        <v>1415</v>
      </c>
      <c r="T277" s="12" t="s">
        <v>1415</v>
      </c>
      <c r="U277" s="12" t="s">
        <v>1415</v>
      </c>
      <c r="V277" s="12" t="s">
        <v>1415</v>
      </c>
      <c r="W277" s="12" t="s">
        <v>1415</v>
      </c>
      <c r="X277" s="12" t="s">
        <v>1415</v>
      </c>
      <c r="Y277" s="12" t="s">
        <v>1415</v>
      </c>
      <c r="Z277" s="12" t="s">
        <v>1415</v>
      </c>
      <c r="AA277" s="12" t="s">
        <v>1415</v>
      </c>
      <c r="AB277" s="12" t="s">
        <v>1415</v>
      </c>
      <c r="AC277" s="12" t="s">
        <v>1415</v>
      </c>
      <c r="AD277" s="12" t="s">
        <v>1415</v>
      </c>
      <c r="AE277" s="12" t="s">
        <v>1415</v>
      </c>
      <c r="AF277" s="12" t="s">
        <v>1415</v>
      </c>
      <c r="AG277" s="12" t="s">
        <v>1415</v>
      </c>
    </row>
    <row r="278" spans="1:33" ht="14.4" x14ac:dyDescent="0.3">
      <c r="A278" s="12" t="s">
        <v>123</v>
      </c>
      <c r="B278" s="12" t="s">
        <v>530</v>
      </c>
      <c r="C278" s="12" t="s">
        <v>1086</v>
      </c>
      <c r="D278" s="12" t="s">
        <v>1410</v>
      </c>
      <c r="E278" s="12" t="s">
        <v>1862</v>
      </c>
      <c r="F278" s="12" t="s">
        <v>1865</v>
      </c>
      <c r="G278" s="12" t="s">
        <v>1866</v>
      </c>
      <c r="H278" s="12" t="s">
        <v>1428</v>
      </c>
      <c r="I278" s="12" t="s">
        <v>1420</v>
      </c>
      <c r="J278" s="12" t="s">
        <v>1420</v>
      </c>
      <c r="K278" s="12" t="s">
        <v>1420</v>
      </c>
      <c r="L278" s="12" t="s">
        <v>1420</v>
      </c>
      <c r="M278" s="12" t="s">
        <v>1420</v>
      </c>
      <c r="N278" s="12" t="s">
        <v>1414</v>
      </c>
      <c r="O278" s="12" t="s">
        <v>1420</v>
      </c>
      <c r="P278" s="12" t="s">
        <v>1420</v>
      </c>
      <c r="Q278" s="12" t="s">
        <v>1420</v>
      </c>
      <c r="R278" s="12" t="s">
        <v>1420</v>
      </c>
      <c r="S278" s="12" t="s">
        <v>1414</v>
      </c>
      <c r="T278" s="12" t="s">
        <v>1414</v>
      </c>
      <c r="U278" s="12" t="s">
        <v>1420</v>
      </c>
      <c r="V278" s="12" t="s">
        <v>1420</v>
      </c>
      <c r="W278" s="12" t="s">
        <v>1420</v>
      </c>
      <c r="X278" s="12" t="s">
        <v>1414</v>
      </c>
      <c r="Y278" s="12" t="s">
        <v>1420</v>
      </c>
      <c r="Z278" s="12" t="s">
        <v>1420</v>
      </c>
      <c r="AA278" s="12" t="s">
        <v>1420</v>
      </c>
      <c r="AB278" s="12" t="s">
        <v>1420</v>
      </c>
      <c r="AC278" s="12" t="s">
        <v>1420</v>
      </c>
      <c r="AD278" s="12" t="s">
        <v>1420</v>
      </c>
      <c r="AE278" s="12" t="s">
        <v>1414</v>
      </c>
      <c r="AF278" s="12" t="s">
        <v>1414</v>
      </c>
      <c r="AG278" s="12" t="s">
        <v>1414</v>
      </c>
    </row>
    <row r="279" spans="1:33" ht="14.4" x14ac:dyDescent="0.3">
      <c r="A279" s="12" t="s">
        <v>55</v>
      </c>
      <c r="B279" s="12" t="s">
        <v>831</v>
      </c>
      <c r="C279" s="12" t="s">
        <v>830</v>
      </c>
      <c r="D279" s="12" t="s">
        <v>1410</v>
      </c>
      <c r="E279" s="12" t="s">
        <v>2796</v>
      </c>
      <c r="F279" s="12" t="s">
        <v>2797</v>
      </c>
      <c r="G279" s="12" t="s">
        <v>2798</v>
      </c>
      <c r="H279" s="12" t="s">
        <v>1599</v>
      </c>
      <c r="I279" s="12" t="s">
        <v>1420</v>
      </c>
      <c r="J279" s="12" t="s">
        <v>1414</v>
      </c>
      <c r="K279" s="12" t="s">
        <v>1414</v>
      </c>
      <c r="L279" s="12" t="s">
        <v>1414</v>
      </c>
      <c r="M279" s="12" t="s">
        <v>1420</v>
      </c>
      <c r="N279" s="12" t="s">
        <v>1414</v>
      </c>
      <c r="O279" s="12" t="s">
        <v>1420</v>
      </c>
      <c r="P279" s="12" t="s">
        <v>1414</v>
      </c>
      <c r="Q279" s="12" t="s">
        <v>1414</v>
      </c>
      <c r="R279" s="12" t="s">
        <v>1420</v>
      </c>
      <c r="S279" s="12" t="s">
        <v>1414</v>
      </c>
      <c r="T279" s="12" t="s">
        <v>1414</v>
      </c>
      <c r="U279" s="12" t="s">
        <v>1414</v>
      </c>
      <c r="V279" s="12" t="s">
        <v>1414</v>
      </c>
      <c r="W279" s="12" t="s">
        <v>1414</v>
      </c>
      <c r="X279" s="12" t="s">
        <v>1420</v>
      </c>
      <c r="Y279" s="12" t="s">
        <v>1420</v>
      </c>
      <c r="Z279" s="12" t="s">
        <v>1414</v>
      </c>
      <c r="AA279" s="12" t="s">
        <v>1414</v>
      </c>
      <c r="AB279" s="12" t="s">
        <v>1414</v>
      </c>
      <c r="AC279" s="12" t="s">
        <v>1414</v>
      </c>
      <c r="AD279" s="12" t="s">
        <v>1420</v>
      </c>
      <c r="AE279" s="12" t="s">
        <v>1420</v>
      </c>
      <c r="AF279" s="12" t="s">
        <v>1414</v>
      </c>
      <c r="AG279" s="12" t="s">
        <v>1414</v>
      </c>
    </row>
    <row r="280" spans="1:33" ht="14.4" x14ac:dyDescent="0.3">
      <c r="A280" s="12" t="s">
        <v>31</v>
      </c>
      <c r="B280" s="12" t="s">
        <v>1088</v>
      </c>
      <c r="C280" s="12" t="s">
        <v>1087</v>
      </c>
      <c r="D280" s="12" t="s">
        <v>1410</v>
      </c>
      <c r="E280" s="12" t="s">
        <v>1432</v>
      </c>
      <c r="F280" s="12" t="s">
        <v>1433</v>
      </c>
      <c r="G280" s="12" t="s">
        <v>1434</v>
      </c>
      <c r="H280" s="12" t="s">
        <v>1419</v>
      </c>
      <c r="I280" s="12" t="s">
        <v>1420</v>
      </c>
      <c r="J280" s="12" t="s">
        <v>1420</v>
      </c>
      <c r="K280" s="12" t="s">
        <v>1420</v>
      </c>
      <c r="L280" s="12" t="s">
        <v>1420</v>
      </c>
      <c r="M280" s="12" t="s">
        <v>1420</v>
      </c>
      <c r="N280" s="12" t="s">
        <v>1420</v>
      </c>
      <c r="O280" s="12" t="s">
        <v>1420</v>
      </c>
      <c r="P280" s="12" t="s">
        <v>1420</v>
      </c>
      <c r="Q280" s="12" t="s">
        <v>1420</v>
      </c>
      <c r="R280" s="12" t="s">
        <v>1420</v>
      </c>
      <c r="S280" s="12" t="s">
        <v>1420</v>
      </c>
      <c r="T280" s="12" t="s">
        <v>1420</v>
      </c>
      <c r="U280" s="12" t="s">
        <v>1420</v>
      </c>
      <c r="V280" s="12" t="s">
        <v>1420</v>
      </c>
      <c r="W280" s="12" t="s">
        <v>1420</v>
      </c>
      <c r="X280" s="12" t="s">
        <v>1420</v>
      </c>
      <c r="Y280" s="12" t="s">
        <v>1420</v>
      </c>
      <c r="Z280" s="12" t="s">
        <v>1420</v>
      </c>
      <c r="AA280" s="12" t="s">
        <v>1420</v>
      </c>
      <c r="AB280" s="12" t="s">
        <v>1414</v>
      </c>
      <c r="AC280" s="12" t="s">
        <v>1420</v>
      </c>
      <c r="AD280" s="12" t="s">
        <v>1420</v>
      </c>
      <c r="AE280" s="12" t="s">
        <v>1420</v>
      </c>
      <c r="AF280" s="12" t="s">
        <v>1414</v>
      </c>
      <c r="AG280" s="12" t="s">
        <v>1420</v>
      </c>
    </row>
    <row r="281" spans="1:33" ht="14.4" x14ac:dyDescent="0.3">
      <c r="A281" s="12" t="s">
        <v>11</v>
      </c>
      <c r="B281" s="12" t="s">
        <v>5636</v>
      </c>
      <c r="C281" s="12" t="s">
        <v>5637</v>
      </c>
      <c r="D281" s="12" t="s">
        <v>1410</v>
      </c>
      <c r="E281" s="12" t="s">
        <v>5638</v>
      </c>
      <c r="F281" s="12" t="s">
        <v>5639</v>
      </c>
      <c r="G281" s="12" t="s">
        <v>1595</v>
      </c>
      <c r="H281" s="12" t="s">
        <v>1424</v>
      </c>
      <c r="I281" s="12" t="s">
        <v>1420</v>
      </c>
      <c r="J281" s="12" t="s">
        <v>1420</v>
      </c>
      <c r="K281" s="12" t="s">
        <v>1420</v>
      </c>
      <c r="L281" s="12" t="s">
        <v>1420</v>
      </c>
      <c r="M281" s="12" t="s">
        <v>1420</v>
      </c>
      <c r="N281" s="12" t="s">
        <v>1420</v>
      </c>
      <c r="O281" s="12" t="s">
        <v>1414</v>
      </c>
      <c r="P281" s="12" t="s">
        <v>1420</v>
      </c>
      <c r="Q281" s="12" t="s">
        <v>1420</v>
      </c>
      <c r="R281" s="12" t="s">
        <v>1420</v>
      </c>
      <c r="S281" s="12" t="s">
        <v>1420</v>
      </c>
      <c r="T281" s="12" t="s">
        <v>1420</v>
      </c>
      <c r="U281" s="12" t="s">
        <v>1420</v>
      </c>
      <c r="V281" s="12" t="s">
        <v>1420</v>
      </c>
      <c r="W281" s="12" t="s">
        <v>1420</v>
      </c>
      <c r="X281" s="12" t="s">
        <v>1420</v>
      </c>
      <c r="Y281" s="12" t="s">
        <v>1414</v>
      </c>
      <c r="Z281" s="12" t="s">
        <v>1420</v>
      </c>
      <c r="AA281" s="12" t="s">
        <v>1420</v>
      </c>
      <c r="AB281" s="12" t="s">
        <v>1420</v>
      </c>
      <c r="AC281" s="12" t="s">
        <v>1420</v>
      </c>
      <c r="AD281" s="12" t="s">
        <v>1414</v>
      </c>
      <c r="AE281" s="12" t="s">
        <v>1420</v>
      </c>
      <c r="AF281" s="12" t="s">
        <v>1420</v>
      </c>
      <c r="AG281" s="12" t="s">
        <v>1420</v>
      </c>
    </row>
    <row r="282" spans="1:33" ht="14.4" x14ac:dyDescent="0.3">
      <c r="A282" s="12" t="s">
        <v>49</v>
      </c>
      <c r="B282" s="12" t="s">
        <v>833</v>
      </c>
      <c r="C282" s="12" t="s">
        <v>832</v>
      </c>
      <c r="D282" s="12" t="s">
        <v>1410</v>
      </c>
      <c r="E282" s="12" t="s">
        <v>2647</v>
      </c>
      <c r="F282" s="12" t="s">
        <v>2648</v>
      </c>
      <c r="G282" s="12" t="s">
        <v>2649</v>
      </c>
      <c r="H282" s="12" t="s">
        <v>1419</v>
      </c>
      <c r="I282" s="12" t="s">
        <v>1420</v>
      </c>
      <c r="J282" s="12" t="s">
        <v>1420</v>
      </c>
      <c r="K282" s="12" t="s">
        <v>1420</v>
      </c>
      <c r="L282" s="12" t="s">
        <v>1420</v>
      </c>
      <c r="M282" s="12" t="s">
        <v>1420</v>
      </c>
      <c r="N282" s="12" t="s">
        <v>1420</v>
      </c>
      <c r="O282" s="12" t="s">
        <v>1420</v>
      </c>
      <c r="P282" s="12" t="s">
        <v>1420</v>
      </c>
      <c r="Q282" s="12" t="s">
        <v>1420</v>
      </c>
      <c r="R282" s="12" t="s">
        <v>1420</v>
      </c>
      <c r="S282" s="12" t="s">
        <v>1414</v>
      </c>
      <c r="T282" s="12" t="s">
        <v>1420</v>
      </c>
      <c r="U282" s="12" t="s">
        <v>1420</v>
      </c>
      <c r="V282" s="12" t="s">
        <v>1420</v>
      </c>
      <c r="W282" s="12" t="s">
        <v>1420</v>
      </c>
      <c r="X282" s="12" t="s">
        <v>1414</v>
      </c>
      <c r="Y282" s="12" t="s">
        <v>1420</v>
      </c>
      <c r="Z282" s="12" t="s">
        <v>1420</v>
      </c>
      <c r="AA282" s="12" t="s">
        <v>1420</v>
      </c>
      <c r="AB282" s="12" t="s">
        <v>1420</v>
      </c>
      <c r="AC282" s="12" t="s">
        <v>1420</v>
      </c>
      <c r="AD282" s="12" t="s">
        <v>1420</v>
      </c>
      <c r="AE282" s="12" t="s">
        <v>1420</v>
      </c>
      <c r="AF282" s="12" t="s">
        <v>1420</v>
      </c>
      <c r="AG282" s="12" t="s">
        <v>1420</v>
      </c>
    </row>
    <row r="283" spans="1:33" ht="14.4" x14ac:dyDescent="0.3">
      <c r="A283" s="12" t="s">
        <v>28</v>
      </c>
      <c r="B283" s="12" t="s">
        <v>1189</v>
      </c>
      <c r="C283" s="12" t="s">
        <v>1188</v>
      </c>
      <c r="D283" s="12" t="s">
        <v>1410</v>
      </c>
      <c r="E283" s="12" t="s">
        <v>3032</v>
      </c>
      <c r="F283" s="12" t="s">
        <v>3034</v>
      </c>
      <c r="G283" s="12" t="s">
        <v>2094</v>
      </c>
      <c r="H283" s="12" t="s">
        <v>1464</v>
      </c>
      <c r="I283" s="12" t="s">
        <v>1420</v>
      </c>
      <c r="J283" s="12" t="s">
        <v>1420</v>
      </c>
      <c r="K283" s="12" t="s">
        <v>1420</v>
      </c>
      <c r="L283" s="12" t="s">
        <v>1420</v>
      </c>
      <c r="M283" s="12" t="s">
        <v>1420</v>
      </c>
      <c r="N283" s="12" t="s">
        <v>1420</v>
      </c>
      <c r="O283" s="12" t="s">
        <v>1420</v>
      </c>
      <c r="P283" s="12" t="s">
        <v>1420</v>
      </c>
      <c r="Q283" s="12" t="s">
        <v>1420</v>
      </c>
      <c r="R283" s="12" t="s">
        <v>1420</v>
      </c>
      <c r="S283" s="12" t="s">
        <v>1420</v>
      </c>
      <c r="T283" s="12" t="s">
        <v>1420</v>
      </c>
      <c r="U283" s="12" t="s">
        <v>1420</v>
      </c>
      <c r="V283" s="12" t="s">
        <v>1420</v>
      </c>
      <c r="W283" s="12" t="s">
        <v>1420</v>
      </c>
      <c r="X283" s="12" t="s">
        <v>1420</v>
      </c>
      <c r="Y283" s="12" t="s">
        <v>1420</v>
      </c>
      <c r="Z283" s="12" t="s">
        <v>1420</v>
      </c>
      <c r="AA283" s="12" t="s">
        <v>1420</v>
      </c>
      <c r="AB283" s="12" t="s">
        <v>1420</v>
      </c>
      <c r="AC283" s="12" t="s">
        <v>1420</v>
      </c>
      <c r="AD283" s="12" t="s">
        <v>1420</v>
      </c>
      <c r="AE283" s="12" t="s">
        <v>1420</v>
      </c>
      <c r="AF283" s="12" t="s">
        <v>1420</v>
      </c>
      <c r="AG283" s="12" t="s">
        <v>1420</v>
      </c>
    </row>
    <row r="284" spans="1:33" ht="14.4" x14ac:dyDescent="0.3">
      <c r="A284" s="12" t="s">
        <v>55</v>
      </c>
      <c r="B284" s="12" t="s">
        <v>86</v>
      </c>
      <c r="C284" s="12" t="s">
        <v>85</v>
      </c>
      <c r="D284" s="12" t="s">
        <v>1410</v>
      </c>
      <c r="E284" s="12" t="s">
        <v>2271</v>
      </c>
      <c r="F284" s="12" t="s">
        <v>2272</v>
      </c>
      <c r="G284" s="12" t="s">
        <v>2273</v>
      </c>
      <c r="H284" s="12" t="s">
        <v>1464</v>
      </c>
      <c r="I284" s="12" t="s">
        <v>1420</v>
      </c>
      <c r="J284" s="12" t="s">
        <v>1420</v>
      </c>
      <c r="K284" s="12" t="s">
        <v>1420</v>
      </c>
      <c r="L284" s="12" t="s">
        <v>1420</v>
      </c>
      <c r="M284" s="12" t="s">
        <v>1420</v>
      </c>
      <c r="N284" s="12" t="s">
        <v>1420</v>
      </c>
      <c r="O284" s="12" t="s">
        <v>1420</v>
      </c>
      <c r="P284" s="12" t="s">
        <v>1420</v>
      </c>
      <c r="Q284" s="12" t="s">
        <v>1420</v>
      </c>
      <c r="R284" s="12" t="s">
        <v>1420</v>
      </c>
      <c r="S284" s="12" t="s">
        <v>1420</v>
      </c>
      <c r="T284" s="12" t="s">
        <v>1420</v>
      </c>
      <c r="U284" s="12" t="s">
        <v>1420</v>
      </c>
      <c r="V284" s="12" t="s">
        <v>1420</v>
      </c>
      <c r="W284" s="12" t="s">
        <v>1420</v>
      </c>
      <c r="X284" s="12" t="s">
        <v>1420</v>
      </c>
      <c r="Y284" s="12" t="s">
        <v>1420</v>
      </c>
      <c r="Z284" s="12" t="s">
        <v>1420</v>
      </c>
      <c r="AA284" s="12" t="s">
        <v>1420</v>
      </c>
      <c r="AB284" s="12" t="s">
        <v>1420</v>
      </c>
      <c r="AC284" s="12" t="s">
        <v>1420</v>
      </c>
      <c r="AD284" s="12" t="s">
        <v>1420</v>
      </c>
      <c r="AE284" s="12" t="s">
        <v>1420</v>
      </c>
      <c r="AF284" s="12" t="s">
        <v>1420</v>
      </c>
      <c r="AG284" s="12" t="s">
        <v>1420</v>
      </c>
    </row>
    <row r="285" spans="1:33" ht="14.4" x14ac:dyDescent="0.3">
      <c r="A285" s="12" t="s">
        <v>836</v>
      </c>
      <c r="B285" s="12" t="s">
        <v>835</v>
      </c>
      <c r="C285" s="12" t="s">
        <v>834</v>
      </c>
      <c r="D285" s="12" t="s">
        <v>1410</v>
      </c>
      <c r="E285" s="12" t="s">
        <v>2637</v>
      </c>
      <c r="F285" s="12" t="s">
        <v>2638</v>
      </c>
      <c r="G285" s="12" t="s">
        <v>2639</v>
      </c>
      <c r="H285" s="12" t="s">
        <v>1464</v>
      </c>
      <c r="I285" s="12" t="s">
        <v>1420</v>
      </c>
      <c r="J285" s="12" t="s">
        <v>1420</v>
      </c>
      <c r="K285" s="12" t="s">
        <v>1420</v>
      </c>
      <c r="L285" s="12" t="s">
        <v>1420</v>
      </c>
      <c r="M285" s="12" t="s">
        <v>1420</v>
      </c>
      <c r="N285" s="12" t="s">
        <v>1420</v>
      </c>
      <c r="O285" s="12" t="s">
        <v>1420</v>
      </c>
      <c r="P285" s="12" t="s">
        <v>1420</v>
      </c>
      <c r="Q285" s="12" t="s">
        <v>1420</v>
      </c>
      <c r="R285" s="12" t="s">
        <v>1420</v>
      </c>
      <c r="S285" s="12" t="s">
        <v>1420</v>
      </c>
      <c r="T285" s="12" t="s">
        <v>1420</v>
      </c>
      <c r="U285" s="12" t="s">
        <v>1420</v>
      </c>
      <c r="V285" s="12" t="s">
        <v>1420</v>
      </c>
      <c r="W285" s="12" t="s">
        <v>1420</v>
      </c>
      <c r="X285" s="12" t="s">
        <v>1420</v>
      </c>
      <c r="Y285" s="12" t="s">
        <v>1420</v>
      </c>
      <c r="Z285" s="12" t="s">
        <v>1420</v>
      </c>
      <c r="AA285" s="12" t="s">
        <v>1420</v>
      </c>
      <c r="AB285" s="12" t="s">
        <v>1420</v>
      </c>
      <c r="AC285" s="12" t="s">
        <v>1420</v>
      </c>
      <c r="AD285" s="12" t="s">
        <v>1420</v>
      </c>
      <c r="AE285" s="12" t="s">
        <v>1420</v>
      </c>
      <c r="AF285" s="12" t="s">
        <v>1420</v>
      </c>
      <c r="AG285" s="12" t="s">
        <v>1420</v>
      </c>
    </row>
    <row r="286" spans="1:33" ht="14.4" x14ac:dyDescent="0.3">
      <c r="A286" s="12" t="s">
        <v>8</v>
      </c>
      <c r="B286" s="12" t="s">
        <v>88</v>
      </c>
      <c r="C286" s="12" t="s">
        <v>87</v>
      </c>
      <c r="D286" s="12" t="s">
        <v>1410</v>
      </c>
      <c r="E286" s="12" t="s">
        <v>2118</v>
      </c>
      <c r="F286" s="12" t="s">
        <v>2093</v>
      </c>
      <c r="G286" s="12" t="s">
        <v>1729</v>
      </c>
      <c r="H286" s="12" t="s">
        <v>1438</v>
      </c>
      <c r="I286" s="12" t="s">
        <v>1420</v>
      </c>
      <c r="J286" s="12" t="s">
        <v>1414</v>
      </c>
      <c r="K286" s="12" t="s">
        <v>1420</v>
      </c>
      <c r="L286" s="12" t="s">
        <v>1420</v>
      </c>
      <c r="M286" s="12" t="s">
        <v>1420</v>
      </c>
      <c r="N286" s="12" t="s">
        <v>1420</v>
      </c>
      <c r="O286" s="12" t="s">
        <v>1420</v>
      </c>
      <c r="P286" s="12" t="s">
        <v>1420</v>
      </c>
      <c r="Q286" s="12" t="s">
        <v>1420</v>
      </c>
      <c r="R286" s="12" t="s">
        <v>1414</v>
      </c>
      <c r="S286" s="12" t="s">
        <v>1414</v>
      </c>
      <c r="T286" s="12" t="s">
        <v>1420</v>
      </c>
      <c r="U286" s="12" t="s">
        <v>1414</v>
      </c>
      <c r="V286" s="12" t="s">
        <v>1420</v>
      </c>
      <c r="W286" s="12" t="s">
        <v>1420</v>
      </c>
      <c r="X286" s="12" t="s">
        <v>1420</v>
      </c>
      <c r="Y286" s="12" t="s">
        <v>1420</v>
      </c>
      <c r="Z286" s="12" t="s">
        <v>1414</v>
      </c>
      <c r="AA286" s="12" t="s">
        <v>1420</v>
      </c>
      <c r="AB286" s="12" t="s">
        <v>1420</v>
      </c>
      <c r="AC286" s="12" t="s">
        <v>1420</v>
      </c>
      <c r="AD286" s="12" t="s">
        <v>1420</v>
      </c>
      <c r="AE286" s="12" t="s">
        <v>1420</v>
      </c>
      <c r="AF286" s="12" t="s">
        <v>1420</v>
      </c>
      <c r="AG286" s="12" t="s">
        <v>1414</v>
      </c>
    </row>
    <row r="287" spans="1:33" ht="14.4" x14ac:dyDescent="0.3">
      <c r="A287" s="12" t="s">
        <v>8</v>
      </c>
      <c r="B287" s="12" t="s">
        <v>712</v>
      </c>
      <c r="C287" s="12" t="s">
        <v>711</v>
      </c>
      <c r="D287" s="12" t="s">
        <v>1410</v>
      </c>
      <c r="E287" s="12" t="s">
        <v>3043</v>
      </c>
      <c r="F287" s="12" t="s">
        <v>3050</v>
      </c>
      <c r="G287" s="12" t="s">
        <v>3051</v>
      </c>
      <c r="H287" s="12" t="s">
        <v>1424</v>
      </c>
      <c r="I287" s="12" t="s">
        <v>1420</v>
      </c>
      <c r="J287" s="12" t="s">
        <v>1420</v>
      </c>
      <c r="K287" s="12" t="s">
        <v>1420</v>
      </c>
      <c r="L287" s="12" t="s">
        <v>1420</v>
      </c>
      <c r="M287" s="12" t="s">
        <v>1420</v>
      </c>
      <c r="N287" s="12" t="s">
        <v>1420</v>
      </c>
      <c r="O287" s="12" t="s">
        <v>1420</v>
      </c>
      <c r="P287" s="12" t="s">
        <v>1420</v>
      </c>
      <c r="Q287" s="12" t="s">
        <v>1420</v>
      </c>
      <c r="R287" s="12" t="s">
        <v>1420</v>
      </c>
      <c r="S287" s="12" t="s">
        <v>1420</v>
      </c>
      <c r="T287" s="12" t="s">
        <v>1420</v>
      </c>
      <c r="U287" s="12" t="s">
        <v>1420</v>
      </c>
      <c r="V287" s="12" t="s">
        <v>1420</v>
      </c>
      <c r="W287" s="12" t="s">
        <v>1420</v>
      </c>
      <c r="X287" s="12" t="s">
        <v>1420</v>
      </c>
      <c r="Y287" s="12" t="s">
        <v>1420</v>
      </c>
      <c r="Z287" s="12" t="s">
        <v>1420</v>
      </c>
      <c r="AA287" s="12" t="s">
        <v>1420</v>
      </c>
      <c r="AB287" s="12" t="s">
        <v>1414</v>
      </c>
      <c r="AC287" s="12" t="s">
        <v>1420</v>
      </c>
      <c r="AD287" s="12" t="s">
        <v>1414</v>
      </c>
      <c r="AE287" s="12" t="s">
        <v>1420</v>
      </c>
      <c r="AF287" s="12" t="s">
        <v>1420</v>
      </c>
      <c r="AG287" s="12" t="s">
        <v>1414</v>
      </c>
    </row>
    <row r="288" spans="1:33" ht="14.4" x14ac:dyDescent="0.3">
      <c r="A288" s="12" t="s">
        <v>133</v>
      </c>
      <c r="B288" s="12" t="s">
        <v>327</v>
      </c>
      <c r="C288" s="12" t="s">
        <v>326</v>
      </c>
      <c r="D288" s="12" t="s">
        <v>1410</v>
      </c>
      <c r="E288" s="12" t="s">
        <v>1771</v>
      </c>
      <c r="F288" s="12" t="s">
        <v>1772</v>
      </c>
      <c r="G288" s="12" t="s">
        <v>1773</v>
      </c>
      <c r="H288" s="12" t="s">
        <v>1419</v>
      </c>
      <c r="I288" s="12" t="s">
        <v>1420</v>
      </c>
      <c r="J288" s="12" t="s">
        <v>1420</v>
      </c>
      <c r="K288" s="12" t="s">
        <v>1420</v>
      </c>
      <c r="L288" s="12" t="s">
        <v>1420</v>
      </c>
      <c r="M288" s="12" t="s">
        <v>1420</v>
      </c>
      <c r="N288" s="12" t="s">
        <v>1420</v>
      </c>
      <c r="O288" s="12" t="s">
        <v>1420</v>
      </c>
      <c r="P288" s="12" t="s">
        <v>1420</v>
      </c>
      <c r="Q288" s="12" t="s">
        <v>1420</v>
      </c>
      <c r="R288" s="12" t="s">
        <v>1420</v>
      </c>
      <c r="S288" s="12" t="s">
        <v>1420</v>
      </c>
      <c r="T288" s="12" t="s">
        <v>1420</v>
      </c>
      <c r="U288" s="12" t="s">
        <v>1420</v>
      </c>
      <c r="V288" s="12" t="s">
        <v>1420</v>
      </c>
      <c r="W288" s="12" t="s">
        <v>1420</v>
      </c>
      <c r="X288" s="12" t="s">
        <v>1420</v>
      </c>
      <c r="Y288" s="12" t="s">
        <v>1420</v>
      </c>
      <c r="Z288" s="12" t="s">
        <v>1420</v>
      </c>
      <c r="AA288" s="12" t="s">
        <v>1420</v>
      </c>
      <c r="AB288" s="12" t="s">
        <v>1420</v>
      </c>
      <c r="AC288" s="12" t="s">
        <v>1420</v>
      </c>
      <c r="AD288" s="12" t="s">
        <v>1414</v>
      </c>
      <c r="AE288" s="12" t="s">
        <v>1420</v>
      </c>
      <c r="AF288" s="12" t="s">
        <v>1420</v>
      </c>
      <c r="AG288" s="12" t="s">
        <v>1414</v>
      </c>
    </row>
    <row r="289" spans="1:33" ht="14.4" x14ac:dyDescent="0.3">
      <c r="A289" s="12" t="s">
        <v>8</v>
      </c>
      <c r="B289" s="12" t="s">
        <v>5640</v>
      </c>
      <c r="C289" s="12" t="s">
        <v>5641</v>
      </c>
      <c r="D289" s="12" t="s">
        <v>1410</v>
      </c>
      <c r="E289" s="12" t="s">
        <v>5642</v>
      </c>
      <c r="F289" s="12" t="s">
        <v>5643</v>
      </c>
      <c r="G289" s="12" t="s">
        <v>3220</v>
      </c>
      <c r="H289" s="12" t="s">
        <v>1424</v>
      </c>
      <c r="I289" s="12" t="s">
        <v>1420</v>
      </c>
      <c r="J289" s="12" t="s">
        <v>1420</v>
      </c>
      <c r="K289" s="12" t="s">
        <v>1420</v>
      </c>
      <c r="L289" s="12" t="s">
        <v>1420</v>
      </c>
      <c r="M289" s="12" t="s">
        <v>1420</v>
      </c>
      <c r="N289" s="12" t="s">
        <v>1420</v>
      </c>
      <c r="O289" s="12" t="s">
        <v>1420</v>
      </c>
      <c r="P289" s="12" t="s">
        <v>1420</v>
      </c>
      <c r="Q289" s="12" t="s">
        <v>1420</v>
      </c>
      <c r="R289" s="12" t="s">
        <v>1420</v>
      </c>
      <c r="S289" s="12" t="s">
        <v>1415</v>
      </c>
      <c r="T289" s="12" t="s">
        <v>1420</v>
      </c>
      <c r="U289" s="12" t="s">
        <v>1420</v>
      </c>
      <c r="V289" s="12" t="s">
        <v>1420</v>
      </c>
      <c r="W289" s="12" t="s">
        <v>1414</v>
      </c>
      <c r="X289" s="12" t="s">
        <v>1420</v>
      </c>
      <c r="Y289" s="12" t="s">
        <v>1420</v>
      </c>
      <c r="Z289" s="12" t="s">
        <v>1414</v>
      </c>
      <c r="AA289" s="12" t="s">
        <v>1420</v>
      </c>
      <c r="AB289" s="12" t="s">
        <v>1420</v>
      </c>
      <c r="AC289" s="12" t="s">
        <v>1420</v>
      </c>
      <c r="AD289" s="12" t="s">
        <v>1420</v>
      </c>
      <c r="AE289" s="12" t="s">
        <v>1420</v>
      </c>
      <c r="AF289" s="12" t="s">
        <v>1420</v>
      </c>
      <c r="AG289" s="12" t="s">
        <v>1420</v>
      </c>
    </row>
    <row r="290" spans="1:33" ht="14.4" x14ac:dyDescent="0.3">
      <c r="A290" s="12" t="s">
        <v>19</v>
      </c>
      <c r="B290" s="12" t="s">
        <v>532</v>
      </c>
      <c r="C290" s="12" t="s">
        <v>531</v>
      </c>
      <c r="D290" s="12" t="s">
        <v>1410</v>
      </c>
      <c r="E290" s="12" t="s">
        <v>2658</v>
      </c>
      <c r="F290" s="12" t="s">
        <v>2659</v>
      </c>
      <c r="G290" s="12" t="s">
        <v>1451</v>
      </c>
      <c r="H290" s="12" t="s">
        <v>1419</v>
      </c>
      <c r="I290" s="12" t="s">
        <v>1420</v>
      </c>
      <c r="J290" s="12" t="s">
        <v>1420</v>
      </c>
      <c r="K290" s="12" t="s">
        <v>1420</v>
      </c>
      <c r="L290" s="12" t="s">
        <v>1420</v>
      </c>
      <c r="M290" s="12" t="s">
        <v>1420</v>
      </c>
      <c r="N290" s="12" t="s">
        <v>1414</v>
      </c>
      <c r="O290" s="12" t="s">
        <v>1414</v>
      </c>
      <c r="P290" s="12" t="s">
        <v>1420</v>
      </c>
      <c r="Q290" s="12" t="s">
        <v>1420</v>
      </c>
      <c r="R290" s="12" t="s">
        <v>1420</v>
      </c>
      <c r="S290" s="12" t="s">
        <v>1420</v>
      </c>
      <c r="T290" s="12" t="s">
        <v>1420</v>
      </c>
      <c r="U290" s="12" t="s">
        <v>1420</v>
      </c>
      <c r="V290" s="12" t="s">
        <v>1420</v>
      </c>
      <c r="W290" s="12" t="s">
        <v>1420</v>
      </c>
      <c r="X290" s="12" t="s">
        <v>1420</v>
      </c>
      <c r="Y290" s="12" t="s">
        <v>1420</v>
      </c>
      <c r="Z290" s="12" t="s">
        <v>1420</v>
      </c>
      <c r="AA290" s="12" t="s">
        <v>1420</v>
      </c>
      <c r="AB290" s="12" t="s">
        <v>1420</v>
      </c>
      <c r="AC290" s="12" t="s">
        <v>1420</v>
      </c>
      <c r="AD290" s="12" t="s">
        <v>1420</v>
      </c>
      <c r="AE290" s="12" t="s">
        <v>1420</v>
      </c>
      <c r="AF290" s="12" t="s">
        <v>1420</v>
      </c>
      <c r="AG290" s="12" t="s">
        <v>1420</v>
      </c>
    </row>
    <row r="291" spans="1:33" ht="14.4" x14ac:dyDescent="0.3">
      <c r="A291" s="12" t="s">
        <v>8</v>
      </c>
      <c r="B291" s="12" t="s">
        <v>90</v>
      </c>
      <c r="C291" s="12" t="s">
        <v>89</v>
      </c>
      <c r="D291" s="12" t="s">
        <v>1410</v>
      </c>
      <c r="E291" s="12" t="s">
        <v>2098</v>
      </c>
      <c r="F291" s="12" t="s">
        <v>2093</v>
      </c>
      <c r="G291" s="12" t="s">
        <v>2108</v>
      </c>
      <c r="H291" s="12" t="s">
        <v>1424</v>
      </c>
      <c r="I291" s="12" t="s">
        <v>1420</v>
      </c>
      <c r="J291" s="12" t="s">
        <v>1420</v>
      </c>
      <c r="K291" s="12" t="s">
        <v>1420</v>
      </c>
      <c r="L291" s="12" t="s">
        <v>1420</v>
      </c>
      <c r="M291" s="12" t="s">
        <v>1420</v>
      </c>
      <c r="N291" s="12" t="s">
        <v>1414</v>
      </c>
      <c r="O291" s="12" t="s">
        <v>1414</v>
      </c>
      <c r="P291" s="12" t="s">
        <v>1420</v>
      </c>
      <c r="Q291" s="12" t="s">
        <v>1420</v>
      </c>
      <c r="R291" s="12" t="s">
        <v>1414</v>
      </c>
      <c r="S291" s="12" t="s">
        <v>1420</v>
      </c>
      <c r="T291" s="12" t="s">
        <v>1420</v>
      </c>
      <c r="U291" s="12" t="s">
        <v>1420</v>
      </c>
      <c r="V291" s="12" t="s">
        <v>1420</v>
      </c>
      <c r="W291" s="12" t="s">
        <v>1420</v>
      </c>
      <c r="X291" s="12" t="s">
        <v>1420</v>
      </c>
      <c r="Y291" s="12" t="s">
        <v>1420</v>
      </c>
      <c r="Z291" s="12" t="s">
        <v>1420</v>
      </c>
      <c r="AA291" s="12" t="s">
        <v>1420</v>
      </c>
      <c r="AB291" s="12" t="s">
        <v>1420</v>
      </c>
      <c r="AC291" s="12" t="s">
        <v>1420</v>
      </c>
      <c r="AD291" s="12" t="s">
        <v>1420</v>
      </c>
      <c r="AE291" s="12" t="s">
        <v>1420</v>
      </c>
      <c r="AF291" s="12" t="s">
        <v>1420</v>
      </c>
      <c r="AG291" s="12" t="s">
        <v>1420</v>
      </c>
    </row>
    <row r="292" spans="1:33" ht="14.4" x14ac:dyDescent="0.3">
      <c r="A292" s="12" t="s">
        <v>31</v>
      </c>
      <c r="B292" s="12" t="s">
        <v>1191</v>
      </c>
      <c r="C292" s="12" t="s">
        <v>1190</v>
      </c>
      <c r="D292" s="12" t="s">
        <v>1410</v>
      </c>
      <c r="E292" s="12" t="s">
        <v>3174</v>
      </c>
      <c r="F292" s="12" t="s">
        <v>3175</v>
      </c>
      <c r="G292" s="12" t="s">
        <v>3176</v>
      </c>
      <c r="H292" s="12" t="s">
        <v>1606</v>
      </c>
      <c r="I292" s="12" t="s">
        <v>1420</v>
      </c>
      <c r="J292" s="12" t="s">
        <v>1414</v>
      </c>
      <c r="K292" s="12" t="s">
        <v>1420</v>
      </c>
      <c r="L292" s="12" t="s">
        <v>1414</v>
      </c>
      <c r="M292" s="12" t="s">
        <v>1420</v>
      </c>
      <c r="N292" s="12" t="s">
        <v>1414</v>
      </c>
      <c r="O292" s="12" t="s">
        <v>1414</v>
      </c>
      <c r="P292" s="12" t="s">
        <v>1414</v>
      </c>
      <c r="Q292" s="12" t="s">
        <v>1420</v>
      </c>
      <c r="R292" s="12" t="s">
        <v>1420</v>
      </c>
      <c r="S292" s="12" t="s">
        <v>1420</v>
      </c>
      <c r="T292" s="12" t="s">
        <v>1414</v>
      </c>
      <c r="U292" s="12" t="s">
        <v>1420</v>
      </c>
      <c r="V292" s="12" t="s">
        <v>1420</v>
      </c>
      <c r="W292" s="12" t="s">
        <v>1420</v>
      </c>
      <c r="X292" s="12" t="s">
        <v>1420</v>
      </c>
      <c r="Y292" s="12" t="s">
        <v>1420</v>
      </c>
      <c r="Z292" s="12" t="s">
        <v>1414</v>
      </c>
      <c r="AA292" s="12" t="s">
        <v>1414</v>
      </c>
      <c r="AB292" s="12" t="s">
        <v>1420</v>
      </c>
      <c r="AC292" s="12" t="s">
        <v>1420</v>
      </c>
      <c r="AD292" s="12" t="s">
        <v>1420</v>
      </c>
      <c r="AE292" s="12" t="s">
        <v>1420</v>
      </c>
      <c r="AF292" s="12" t="s">
        <v>1420</v>
      </c>
      <c r="AG292" s="12" t="s">
        <v>1420</v>
      </c>
    </row>
    <row r="293" spans="1:33" ht="14.4" x14ac:dyDescent="0.3">
      <c r="A293" s="12" t="s">
        <v>25</v>
      </c>
      <c r="B293" s="12" t="s">
        <v>1193</v>
      </c>
      <c r="C293" s="12" t="s">
        <v>1192</v>
      </c>
      <c r="D293" s="12" t="s">
        <v>1410</v>
      </c>
      <c r="E293" s="12" t="s">
        <v>2978</v>
      </c>
      <c r="F293" s="12" t="s">
        <v>2979</v>
      </c>
      <c r="G293" s="12" t="s">
        <v>2980</v>
      </c>
      <c r="H293" s="12" t="s">
        <v>1452</v>
      </c>
      <c r="I293" s="12" t="s">
        <v>1420</v>
      </c>
      <c r="J293" s="12" t="s">
        <v>1420</v>
      </c>
      <c r="K293" s="12" t="s">
        <v>1420</v>
      </c>
      <c r="L293" s="12" t="s">
        <v>1420</v>
      </c>
      <c r="M293" s="12" t="s">
        <v>1420</v>
      </c>
      <c r="N293" s="12" t="s">
        <v>1420</v>
      </c>
      <c r="O293" s="12" t="s">
        <v>1420</v>
      </c>
      <c r="P293" s="12" t="s">
        <v>1420</v>
      </c>
      <c r="Q293" s="12" t="s">
        <v>1420</v>
      </c>
      <c r="R293" s="12" t="s">
        <v>1420</v>
      </c>
      <c r="S293" s="12" t="s">
        <v>1420</v>
      </c>
      <c r="T293" s="12" t="s">
        <v>1420</v>
      </c>
      <c r="U293" s="12" t="s">
        <v>1420</v>
      </c>
      <c r="V293" s="12" t="s">
        <v>1420</v>
      </c>
      <c r="W293" s="12" t="s">
        <v>1414</v>
      </c>
      <c r="X293" s="12" t="s">
        <v>1420</v>
      </c>
      <c r="Y293" s="12" t="s">
        <v>1420</v>
      </c>
      <c r="Z293" s="12" t="s">
        <v>1420</v>
      </c>
      <c r="AA293" s="12" t="s">
        <v>1420</v>
      </c>
      <c r="AB293" s="12" t="s">
        <v>1420</v>
      </c>
      <c r="AC293" s="12" t="s">
        <v>1420</v>
      </c>
      <c r="AD293" s="12" t="s">
        <v>1420</v>
      </c>
      <c r="AE293" s="12" t="s">
        <v>1420</v>
      </c>
      <c r="AF293" s="12" t="s">
        <v>1420</v>
      </c>
      <c r="AG293" s="12" t="s">
        <v>1420</v>
      </c>
    </row>
    <row r="294" spans="1:33" ht="14.4" x14ac:dyDescent="0.3">
      <c r="A294" s="12" t="s">
        <v>28</v>
      </c>
      <c r="B294" s="12" t="s">
        <v>5644</v>
      </c>
      <c r="C294" s="12" t="s">
        <v>5645</v>
      </c>
      <c r="D294" s="12" t="s">
        <v>1410</v>
      </c>
      <c r="E294" s="12" t="s">
        <v>5646</v>
      </c>
      <c r="F294" s="12" t="s">
        <v>5647</v>
      </c>
      <c r="G294" s="12" t="s">
        <v>5421</v>
      </c>
      <c r="H294" s="12" t="s">
        <v>1448</v>
      </c>
      <c r="I294" s="12" t="s">
        <v>1420</v>
      </c>
      <c r="J294" s="12" t="s">
        <v>1420</v>
      </c>
      <c r="K294" s="12" t="s">
        <v>1420</v>
      </c>
      <c r="L294" s="12" t="s">
        <v>1420</v>
      </c>
      <c r="M294" s="12" t="s">
        <v>1420</v>
      </c>
      <c r="N294" s="12" t="s">
        <v>1414</v>
      </c>
      <c r="O294" s="12" t="s">
        <v>1420</v>
      </c>
      <c r="P294" s="12" t="s">
        <v>1414</v>
      </c>
      <c r="Q294" s="12" t="s">
        <v>1420</v>
      </c>
      <c r="R294" s="12" t="s">
        <v>1420</v>
      </c>
      <c r="S294" s="12" t="s">
        <v>1420</v>
      </c>
      <c r="T294" s="12" t="s">
        <v>1420</v>
      </c>
      <c r="U294" s="12" t="s">
        <v>1420</v>
      </c>
      <c r="V294" s="12" t="s">
        <v>1414</v>
      </c>
      <c r="W294" s="12" t="s">
        <v>1420</v>
      </c>
      <c r="X294" s="12" t="s">
        <v>1414</v>
      </c>
      <c r="Y294" s="12" t="s">
        <v>1420</v>
      </c>
      <c r="Z294" s="12" t="s">
        <v>1420</v>
      </c>
      <c r="AA294" s="12" t="s">
        <v>1414</v>
      </c>
      <c r="AB294" s="12" t="s">
        <v>1420</v>
      </c>
      <c r="AC294" s="12" t="s">
        <v>1420</v>
      </c>
      <c r="AD294" s="12" t="s">
        <v>1420</v>
      </c>
      <c r="AE294" s="12" t="s">
        <v>1420</v>
      </c>
      <c r="AF294" s="12" t="s">
        <v>1420</v>
      </c>
      <c r="AG294" s="12" t="s">
        <v>1420</v>
      </c>
    </row>
    <row r="295" spans="1:33" ht="14.4" x14ac:dyDescent="0.3">
      <c r="A295" s="12" t="s">
        <v>25</v>
      </c>
      <c r="B295" s="12" t="s">
        <v>838</v>
      </c>
      <c r="C295" s="12" t="s">
        <v>837</v>
      </c>
      <c r="D295" s="12" t="s">
        <v>1410</v>
      </c>
      <c r="E295" s="12" t="s">
        <v>2694</v>
      </c>
      <c r="F295" s="12" t="s">
        <v>2695</v>
      </c>
      <c r="G295" s="12" t="s">
        <v>2696</v>
      </c>
      <c r="H295" s="12" t="s">
        <v>1448</v>
      </c>
      <c r="I295" s="12" t="s">
        <v>1420</v>
      </c>
      <c r="J295" s="12" t="s">
        <v>1420</v>
      </c>
      <c r="K295" s="12" t="s">
        <v>1420</v>
      </c>
      <c r="L295" s="12" t="s">
        <v>1420</v>
      </c>
      <c r="M295" s="12" t="s">
        <v>1420</v>
      </c>
      <c r="N295" s="12" t="s">
        <v>1420</v>
      </c>
      <c r="O295" s="12" t="s">
        <v>1414</v>
      </c>
      <c r="P295" s="12" t="s">
        <v>1420</v>
      </c>
      <c r="Q295" s="12" t="s">
        <v>1420</v>
      </c>
      <c r="R295" s="12" t="s">
        <v>1420</v>
      </c>
      <c r="S295" s="12" t="s">
        <v>1414</v>
      </c>
      <c r="T295" s="12" t="s">
        <v>1420</v>
      </c>
      <c r="U295" s="12" t="s">
        <v>1420</v>
      </c>
      <c r="V295" s="12" t="s">
        <v>1420</v>
      </c>
      <c r="W295" s="12" t="s">
        <v>1420</v>
      </c>
      <c r="X295" s="12" t="s">
        <v>1414</v>
      </c>
      <c r="Y295" s="12" t="s">
        <v>1420</v>
      </c>
      <c r="Z295" s="12" t="s">
        <v>1414</v>
      </c>
      <c r="AA295" s="12" t="s">
        <v>1420</v>
      </c>
      <c r="AB295" s="12" t="s">
        <v>1420</v>
      </c>
      <c r="AC295" s="12" t="s">
        <v>1414</v>
      </c>
      <c r="AD295" s="12" t="s">
        <v>1420</v>
      </c>
      <c r="AE295" s="12" t="s">
        <v>1420</v>
      </c>
      <c r="AF295" s="12" t="s">
        <v>1420</v>
      </c>
      <c r="AG295" s="12" t="s">
        <v>1420</v>
      </c>
    </row>
    <row r="296" spans="1:33" ht="14.4" x14ac:dyDescent="0.3">
      <c r="A296" s="12" t="s">
        <v>22</v>
      </c>
      <c r="B296" s="12" t="s">
        <v>5648</v>
      </c>
      <c r="C296" s="12" t="s">
        <v>5649</v>
      </c>
      <c r="D296" s="12" t="s">
        <v>1410</v>
      </c>
      <c r="E296" s="12" t="s">
        <v>5650</v>
      </c>
      <c r="F296" s="12" t="s">
        <v>5556</v>
      </c>
      <c r="G296" s="12" t="s">
        <v>5651</v>
      </c>
      <c r="H296" s="12" t="s">
        <v>1488</v>
      </c>
      <c r="I296" s="12" t="s">
        <v>1420</v>
      </c>
      <c r="J296" s="12" t="s">
        <v>1420</v>
      </c>
      <c r="K296" s="12" t="s">
        <v>1420</v>
      </c>
      <c r="L296" s="12" t="s">
        <v>1420</v>
      </c>
      <c r="M296" s="12" t="s">
        <v>1420</v>
      </c>
      <c r="N296" s="12" t="s">
        <v>1420</v>
      </c>
      <c r="O296" s="12" t="s">
        <v>1420</v>
      </c>
      <c r="P296" s="12" t="s">
        <v>1414</v>
      </c>
      <c r="Q296" s="12" t="s">
        <v>1420</v>
      </c>
      <c r="R296" s="12" t="s">
        <v>1420</v>
      </c>
      <c r="S296" s="12" t="s">
        <v>1420</v>
      </c>
      <c r="T296" s="12" t="s">
        <v>1420</v>
      </c>
      <c r="U296" s="12" t="s">
        <v>1420</v>
      </c>
      <c r="V296" s="12" t="s">
        <v>1414</v>
      </c>
      <c r="W296" s="12" t="s">
        <v>1420</v>
      </c>
      <c r="X296" s="12" t="s">
        <v>1420</v>
      </c>
      <c r="Y296" s="12" t="s">
        <v>1414</v>
      </c>
      <c r="Z296" s="12" t="s">
        <v>1420</v>
      </c>
      <c r="AA296" s="12" t="s">
        <v>1420</v>
      </c>
      <c r="AB296" s="12" t="s">
        <v>1420</v>
      </c>
      <c r="AC296" s="12" t="s">
        <v>1420</v>
      </c>
      <c r="AD296" s="12" t="s">
        <v>1414</v>
      </c>
      <c r="AE296" s="12" t="s">
        <v>1420</v>
      </c>
      <c r="AF296" s="12" t="s">
        <v>1420</v>
      </c>
      <c r="AG296" s="12" t="s">
        <v>1420</v>
      </c>
    </row>
    <row r="297" spans="1:33" ht="14.4" x14ac:dyDescent="0.3">
      <c r="A297" s="12" t="s">
        <v>55</v>
      </c>
      <c r="B297" s="12" t="s">
        <v>5652</v>
      </c>
      <c r="C297" s="12" t="s">
        <v>5653</v>
      </c>
      <c r="D297" s="12" t="s">
        <v>1410</v>
      </c>
      <c r="E297" s="12" t="s">
        <v>5654</v>
      </c>
      <c r="F297" s="12" t="s">
        <v>5591</v>
      </c>
      <c r="G297" s="12" t="s">
        <v>5186</v>
      </c>
      <c r="H297" s="12" t="s">
        <v>1424</v>
      </c>
      <c r="I297" s="12" t="s">
        <v>1420</v>
      </c>
      <c r="J297" s="12" t="s">
        <v>1420</v>
      </c>
      <c r="K297" s="12" t="s">
        <v>1420</v>
      </c>
      <c r="L297" s="12" t="s">
        <v>1420</v>
      </c>
      <c r="M297" s="12" t="s">
        <v>1420</v>
      </c>
      <c r="N297" s="12" t="s">
        <v>1420</v>
      </c>
      <c r="O297" s="12" t="s">
        <v>1414</v>
      </c>
      <c r="P297" s="12" t="s">
        <v>1414</v>
      </c>
      <c r="Q297" s="12" t="s">
        <v>1420</v>
      </c>
      <c r="R297" s="12" t="s">
        <v>1420</v>
      </c>
      <c r="S297" s="12" t="s">
        <v>1414</v>
      </c>
      <c r="T297" s="12" t="s">
        <v>1420</v>
      </c>
      <c r="U297" s="12" t="s">
        <v>1420</v>
      </c>
      <c r="V297" s="12" t="s">
        <v>1420</v>
      </c>
      <c r="W297" s="12" t="s">
        <v>1420</v>
      </c>
      <c r="X297" s="12" t="s">
        <v>1420</v>
      </c>
      <c r="Y297" s="12" t="s">
        <v>1420</v>
      </c>
      <c r="Z297" s="12" t="s">
        <v>1420</v>
      </c>
      <c r="AA297" s="12" t="s">
        <v>1420</v>
      </c>
      <c r="AB297" s="12" t="s">
        <v>1420</v>
      </c>
      <c r="AC297" s="12" t="s">
        <v>1420</v>
      </c>
      <c r="AD297" s="12" t="s">
        <v>1420</v>
      </c>
      <c r="AE297" s="12" t="s">
        <v>1420</v>
      </c>
      <c r="AF297" s="12" t="s">
        <v>1420</v>
      </c>
      <c r="AG297" s="12" t="s">
        <v>1420</v>
      </c>
    </row>
    <row r="298" spans="1:33" ht="14.4" x14ac:dyDescent="0.3">
      <c r="A298" s="12" t="s">
        <v>19</v>
      </c>
      <c r="B298" s="12" t="s">
        <v>1375</v>
      </c>
      <c r="C298" s="12" t="s">
        <v>1374</v>
      </c>
      <c r="D298" s="12" t="s">
        <v>1410</v>
      </c>
      <c r="E298" s="12" t="s">
        <v>2220</v>
      </c>
      <c r="F298" s="12" t="s">
        <v>2218</v>
      </c>
      <c r="G298" s="12" t="s">
        <v>2221</v>
      </c>
      <c r="H298" s="12" t="s">
        <v>1452</v>
      </c>
      <c r="I298" s="12" t="s">
        <v>1420</v>
      </c>
      <c r="J298" s="12" t="s">
        <v>1420</v>
      </c>
      <c r="K298" s="12" t="s">
        <v>1420</v>
      </c>
      <c r="L298" s="12" t="s">
        <v>1420</v>
      </c>
      <c r="M298" s="12" t="s">
        <v>1420</v>
      </c>
      <c r="N298" s="12" t="s">
        <v>1420</v>
      </c>
      <c r="O298" s="12" t="s">
        <v>1420</v>
      </c>
      <c r="P298" s="12" t="s">
        <v>1420</v>
      </c>
      <c r="Q298" s="12" t="s">
        <v>1420</v>
      </c>
      <c r="R298" s="12" t="s">
        <v>1420</v>
      </c>
      <c r="S298" s="12" t="s">
        <v>1414</v>
      </c>
      <c r="T298" s="12" t="s">
        <v>1420</v>
      </c>
      <c r="U298" s="12" t="s">
        <v>1420</v>
      </c>
      <c r="V298" s="12" t="s">
        <v>1420</v>
      </c>
      <c r="W298" s="12" t="s">
        <v>1420</v>
      </c>
      <c r="X298" s="12" t="s">
        <v>1420</v>
      </c>
      <c r="Y298" s="12" t="s">
        <v>1420</v>
      </c>
      <c r="Z298" s="12" t="s">
        <v>1420</v>
      </c>
      <c r="AA298" s="12" t="s">
        <v>1420</v>
      </c>
      <c r="AB298" s="12" t="s">
        <v>1420</v>
      </c>
      <c r="AC298" s="12" t="s">
        <v>1420</v>
      </c>
      <c r="AD298" s="12" t="s">
        <v>1420</v>
      </c>
      <c r="AE298" s="12" t="s">
        <v>1420</v>
      </c>
      <c r="AF298" s="12" t="s">
        <v>1420</v>
      </c>
      <c r="AG298" s="12" t="s">
        <v>1420</v>
      </c>
    </row>
    <row r="299" spans="1:33" ht="14.4" x14ac:dyDescent="0.3">
      <c r="A299" s="12" t="s">
        <v>28</v>
      </c>
      <c r="B299" s="12" t="s">
        <v>534</v>
      </c>
      <c r="C299" s="12" t="s">
        <v>533</v>
      </c>
      <c r="D299" s="12" t="s">
        <v>1410</v>
      </c>
      <c r="E299" s="12" t="s">
        <v>3003</v>
      </c>
      <c r="F299" s="12" t="s">
        <v>3006</v>
      </c>
      <c r="G299" s="12" t="s">
        <v>3007</v>
      </c>
      <c r="H299" s="12" t="s">
        <v>1419</v>
      </c>
      <c r="I299" s="12" t="s">
        <v>1414</v>
      </c>
      <c r="J299" s="12" t="s">
        <v>1420</v>
      </c>
      <c r="K299" s="12" t="s">
        <v>1420</v>
      </c>
      <c r="L299" s="12" t="s">
        <v>1420</v>
      </c>
      <c r="M299" s="12" t="s">
        <v>1420</v>
      </c>
      <c r="N299" s="12" t="s">
        <v>1420</v>
      </c>
      <c r="O299" s="12" t="s">
        <v>1420</v>
      </c>
      <c r="P299" s="12" t="s">
        <v>1420</v>
      </c>
      <c r="Q299" s="12" t="s">
        <v>1420</v>
      </c>
      <c r="R299" s="12" t="s">
        <v>1420</v>
      </c>
      <c r="S299" s="12" t="s">
        <v>1420</v>
      </c>
      <c r="T299" s="12" t="s">
        <v>1420</v>
      </c>
      <c r="U299" s="12" t="s">
        <v>1420</v>
      </c>
      <c r="V299" s="12" t="s">
        <v>1420</v>
      </c>
      <c r="W299" s="12" t="s">
        <v>1420</v>
      </c>
      <c r="X299" s="12" t="s">
        <v>1420</v>
      </c>
      <c r="Y299" s="12" t="s">
        <v>1420</v>
      </c>
      <c r="Z299" s="12" t="s">
        <v>1420</v>
      </c>
      <c r="AA299" s="12" t="s">
        <v>1420</v>
      </c>
      <c r="AB299" s="12" t="s">
        <v>1420</v>
      </c>
      <c r="AC299" s="12" t="s">
        <v>1420</v>
      </c>
      <c r="AD299" s="12" t="s">
        <v>1414</v>
      </c>
      <c r="AE299" s="12" t="s">
        <v>1420</v>
      </c>
      <c r="AF299" s="12" t="s">
        <v>1420</v>
      </c>
      <c r="AG299" s="12" t="s">
        <v>1420</v>
      </c>
    </row>
    <row r="300" spans="1:33" ht="14.4" x14ac:dyDescent="0.3">
      <c r="A300" s="12" t="s">
        <v>28</v>
      </c>
      <c r="B300" s="12" t="s">
        <v>534</v>
      </c>
      <c r="C300" s="12" t="s">
        <v>533</v>
      </c>
      <c r="D300" s="12" t="s">
        <v>1410</v>
      </c>
      <c r="E300" s="12" t="s">
        <v>5655</v>
      </c>
      <c r="F300" s="12" t="s">
        <v>5656</v>
      </c>
      <c r="G300" s="12" t="s">
        <v>1618</v>
      </c>
      <c r="H300" s="12" t="s">
        <v>1419</v>
      </c>
      <c r="I300" s="12" t="s">
        <v>1420</v>
      </c>
      <c r="J300" s="12" t="s">
        <v>1420</v>
      </c>
      <c r="K300" s="12" t="s">
        <v>1420</v>
      </c>
      <c r="L300" s="12" t="s">
        <v>1420</v>
      </c>
      <c r="M300" s="12" t="s">
        <v>1420</v>
      </c>
      <c r="N300" s="12" t="s">
        <v>1420</v>
      </c>
      <c r="O300" s="12" t="s">
        <v>1420</v>
      </c>
      <c r="P300" s="12" t="s">
        <v>1420</v>
      </c>
      <c r="Q300" s="12" t="s">
        <v>1420</v>
      </c>
      <c r="R300" s="12" t="s">
        <v>1414</v>
      </c>
      <c r="S300" s="12" t="s">
        <v>1414</v>
      </c>
      <c r="T300" s="12" t="s">
        <v>1420</v>
      </c>
      <c r="U300" s="12" t="s">
        <v>1420</v>
      </c>
      <c r="V300" s="12" t="s">
        <v>1420</v>
      </c>
      <c r="W300" s="12" t="s">
        <v>1420</v>
      </c>
      <c r="X300" s="12" t="s">
        <v>1420</v>
      </c>
      <c r="Y300" s="12" t="s">
        <v>1420</v>
      </c>
      <c r="Z300" s="12" t="s">
        <v>1420</v>
      </c>
      <c r="AA300" s="12" t="s">
        <v>1420</v>
      </c>
      <c r="AB300" s="12" t="s">
        <v>1420</v>
      </c>
      <c r="AC300" s="12" t="s">
        <v>1420</v>
      </c>
      <c r="AD300" s="12" t="s">
        <v>1420</v>
      </c>
      <c r="AE300" s="12" t="s">
        <v>1420</v>
      </c>
      <c r="AF300" s="12" t="s">
        <v>1420</v>
      </c>
      <c r="AG300" s="12" t="s">
        <v>1420</v>
      </c>
    </row>
    <row r="301" spans="1:33" ht="14.4" x14ac:dyDescent="0.3">
      <c r="A301" s="12" t="s">
        <v>11</v>
      </c>
      <c r="B301" s="12" t="s">
        <v>840</v>
      </c>
      <c r="C301" s="12" t="s">
        <v>839</v>
      </c>
      <c r="D301" s="12" t="s">
        <v>1410</v>
      </c>
      <c r="E301" s="12" t="s">
        <v>2869</v>
      </c>
      <c r="F301" s="12" t="s">
        <v>2870</v>
      </c>
      <c r="G301" s="12" t="s">
        <v>1878</v>
      </c>
      <c r="H301" s="12" t="s">
        <v>1452</v>
      </c>
      <c r="I301" s="12" t="s">
        <v>1420</v>
      </c>
      <c r="J301" s="12" t="s">
        <v>1420</v>
      </c>
      <c r="K301" s="12" t="s">
        <v>1420</v>
      </c>
      <c r="L301" s="12" t="s">
        <v>1420</v>
      </c>
      <c r="M301" s="12" t="s">
        <v>1420</v>
      </c>
      <c r="N301" s="12" t="s">
        <v>1420</v>
      </c>
      <c r="O301" s="12" t="s">
        <v>1414</v>
      </c>
      <c r="P301" s="12" t="s">
        <v>1420</v>
      </c>
      <c r="Q301" s="12" t="s">
        <v>1420</v>
      </c>
      <c r="R301" s="12" t="s">
        <v>1420</v>
      </c>
      <c r="S301" s="12" t="s">
        <v>1420</v>
      </c>
      <c r="T301" s="12" t="s">
        <v>1420</v>
      </c>
      <c r="U301" s="12" t="s">
        <v>1420</v>
      </c>
      <c r="V301" s="12" t="s">
        <v>1420</v>
      </c>
      <c r="W301" s="12" t="s">
        <v>1420</v>
      </c>
      <c r="X301" s="12" t="s">
        <v>1420</v>
      </c>
      <c r="Y301" s="12" t="s">
        <v>1420</v>
      </c>
      <c r="Z301" s="12" t="s">
        <v>1420</v>
      </c>
      <c r="AA301" s="12" t="s">
        <v>1420</v>
      </c>
      <c r="AB301" s="12" t="s">
        <v>1420</v>
      </c>
      <c r="AC301" s="12" t="s">
        <v>1420</v>
      </c>
      <c r="AD301" s="12" t="s">
        <v>1420</v>
      </c>
      <c r="AE301" s="12" t="s">
        <v>1420</v>
      </c>
      <c r="AF301" s="12" t="s">
        <v>1420</v>
      </c>
      <c r="AG301" s="12" t="s">
        <v>1420</v>
      </c>
    </row>
    <row r="302" spans="1:33" ht="14.4" x14ac:dyDescent="0.3">
      <c r="A302" s="12" t="s">
        <v>8</v>
      </c>
      <c r="B302" s="12" t="s">
        <v>1340</v>
      </c>
      <c r="C302" s="12" t="s">
        <v>1339</v>
      </c>
      <c r="D302" s="12" t="s">
        <v>1410</v>
      </c>
      <c r="E302" s="12" t="s">
        <v>1935</v>
      </c>
      <c r="F302" s="12" t="s">
        <v>1936</v>
      </c>
      <c r="G302" s="12" t="s">
        <v>1874</v>
      </c>
      <c r="H302" s="12" t="s">
        <v>1452</v>
      </c>
      <c r="I302" s="12" t="s">
        <v>1414</v>
      </c>
      <c r="J302" s="12" t="s">
        <v>1420</v>
      </c>
      <c r="K302" s="12" t="s">
        <v>1420</v>
      </c>
      <c r="L302" s="12" t="s">
        <v>1420</v>
      </c>
      <c r="M302" s="12" t="s">
        <v>1420</v>
      </c>
      <c r="N302" s="12" t="s">
        <v>1420</v>
      </c>
      <c r="O302" s="12" t="s">
        <v>1420</v>
      </c>
      <c r="P302" s="12" t="s">
        <v>1420</v>
      </c>
      <c r="Q302" s="12" t="s">
        <v>1420</v>
      </c>
      <c r="R302" s="12" t="s">
        <v>1420</v>
      </c>
      <c r="S302" s="12" t="s">
        <v>1420</v>
      </c>
      <c r="T302" s="12" t="s">
        <v>1420</v>
      </c>
      <c r="U302" s="12" t="s">
        <v>1420</v>
      </c>
      <c r="V302" s="12" t="s">
        <v>1420</v>
      </c>
      <c r="W302" s="12" t="s">
        <v>1420</v>
      </c>
      <c r="X302" s="12" t="s">
        <v>1420</v>
      </c>
      <c r="Y302" s="12" t="s">
        <v>1420</v>
      </c>
      <c r="Z302" s="12" t="s">
        <v>1420</v>
      </c>
      <c r="AA302" s="12" t="s">
        <v>1420</v>
      </c>
      <c r="AB302" s="12" t="s">
        <v>1420</v>
      </c>
      <c r="AC302" s="12" t="s">
        <v>1420</v>
      </c>
      <c r="AD302" s="12" t="s">
        <v>1420</v>
      </c>
      <c r="AE302" s="12" t="s">
        <v>1420</v>
      </c>
      <c r="AF302" s="12" t="s">
        <v>1420</v>
      </c>
      <c r="AG302" s="12" t="s">
        <v>1420</v>
      </c>
    </row>
    <row r="303" spans="1:33" ht="14.4" x14ac:dyDescent="0.3">
      <c r="A303" s="12" t="s">
        <v>8</v>
      </c>
      <c r="B303" s="12" t="s">
        <v>329</v>
      </c>
      <c r="C303" s="12" t="s">
        <v>328</v>
      </c>
      <c r="D303" s="12" t="s">
        <v>1410</v>
      </c>
      <c r="E303" s="12" t="s">
        <v>1774</v>
      </c>
      <c r="F303" s="12" t="s">
        <v>1776</v>
      </c>
      <c r="G303" s="12" t="s">
        <v>1777</v>
      </c>
      <c r="H303" s="12" t="s">
        <v>1424</v>
      </c>
      <c r="I303" s="12" t="s">
        <v>1420</v>
      </c>
      <c r="J303" s="12" t="s">
        <v>1420</v>
      </c>
      <c r="K303" s="12" t="s">
        <v>1420</v>
      </c>
      <c r="L303" s="12" t="s">
        <v>1420</v>
      </c>
      <c r="M303" s="12" t="s">
        <v>1420</v>
      </c>
      <c r="N303" s="12" t="s">
        <v>1420</v>
      </c>
      <c r="O303" s="12" t="s">
        <v>1414</v>
      </c>
      <c r="P303" s="12" t="s">
        <v>1420</v>
      </c>
      <c r="Q303" s="12" t="s">
        <v>1420</v>
      </c>
      <c r="R303" s="12" t="s">
        <v>1420</v>
      </c>
      <c r="S303" s="12" t="s">
        <v>1420</v>
      </c>
      <c r="T303" s="12" t="s">
        <v>1420</v>
      </c>
      <c r="U303" s="12" t="s">
        <v>1420</v>
      </c>
      <c r="V303" s="12" t="s">
        <v>1420</v>
      </c>
      <c r="W303" s="12" t="s">
        <v>1420</v>
      </c>
      <c r="X303" s="12" t="s">
        <v>1414</v>
      </c>
      <c r="Y303" s="12" t="s">
        <v>1420</v>
      </c>
      <c r="Z303" s="12" t="s">
        <v>1420</v>
      </c>
      <c r="AA303" s="12" t="s">
        <v>1420</v>
      </c>
      <c r="AB303" s="12" t="s">
        <v>1420</v>
      </c>
      <c r="AC303" s="12" t="s">
        <v>1420</v>
      </c>
      <c r="AD303" s="12" t="s">
        <v>1420</v>
      </c>
      <c r="AE303" s="12" t="s">
        <v>1414</v>
      </c>
      <c r="AF303" s="12" t="s">
        <v>1420</v>
      </c>
      <c r="AG303" s="12" t="s">
        <v>1420</v>
      </c>
    </row>
    <row r="304" spans="1:33" ht="14.4" x14ac:dyDescent="0.3">
      <c r="A304" s="12" t="s">
        <v>25</v>
      </c>
      <c r="B304" s="12" t="s">
        <v>329</v>
      </c>
      <c r="C304" s="12" t="s">
        <v>535</v>
      </c>
      <c r="D304" s="12" t="s">
        <v>1410</v>
      </c>
      <c r="E304" s="12" t="s">
        <v>3011</v>
      </c>
      <c r="F304" s="12" t="s">
        <v>3004</v>
      </c>
      <c r="G304" s="12" t="s">
        <v>2919</v>
      </c>
      <c r="H304" s="12" t="s">
        <v>1452</v>
      </c>
      <c r="I304" s="12" t="s">
        <v>1420</v>
      </c>
      <c r="J304" s="12" t="s">
        <v>1420</v>
      </c>
      <c r="K304" s="12" t="s">
        <v>1420</v>
      </c>
      <c r="L304" s="12" t="s">
        <v>1420</v>
      </c>
      <c r="M304" s="12" t="s">
        <v>1420</v>
      </c>
      <c r="N304" s="12" t="s">
        <v>1420</v>
      </c>
      <c r="O304" s="12" t="s">
        <v>1414</v>
      </c>
      <c r="P304" s="12" t="s">
        <v>1420</v>
      </c>
      <c r="Q304" s="12" t="s">
        <v>1420</v>
      </c>
      <c r="R304" s="12" t="s">
        <v>1420</v>
      </c>
      <c r="S304" s="12" t="s">
        <v>1420</v>
      </c>
      <c r="T304" s="12" t="s">
        <v>1420</v>
      </c>
      <c r="U304" s="12" t="s">
        <v>1420</v>
      </c>
      <c r="V304" s="12" t="s">
        <v>1420</v>
      </c>
      <c r="W304" s="12" t="s">
        <v>1420</v>
      </c>
      <c r="X304" s="12" t="s">
        <v>1420</v>
      </c>
      <c r="Y304" s="12" t="s">
        <v>1420</v>
      </c>
      <c r="Z304" s="12" t="s">
        <v>1420</v>
      </c>
      <c r="AA304" s="12" t="s">
        <v>1420</v>
      </c>
      <c r="AB304" s="12" t="s">
        <v>1420</v>
      </c>
      <c r="AC304" s="12" t="s">
        <v>1420</v>
      </c>
      <c r="AD304" s="12" t="s">
        <v>1420</v>
      </c>
      <c r="AE304" s="12" t="s">
        <v>1420</v>
      </c>
      <c r="AF304" s="12" t="s">
        <v>1420</v>
      </c>
      <c r="AG304" s="12" t="s">
        <v>1420</v>
      </c>
    </row>
    <row r="305" spans="1:33" ht="14.4" x14ac:dyDescent="0.3">
      <c r="A305" s="12" t="s">
        <v>25</v>
      </c>
      <c r="B305" s="12" t="s">
        <v>329</v>
      </c>
      <c r="C305" s="12" t="s">
        <v>535</v>
      </c>
      <c r="D305" s="12" t="s">
        <v>1456</v>
      </c>
      <c r="E305" s="12" t="s">
        <v>5657</v>
      </c>
      <c r="F305" s="12" t="s">
        <v>1415</v>
      </c>
      <c r="G305" s="12" t="s">
        <v>1415</v>
      </c>
      <c r="H305" s="12" t="s">
        <v>1415</v>
      </c>
      <c r="I305" s="12" t="s">
        <v>1415</v>
      </c>
      <c r="J305" s="12" t="s">
        <v>1415</v>
      </c>
      <c r="K305" s="12" t="s">
        <v>1415</v>
      </c>
      <c r="L305" s="12" t="s">
        <v>1415</v>
      </c>
      <c r="M305" s="12" t="s">
        <v>1415</v>
      </c>
      <c r="N305" s="12" t="s">
        <v>1415</v>
      </c>
      <c r="O305" s="12" t="s">
        <v>1415</v>
      </c>
      <c r="P305" s="12" t="s">
        <v>1415</v>
      </c>
      <c r="Q305" s="12" t="s">
        <v>1415</v>
      </c>
      <c r="R305" s="12" t="s">
        <v>1415</v>
      </c>
      <c r="S305" s="12" t="s">
        <v>1415</v>
      </c>
      <c r="T305" s="12" t="s">
        <v>1415</v>
      </c>
      <c r="U305" s="12" t="s">
        <v>1415</v>
      </c>
      <c r="V305" s="12" t="s">
        <v>1415</v>
      </c>
      <c r="W305" s="12" t="s">
        <v>1415</v>
      </c>
      <c r="X305" s="12" t="s">
        <v>1415</v>
      </c>
      <c r="Y305" s="12" t="s">
        <v>1415</v>
      </c>
      <c r="Z305" s="12" t="s">
        <v>1415</v>
      </c>
      <c r="AA305" s="12" t="s">
        <v>1415</v>
      </c>
      <c r="AB305" s="12" t="s">
        <v>1415</v>
      </c>
      <c r="AC305" s="12" t="s">
        <v>1415</v>
      </c>
      <c r="AD305" s="12" t="s">
        <v>1415</v>
      </c>
      <c r="AE305" s="12" t="s">
        <v>1415</v>
      </c>
      <c r="AF305" s="12" t="s">
        <v>1415</v>
      </c>
      <c r="AG305" s="12" t="s">
        <v>1415</v>
      </c>
    </row>
    <row r="306" spans="1:33" ht="14.4" x14ac:dyDescent="0.3">
      <c r="A306" s="12" t="s">
        <v>31</v>
      </c>
      <c r="B306" s="12" t="s">
        <v>329</v>
      </c>
      <c r="C306" s="12" t="s">
        <v>841</v>
      </c>
      <c r="D306" s="12" t="s">
        <v>1410</v>
      </c>
      <c r="E306" s="12" t="s">
        <v>2787</v>
      </c>
      <c r="F306" s="12" t="s">
        <v>2794</v>
      </c>
      <c r="G306" s="12" t="s">
        <v>2795</v>
      </c>
      <c r="H306" s="12" t="s">
        <v>1488</v>
      </c>
      <c r="I306" s="12" t="s">
        <v>1420</v>
      </c>
      <c r="J306" s="12" t="s">
        <v>1420</v>
      </c>
      <c r="K306" s="12" t="s">
        <v>1420</v>
      </c>
      <c r="L306" s="12" t="s">
        <v>1420</v>
      </c>
      <c r="M306" s="12" t="s">
        <v>1420</v>
      </c>
      <c r="N306" s="12" t="s">
        <v>1420</v>
      </c>
      <c r="O306" s="12" t="s">
        <v>1420</v>
      </c>
      <c r="P306" s="12" t="s">
        <v>1420</v>
      </c>
      <c r="Q306" s="12" t="s">
        <v>1420</v>
      </c>
      <c r="R306" s="12" t="s">
        <v>1420</v>
      </c>
      <c r="S306" s="12" t="s">
        <v>1414</v>
      </c>
      <c r="T306" s="12" t="s">
        <v>1420</v>
      </c>
      <c r="U306" s="12" t="s">
        <v>1420</v>
      </c>
      <c r="V306" s="12" t="s">
        <v>1420</v>
      </c>
      <c r="W306" s="12" t="s">
        <v>1420</v>
      </c>
      <c r="X306" s="12" t="s">
        <v>1420</v>
      </c>
      <c r="Y306" s="12" t="s">
        <v>1420</v>
      </c>
      <c r="Z306" s="12" t="s">
        <v>1420</v>
      </c>
      <c r="AA306" s="12" t="s">
        <v>1414</v>
      </c>
      <c r="AB306" s="12" t="s">
        <v>1414</v>
      </c>
      <c r="AC306" s="12" t="s">
        <v>1414</v>
      </c>
      <c r="AD306" s="12" t="s">
        <v>1420</v>
      </c>
      <c r="AE306" s="12" t="s">
        <v>1420</v>
      </c>
      <c r="AF306" s="12" t="s">
        <v>1420</v>
      </c>
      <c r="AG306" s="12" t="s">
        <v>1420</v>
      </c>
    </row>
    <row r="307" spans="1:33" ht="14.4" x14ac:dyDescent="0.3">
      <c r="A307" s="12" t="s">
        <v>31</v>
      </c>
      <c r="B307" s="12" t="s">
        <v>329</v>
      </c>
      <c r="C307" s="12" t="s">
        <v>842</v>
      </c>
      <c r="D307" s="12" t="s">
        <v>1410</v>
      </c>
      <c r="E307" s="12" t="s">
        <v>2406</v>
      </c>
      <c r="F307" s="12" t="s">
        <v>2407</v>
      </c>
      <c r="G307" s="12" t="s">
        <v>1413</v>
      </c>
      <c r="H307" s="12" t="s">
        <v>1414</v>
      </c>
      <c r="I307" s="12" t="s">
        <v>1415</v>
      </c>
      <c r="J307" s="12" t="s">
        <v>1415</v>
      </c>
      <c r="K307" s="12" t="s">
        <v>1415</v>
      </c>
      <c r="L307" s="12" t="s">
        <v>1415</v>
      </c>
      <c r="M307" s="12" t="s">
        <v>1415</v>
      </c>
      <c r="N307" s="12" t="s">
        <v>1415</v>
      </c>
      <c r="O307" s="12" t="s">
        <v>1415</v>
      </c>
      <c r="P307" s="12" t="s">
        <v>1415</v>
      </c>
      <c r="Q307" s="12" t="s">
        <v>1415</v>
      </c>
      <c r="R307" s="12" t="s">
        <v>1415</v>
      </c>
      <c r="S307" s="12" t="s">
        <v>1415</v>
      </c>
      <c r="T307" s="12" t="s">
        <v>1415</v>
      </c>
      <c r="U307" s="12" t="s">
        <v>1415</v>
      </c>
      <c r="V307" s="12" t="s">
        <v>1415</v>
      </c>
      <c r="W307" s="12" t="s">
        <v>1415</v>
      </c>
      <c r="X307" s="12" t="s">
        <v>1415</v>
      </c>
      <c r="Y307" s="12" t="s">
        <v>1415</v>
      </c>
      <c r="Z307" s="12" t="s">
        <v>1415</v>
      </c>
      <c r="AA307" s="12" t="s">
        <v>1415</v>
      </c>
      <c r="AB307" s="12" t="s">
        <v>1415</v>
      </c>
      <c r="AC307" s="12" t="s">
        <v>1415</v>
      </c>
      <c r="AD307" s="12" t="s">
        <v>1415</v>
      </c>
      <c r="AE307" s="12" t="s">
        <v>1415</v>
      </c>
      <c r="AF307" s="12" t="s">
        <v>1415</v>
      </c>
      <c r="AG307" s="12" t="s">
        <v>1415</v>
      </c>
    </row>
    <row r="308" spans="1:33" ht="14.4" x14ac:dyDescent="0.3">
      <c r="A308" s="12" t="s">
        <v>31</v>
      </c>
      <c r="B308" s="12" t="s">
        <v>329</v>
      </c>
      <c r="C308" s="12" t="s">
        <v>842</v>
      </c>
      <c r="D308" s="12" t="s">
        <v>1410</v>
      </c>
      <c r="E308" s="12" t="s">
        <v>2860</v>
      </c>
      <c r="F308" s="12" t="s">
        <v>2861</v>
      </c>
      <c r="G308" s="12" t="s">
        <v>1993</v>
      </c>
      <c r="H308" s="12" t="s">
        <v>1452</v>
      </c>
      <c r="I308" s="12" t="s">
        <v>1420</v>
      </c>
      <c r="J308" s="12" t="s">
        <v>1420</v>
      </c>
      <c r="K308" s="12" t="s">
        <v>1420</v>
      </c>
      <c r="L308" s="12" t="s">
        <v>1420</v>
      </c>
      <c r="M308" s="12" t="s">
        <v>1420</v>
      </c>
      <c r="N308" s="12" t="s">
        <v>1420</v>
      </c>
      <c r="O308" s="12" t="s">
        <v>1420</v>
      </c>
      <c r="P308" s="12" t="s">
        <v>1420</v>
      </c>
      <c r="Q308" s="12" t="s">
        <v>1420</v>
      </c>
      <c r="R308" s="12" t="s">
        <v>1420</v>
      </c>
      <c r="S308" s="12" t="s">
        <v>1420</v>
      </c>
      <c r="T308" s="12" t="s">
        <v>1420</v>
      </c>
      <c r="U308" s="12" t="s">
        <v>1420</v>
      </c>
      <c r="V308" s="12" t="s">
        <v>1420</v>
      </c>
      <c r="W308" s="12" t="s">
        <v>1420</v>
      </c>
      <c r="X308" s="12" t="s">
        <v>1420</v>
      </c>
      <c r="Y308" s="12" t="s">
        <v>1420</v>
      </c>
      <c r="Z308" s="12" t="s">
        <v>1420</v>
      </c>
      <c r="AA308" s="12" t="s">
        <v>1420</v>
      </c>
      <c r="AB308" s="12" t="s">
        <v>1420</v>
      </c>
      <c r="AC308" s="12" t="s">
        <v>1420</v>
      </c>
      <c r="AD308" s="12" t="s">
        <v>1420</v>
      </c>
      <c r="AE308" s="12" t="s">
        <v>1414</v>
      </c>
      <c r="AF308" s="12" t="s">
        <v>1420</v>
      </c>
      <c r="AG308" s="12" t="s">
        <v>1420</v>
      </c>
    </row>
    <row r="309" spans="1:33" ht="14.4" x14ac:dyDescent="0.3">
      <c r="A309" s="12" t="s">
        <v>25</v>
      </c>
      <c r="B309" s="12" t="s">
        <v>329</v>
      </c>
      <c r="C309" s="12" t="s">
        <v>843</v>
      </c>
      <c r="D309" s="12" t="s">
        <v>1410</v>
      </c>
      <c r="E309" s="12" t="s">
        <v>2821</v>
      </c>
      <c r="F309" s="12" t="s">
        <v>2822</v>
      </c>
      <c r="G309" s="12" t="s">
        <v>2823</v>
      </c>
      <c r="H309" s="12" t="s">
        <v>1464</v>
      </c>
      <c r="I309" s="12" t="s">
        <v>1420</v>
      </c>
      <c r="J309" s="12" t="s">
        <v>1420</v>
      </c>
      <c r="K309" s="12" t="s">
        <v>1420</v>
      </c>
      <c r="L309" s="12" t="s">
        <v>1420</v>
      </c>
      <c r="M309" s="12" t="s">
        <v>1420</v>
      </c>
      <c r="N309" s="12" t="s">
        <v>1420</v>
      </c>
      <c r="O309" s="12" t="s">
        <v>1420</v>
      </c>
      <c r="P309" s="12" t="s">
        <v>1420</v>
      </c>
      <c r="Q309" s="12" t="s">
        <v>1420</v>
      </c>
      <c r="R309" s="12" t="s">
        <v>1420</v>
      </c>
      <c r="S309" s="12" t="s">
        <v>1420</v>
      </c>
      <c r="T309" s="12" t="s">
        <v>1420</v>
      </c>
      <c r="U309" s="12" t="s">
        <v>1420</v>
      </c>
      <c r="V309" s="12" t="s">
        <v>1420</v>
      </c>
      <c r="W309" s="12" t="s">
        <v>1420</v>
      </c>
      <c r="X309" s="12" t="s">
        <v>1420</v>
      </c>
      <c r="Y309" s="12" t="s">
        <v>1420</v>
      </c>
      <c r="Z309" s="12" t="s">
        <v>1420</v>
      </c>
      <c r="AA309" s="12" t="s">
        <v>1420</v>
      </c>
      <c r="AB309" s="12" t="s">
        <v>1420</v>
      </c>
      <c r="AC309" s="12" t="s">
        <v>1420</v>
      </c>
      <c r="AD309" s="12" t="s">
        <v>1420</v>
      </c>
      <c r="AE309" s="12" t="s">
        <v>1420</v>
      </c>
      <c r="AF309" s="12" t="s">
        <v>1420</v>
      </c>
      <c r="AG309" s="12" t="s">
        <v>1420</v>
      </c>
    </row>
    <row r="310" spans="1:33" ht="14.4" x14ac:dyDescent="0.3">
      <c r="A310" s="12" t="s">
        <v>49</v>
      </c>
      <c r="B310" s="12" t="s">
        <v>329</v>
      </c>
      <c r="C310" s="12" t="s">
        <v>1089</v>
      </c>
      <c r="D310" s="12" t="s">
        <v>1410</v>
      </c>
      <c r="E310" s="12" t="s">
        <v>2928</v>
      </c>
      <c r="F310" s="12" t="s">
        <v>2929</v>
      </c>
      <c r="G310" s="12" t="s">
        <v>2930</v>
      </c>
      <c r="H310" s="12" t="s">
        <v>1424</v>
      </c>
      <c r="I310" s="12" t="s">
        <v>1420</v>
      </c>
      <c r="J310" s="12" t="s">
        <v>1420</v>
      </c>
      <c r="K310" s="12" t="s">
        <v>1420</v>
      </c>
      <c r="L310" s="12" t="s">
        <v>1420</v>
      </c>
      <c r="M310" s="12" t="s">
        <v>1420</v>
      </c>
      <c r="N310" s="12" t="s">
        <v>1414</v>
      </c>
      <c r="O310" s="12" t="s">
        <v>1420</v>
      </c>
      <c r="P310" s="12" t="s">
        <v>1420</v>
      </c>
      <c r="Q310" s="12" t="s">
        <v>1420</v>
      </c>
      <c r="R310" s="12" t="s">
        <v>1420</v>
      </c>
      <c r="S310" s="12" t="s">
        <v>1420</v>
      </c>
      <c r="T310" s="12" t="s">
        <v>1420</v>
      </c>
      <c r="U310" s="12" t="s">
        <v>1420</v>
      </c>
      <c r="V310" s="12" t="s">
        <v>1420</v>
      </c>
      <c r="W310" s="12" t="s">
        <v>1420</v>
      </c>
      <c r="X310" s="12" t="s">
        <v>1420</v>
      </c>
      <c r="Y310" s="12" t="s">
        <v>1420</v>
      </c>
      <c r="Z310" s="12" t="s">
        <v>1420</v>
      </c>
      <c r="AA310" s="12" t="s">
        <v>1420</v>
      </c>
      <c r="AB310" s="12" t="s">
        <v>1420</v>
      </c>
      <c r="AC310" s="12" t="s">
        <v>1420</v>
      </c>
      <c r="AD310" s="12" t="s">
        <v>1420</v>
      </c>
      <c r="AE310" s="12" t="s">
        <v>1414</v>
      </c>
      <c r="AF310" s="12" t="s">
        <v>1420</v>
      </c>
      <c r="AG310" s="12" t="s">
        <v>1414</v>
      </c>
    </row>
    <row r="311" spans="1:33" ht="14.4" x14ac:dyDescent="0.3">
      <c r="A311" s="12" t="s">
        <v>55</v>
      </c>
      <c r="B311" s="12" t="s">
        <v>329</v>
      </c>
      <c r="C311" s="12" t="s">
        <v>1090</v>
      </c>
      <c r="D311" s="12" t="s">
        <v>1410</v>
      </c>
      <c r="E311" s="12" t="s">
        <v>1769</v>
      </c>
      <c r="F311" s="12" t="s">
        <v>1745</v>
      </c>
      <c r="G311" s="12" t="s">
        <v>1781</v>
      </c>
      <c r="H311" s="12" t="s">
        <v>1464</v>
      </c>
      <c r="I311" s="12" t="s">
        <v>1420</v>
      </c>
      <c r="J311" s="12" t="s">
        <v>1420</v>
      </c>
      <c r="K311" s="12" t="s">
        <v>1420</v>
      </c>
      <c r="L311" s="12" t="s">
        <v>1420</v>
      </c>
      <c r="M311" s="12" t="s">
        <v>1420</v>
      </c>
      <c r="N311" s="12" t="s">
        <v>1420</v>
      </c>
      <c r="O311" s="12" t="s">
        <v>1420</v>
      </c>
      <c r="P311" s="12" t="s">
        <v>1420</v>
      </c>
      <c r="Q311" s="12" t="s">
        <v>1420</v>
      </c>
      <c r="R311" s="12" t="s">
        <v>1420</v>
      </c>
      <c r="S311" s="12" t="s">
        <v>1420</v>
      </c>
      <c r="T311" s="12" t="s">
        <v>1420</v>
      </c>
      <c r="U311" s="12" t="s">
        <v>1420</v>
      </c>
      <c r="V311" s="12" t="s">
        <v>1420</v>
      </c>
      <c r="W311" s="12" t="s">
        <v>1420</v>
      </c>
      <c r="X311" s="12" t="s">
        <v>1420</v>
      </c>
      <c r="Y311" s="12" t="s">
        <v>1420</v>
      </c>
      <c r="Z311" s="12" t="s">
        <v>1420</v>
      </c>
      <c r="AA311" s="12" t="s">
        <v>1420</v>
      </c>
      <c r="AB311" s="12" t="s">
        <v>1420</v>
      </c>
      <c r="AC311" s="12" t="s">
        <v>1420</v>
      </c>
      <c r="AD311" s="12" t="s">
        <v>1420</v>
      </c>
      <c r="AE311" s="12" t="s">
        <v>1420</v>
      </c>
      <c r="AF311" s="12" t="s">
        <v>1420</v>
      </c>
      <c r="AG311" s="12" t="s">
        <v>1420</v>
      </c>
    </row>
    <row r="312" spans="1:33" ht="14.4" x14ac:dyDescent="0.3">
      <c r="A312" s="12" t="s">
        <v>11</v>
      </c>
      <c r="B312" s="12" t="s">
        <v>845</v>
      </c>
      <c r="C312" s="12" t="s">
        <v>844</v>
      </c>
      <c r="D312" s="12" t="s">
        <v>1410</v>
      </c>
      <c r="E312" s="12" t="s">
        <v>2022</v>
      </c>
      <c r="F312" s="12" t="s">
        <v>2023</v>
      </c>
      <c r="G312" s="12" t="s">
        <v>2024</v>
      </c>
      <c r="H312" s="12" t="s">
        <v>1448</v>
      </c>
      <c r="I312" s="12" t="s">
        <v>1420</v>
      </c>
      <c r="J312" s="12" t="s">
        <v>1420</v>
      </c>
      <c r="K312" s="12" t="s">
        <v>1420</v>
      </c>
      <c r="L312" s="12" t="s">
        <v>1414</v>
      </c>
      <c r="M312" s="12" t="s">
        <v>1420</v>
      </c>
      <c r="N312" s="12" t="s">
        <v>1420</v>
      </c>
      <c r="O312" s="12" t="s">
        <v>1420</v>
      </c>
      <c r="P312" s="12" t="s">
        <v>1420</v>
      </c>
      <c r="Q312" s="12" t="s">
        <v>1414</v>
      </c>
      <c r="R312" s="12" t="s">
        <v>1420</v>
      </c>
      <c r="S312" s="12" t="s">
        <v>1420</v>
      </c>
      <c r="T312" s="12" t="s">
        <v>1420</v>
      </c>
      <c r="U312" s="12" t="s">
        <v>1414</v>
      </c>
      <c r="V312" s="12" t="s">
        <v>1420</v>
      </c>
      <c r="W312" s="12" t="s">
        <v>1414</v>
      </c>
      <c r="X312" s="12" t="s">
        <v>1420</v>
      </c>
      <c r="Y312" s="12" t="s">
        <v>1420</v>
      </c>
      <c r="Z312" s="12" t="s">
        <v>1420</v>
      </c>
      <c r="AA312" s="12" t="s">
        <v>1420</v>
      </c>
      <c r="AB312" s="12" t="s">
        <v>1420</v>
      </c>
      <c r="AC312" s="12" t="s">
        <v>1414</v>
      </c>
      <c r="AD312" s="12" t="s">
        <v>1420</v>
      </c>
      <c r="AE312" s="12" t="s">
        <v>1420</v>
      </c>
      <c r="AF312" s="12" t="s">
        <v>1420</v>
      </c>
      <c r="AG312" s="12" t="s">
        <v>1420</v>
      </c>
    </row>
    <row r="313" spans="1:33" ht="14.4" x14ac:dyDescent="0.3">
      <c r="A313" s="12" t="s">
        <v>5658</v>
      </c>
      <c r="B313" s="12" t="s">
        <v>5659</v>
      </c>
      <c r="C313" s="12" t="s">
        <v>5660</v>
      </c>
      <c r="D313" s="12" t="s">
        <v>1410</v>
      </c>
      <c r="E313" s="12" t="s">
        <v>5661</v>
      </c>
      <c r="F313" s="12" t="s">
        <v>5662</v>
      </c>
      <c r="G313" s="12" t="s">
        <v>5663</v>
      </c>
      <c r="H313" s="12" t="s">
        <v>1606</v>
      </c>
      <c r="I313" s="12" t="s">
        <v>1420</v>
      </c>
      <c r="J313" s="12" t="s">
        <v>1420</v>
      </c>
      <c r="K313" s="12" t="s">
        <v>1420</v>
      </c>
      <c r="L313" s="12" t="s">
        <v>1420</v>
      </c>
      <c r="M313" s="12" t="s">
        <v>1420</v>
      </c>
      <c r="N313" s="12" t="s">
        <v>1420</v>
      </c>
      <c r="O313" s="12" t="s">
        <v>1420</v>
      </c>
      <c r="P313" s="12" t="s">
        <v>1420</v>
      </c>
      <c r="Q313" s="12" t="s">
        <v>1420</v>
      </c>
      <c r="R313" s="12" t="s">
        <v>1414</v>
      </c>
      <c r="S313" s="12" t="s">
        <v>1420</v>
      </c>
      <c r="T313" s="12" t="s">
        <v>1414</v>
      </c>
      <c r="U313" s="12" t="s">
        <v>1414</v>
      </c>
      <c r="V313" s="12" t="s">
        <v>1414</v>
      </c>
      <c r="W313" s="12" t="s">
        <v>1420</v>
      </c>
      <c r="X313" s="12" t="s">
        <v>1420</v>
      </c>
      <c r="Y313" s="12" t="s">
        <v>1414</v>
      </c>
      <c r="Z313" s="12" t="s">
        <v>1420</v>
      </c>
      <c r="AA313" s="12" t="s">
        <v>1414</v>
      </c>
      <c r="AB313" s="12" t="s">
        <v>1420</v>
      </c>
      <c r="AC313" s="12" t="s">
        <v>1414</v>
      </c>
      <c r="AD313" s="12" t="s">
        <v>1420</v>
      </c>
      <c r="AE313" s="12" t="s">
        <v>1414</v>
      </c>
      <c r="AF313" s="12" t="s">
        <v>1420</v>
      </c>
      <c r="AG313" s="12" t="s">
        <v>1420</v>
      </c>
    </row>
    <row r="314" spans="1:33" ht="14.4" x14ac:dyDescent="0.3">
      <c r="A314" s="12" t="s">
        <v>8</v>
      </c>
      <c r="B314" s="12" t="s">
        <v>537</v>
      </c>
      <c r="C314" s="12" t="s">
        <v>536</v>
      </c>
      <c r="D314" s="12" t="s">
        <v>1410</v>
      </c>
      <c r="E314" s="12" t="s">
        <v>1730</v>
      </c>
      <c r="F314" s="12" t="s">
        <v>1731</v>
      </c>
      <c r="G314" s="12" t="s">
        <v>1573</v>
      </c>
      <c r="H314" s="12" t="s">
        <v>1448</v>
      </c>
      <c r="I314" s="12" t="s">
        <v>1420</v>
      </c>
      <c r="J314" s="12" t="s">
        <v>1420</v>
      </c>
      <c r="K314" s="12" t="s">
        <v>1420</v>
      </c>
      <c r="L314" s="12" t="s">
        <v>1420</v>
      </c>
      <c r="M314" s="12" t="s">
        <v>1420</v>
      </c>
      <c r="N314" s="12" t="s">
        <v>1420</v>
      </c>
      <c r="O314" s="12" t="s">
        <v>1420</v>
      </c>
      <c r="P314" s="12" t="s">
        <v>1420</v>
      </c>
      <c r="Q314" s="12" t="s">
        <v>1420</v>
      </c>
      <c r="R314" s="12" t="s">
        <v>1420</v>
      </c>
      <c r="S314" s="12" t="s">
        <v>1420</v>
      </c>
      <c r="T314" s="12" t="s">
        <v>1420</v>
      </c>
      <c r="U314" s="12" t="s">
        <v>1420</v>
      </c>
      <c r="V314" s="12" t="s">
        <v>1420</v>
      </c>
      <c r="W314" s="12" t="s">
        <v>1414</v>
      </c>
      <c r="X314" s="12" t="s">
        <v>1420</v>
      </c>
      <c r="Y314" s="12" t="s">
        <v>1420</v>
      </c>
      <c r="Z314" s="12" t="s">
        <v>1420</v>
      </c>
      <c r="AA314" s="12" t="s">
        <v>1420</v>
      </c>
      <c r="AB314" s="12" t="s">
        <v>1415</v>
      </c>
      <c r="AC314" s="12" t="s">
        <v>1414</v>
      </c>
      <c r="AD314" s="12" t="s">
        <v>1414</v>
      </c>
      <c r="AE314" s="12" t="s">
        <v>1415</v>
      </c>
      <c r="AF314" s="12" t="s">
        <v>1420</v>
      </c>
      <c r="AG314" s="12" t="s">
        <v>1420</v>
      </c>
    </row>
    <row r="315" spans="1:33" ht="14.4" x14ac:dyDescent="0.3">
      <c r="A315" s="12" t="s">
        <v>80</v>
      </c>
      <c r="B315" s="12" t="s">
        <v>92</v>
      </c>
      <c r="C315" s="12" t="s">
        <v>91</v>
      </c>
      <c r="D315" s="12" t="s">
        <v>1410</v>
      </c>
      <c r="E315" s="12" t="s">
        <v>2145</v>
      </c>
      <c r="F315" s="12" t="s">
        <v>2093</v>
      </c>
      <c r="G315" s="12" t="s">
        <v>2146</v>
      </c>
      <c r="H315" s="12" t="s">
        <v>1452</v>
      </c>
      <c r="I315" s="12" t="s">
        <v>1420</v>
      </c>
      <c r="J315" s="12" t="s">
        <v>1420</v>
      </c>
      <c r="K315" s="12" t="s">
        <v>1420</v>
      </c>
      <c r="L315" s="12" t="s">
        <v>1420</v>
      </c>
      <c r="M315" s="12" t="s">
        <v>1420</v>
      </c>
      <c r="N315" s="12" t="s">
        <v>1420</v>
      </c>
      <c r="O315" s="12" t="s">
        <v>1420</v>
      </c>
      <c r="P315" s="12" t="s">
        <v>1414</v>
      </c>
      <c r="Q315" s="12" t="s">
        <v>1420</v>
      </c>
      <c r="R315" s="12" t="s">
        <v>1420</v>
      </c>
      <c r="S315" s="12" t="s">
        <v>1420</v>
      </c>
      <c r="T315" s="12" t="s">
        <v>1420</v>
      </c>
      <c r="U315" s="12" t="s">
        <v>1420</v>
      </c>
      <c r="V315" s="12" t="s">
        <v>1420</v>
      </c>
      <c r="W315" s="12" t="s">
        <v>1420</v>
      </c>
      <c r="X315" s="12" t="s">
        <v>1420</v>
      </c>
      <c r="Y315" s="12" t="s">
        <v>1420</v>
      </c>
      <c r="Z315" s="12" t="s">
        <v>1420</v>
      </c>
      <c r="AA315" s="12" t="s">
        <v>1420</v>
      </c>
      <c r="AB315" s="12" t="s">
        <v>1420</v>
      </c>
      <c r="AC315" s="12" t="s">
        <v>1420</v>
      </c>
      <c r="AD315" s="12" t="s">
        <v>1420</v>
      </c>
      <c r="AE315" s="12" t="s">
        <v>1420</v>
      </c>
      <c r="AF315" s="12" t="s">
        <v>1420</v>
      </c>
      <c r="AG315" s="12" t="s">
        <v>1420</v>
      </c>
    </row>
    <row r="316" spans="1:33" ht="14.4" x14ac:dyDescent="0.3">
      <c r="A316" s="12" t="s">
        <v>31</v>
      </c>
      <c r="B316" s="12" t="s">
        <v>1092</v>
      </c>
      <c r="C316" s="12" t="s">
        <v>1091</v>
      </c>
      <c r="D316" s="12" t="s">
        <v>1410</v>
      </c>
      <c r="E316" s="12" t="s">
        <v>1793</v>
      </c>
      <c r="F316" s="12" t="s">
        <v>1803</v>
      </c>
      <c r="G316" s="12" t="s">
        <v>1652</v>
      </c>
      <c r="H316" s="12" t="s">
        <v>1452</v>
      </c>
      <c r="I316" s="12" t="s">
        <v>1420</v>
      </c>
      <c r="J316" s="12" t="s">
        <v>1420</v>
      </c>
      <c r="K316" s="12" t="s">
        <v>1420</v>
      </c>
      <c r="L316" s="12" t="s">
        <v>1420</v>
      </c>
      <c r="M316" s="12" t="s">
        <v>1420</v>
      </c>
      <c r="N316" s="12" t="s">
        <v>1420</v>
      </c>
      <c r="O316" s="12" t="s">
        <v>1420</v>
      </c>
      <c r="P316" s="12" t="s">
        <v>1420</v>
      </c>
      <c r="Q316" s="12" t="s">
        <v>1420</v>
      </c>
      <c r="R316" s="12" t="s">
        <v>1420</v>
      </c>
      <c r="S316" s="12" t="s">
        <v>1420</v>
      </c>
      <c r="T316" s="12" t="s">
        <v>1420</v>
      </c>
      <c r="U316" s="12" t="s">
        <v>1420</v>
      </c>
      <c r="V316" s="12" t="s">
        <v>1420</v>
      </c>
      <c r="W316" s="12" t="s">
        <v>1420</v>
      </c>
      <c r="X316" s="12" t="s">
        <v>1420</v>
      </c>
      <c r="Y316" s="12" t="s">
        <v>1420</v>
      </c>
      <c r="Z316" s="12" t="s">
        <v>1420</v>
      </c>
      <c r="AA316" s="12" t="s">
        <v>1420</v>
      </c>
      <c r="AB316" s="12" t="s">
        <v>1420</v>
      </c>
      <c r="AC316" s="12" t="s">
        <v>1414</v>
      </c>
      <c r="AD316" s="12" t="s">
        <v>1420</v>
      </c>
      <c r="AE316" s="12" t="s">
        <v>1420</v>
      </c>
      <c r="AF316" s="12" t="s">
        <v>1420</v>
      </c>
      <c r="AG316" s="12" t="s">
        <v>1420</v>
      </c>
    </row>
    <row r="317" spans="1:33" ht="14.4" x14ac:dyDescent="0.3">
      <c r="A317" s="12" t="s">
        <v>31</v>
      </c>
      <c r="B317" s="12" t="s">
        <v>1054</v>
      </c>
      <c r="C317" s="12" t="s">
        <v>1053</v>
      </c>
      <c r="D317" s="12" t="s">
        <v>1410</v>
      </c>
      <c r="E317" s="12" t="s">
        <v>3157</v>
      </c>
      <c r="F317" s="12" t="s">
        <v>3158</v>
      </c>
      <c r="G317" s="12" t="s">
        <v>2732</v>
      </c>
      <c r="H317" s="12" t="s">
        <v>1452</v>
      </c>
      <c r="I317" s="12" t="s">
        <v>1420</v>
      </c>
      <c r="J317" s="12" t="s">
        <v>1414</v>
      </c>
      <c r="K317" s="12" t="s">
        <v>1420</v>
      </c>
      <c r="L317" s="12" t="s">
        <v>1420</v>
      </c>
      <c r="M317" s="12" t="s">
        <v>1420</v>
      </c>
      <c r="N317" s="12" t="s">
        <v>1420</v>
      </c>
      <c r="O317" s="12" t="s">
        <v>1420</v>
      </c>
      <c r="P317" s="12" t="s">
        <v>1420</v>
      </c>
      <c r="Q317" s="12" t="s">
        <v>1420</v>
      </c>
      <c r="R317" s="12" t="s">
        <v>1420</v>
      </c>
      <c r="S317" s="12" t="s">
        <v>1420</v>
      </c>
      <c r="T317" s="12" t="s">
        <v>1420</v>
      </c>
      <c r="U317" s="12" t="s">
        <v>1420</v>
      </c>
      <c r="V317" s="12" t="s">
        <v>1420</v>
      </c>
      <c r="W317" s="12" t="s">
        <v>1420</v>
      </c>
      <c r="X317" s="12" t="s">
        <v>1420</v>
      </c>
      <c r="Y317" s="12" t="s">
        <v>1420</v>
      </c>
      <c r="Z317" s="12" t="s">
        <v>1420</v>
      </c>
      <c r="AA317" s="12" t="s">
        <v>1420</v>
      </c>
      <c r="AB317" s="12" t="s">
        <v>1420</v>
      </c>
      <c r="AC317" s="12" t="s">
        <v>1420</v>
      </c>
      <c r="AD317" s="12" t="s">
        <v>1420</v>
      </c>
      <c r="AE317" s="12" t="s">
        <v>1420</v>
      </c>
      <c r="AF317" s="12" t="s">
        <v>1420</v>
      </c>
      <c r="AG317" s="12" t="s">
        <v>1420</v>
      </c>
    </row>
    <row r="318" spans="1:33" ht="14.4" x14ac:dyDescent="0.3">
      <c r="A318" s="12" t="s">
        <v>540</v>
      </c>
      <c r="B318" s="12" t="s">
        <v>539</v>
      </c>
      <c r="C318" s="12" t="s">
        <v>538</v>
      </c>
      <c r="D318" s="12" t="s">
        <v>1410</v>
      </c>
      <c r="E318" s="12" t="s">
        <v>3017</v>
      </c>
      <c r="F318" s="12" t="s">
        <v>3018</v>
      </c>
      <c r="G318" s="12" t="s">
        <v>2050</v>
      </c>
      <c r="H318" s="12" t="s">
        <v>1464</v>
      </c>
      <c r="I318" s="12" t="s">
        <v>1420</v>
      </c>
      <c r="J318" s="12" t="s">
        <v>1420</v>
      </c>
      <c r="K318" s="12" t="s">
        <v>1420</v>
      </c>
      <c r="L318" s="12" t="s">
        <v>1420</v>
      </c>
      <c r="M318" s="12" t="s">
        <v>1420</v>
      </c>
      <c r="N318" s="12" t="s">
        <v>1420</v>
      </c>
      <c r="O318" s="12" t="s">
        <v>1420</v>
      </c>
      <c r="P318" s="12" t="s">
        <v>1420</v>
      </c>
      <c r="Q318" s="12" t="s">
        <v>1420</v>
      </c>
      <c r="R318" s="12" t="s">
        <v>1420</v>
      </c>
      <c r="S318" s="12" t="s">
        <v>1420</v>
      </c>
      <c r="T318" s="12" t="s">
        <v>1420</v>
      </c>
      <c r="U318" s="12" t="s">
        <v>1420</v>
      </c>
      <c r="V318" s="12" t="s">
        <v>1420</v>
      </c>
      <c r="W318" s="12" t="s">
        <v>1420</v>
      </c>
      <c r="X318" s="12" t="s">
        <v>1420</v>
      </c>
      <c r="Y318" s="12" t="s">
        <v>1420</v>
      </c>
      <c r="Z318" s="12" t="s">
        <v>1420</v>
      </c>
      <c r="AA318" s="12" t="s">
        <v>1420</v>
      </c>
      <c r="AB318" s="12" t="s">
        <v>1420</v>
      </c>
      <c r="AC318" s="12" t="s">
        <v>1420</v>
      </c>
      <c r="AD318" s="12" t="s">
        <v>1420</v>
      </c>
      <c r="AE318" s="12" t="s">
        <v>1420</v>
      </c>
      <c r="AF318" s="12" t="s">
        <v>1420</v>
      </c>
      <c r="AG318" s="12" t="s">
        <v>1420</v>
      </c>
    </row>
    <row r="319" spans="1:33" ht="14.4" x14ac:dyDescent="0.3">
      <c r="A319" s="12" t="s">
        <v>25</v>
      </c>
      <c r="B319" s="12" t="s">
        <v>5664</v>
      </c>
      <c r="C319" s="12" t="s">
        <v>5665</v>
      </c>
      <c r="D319" s="12" t="s">
        <v>1410</v>
      </c>
      <c r="E319" s="12" t="s">
        <v>5666</v>
      </c>
      <c r="F319" s="12" t="s">
        <v>5544</v>
      </c>
      <c r="G319" s="12" t="s">
        <v>5667</v>
      </c>
      <c r="H319" s="12" t="s">
        <v>1452</v>
      </c>
      <c r="I319" s="12" t="s">
        <v>1420</v>
      </c>
      <c r="J319" s="12" t="s">
        <v>1420</v>
      </c>
      <c r="K319" s="12" t="s">
        <v>1420</v>
      </c>
      <c r="L319" s="12" t="s">
        <v>1420</v>
      </c>
      <c r="M319" s="12" t="s">
        <v>1420</v>
      </c>
      <c r="N319" s="12" t="s">
        <v>1420</v>
      </c>
      <c r="O319" s="12" t="s">
        <v>1420</v>
      </c>
      <c r="P319" s="12" t="s">
        <v>1420</v>
      </c>
      <c r="Q319" s="12" t="s">
        <v>1420</v>
      </c>
      <c r="R319" s="12" t="s">
        <v>1420</v>
      </c>
      <c r="S319" s="12" t="s">
        <v>1420</v>
      </c>
      <c r="T319" s="12" t="s">
        <v>1420</v>
      </c>
      <c r="U319" s="12" t="s">
        <v>1420</v>
      </c>
      <c r="V319" s="12" t="s">
        <v>1420</v>
      </c>
      <c r="W319" s="12" t="s">
        <v>1420</v>
      </c>
      <c r="X319" s="12" t="s">
        <v>1420</v>
      </c>
      <c r="Y319" s="12" t="s">
        <v>1420</v>
      </c>
      <c r="Z319" s="12" t="s">
        <v>1420</v>
      </c>
      <c r="AA319" s="12" t="s">
        <v>1420</v>
      </c>
      <c r="AB319" s="12" t="s">
        <v>1420</v>
      </c>
      <c r="AC319" s="12" t="s">
        <v>1420</v>
      </c>
      <c r="AD319" s="12" t="s">
        <v>1420</v>
      </c>
      <c r="AE319" s="12" t="s">
        <v>1420</v>
      </c>
      <c r="AF319" s="12" t="s">
        <v>1414</v>
      </c>
      <c r="AG319" s="12" t="s">
        <v>1420</v>
      </c>
    </row>
    <row r="320" spans="1:33" ht="14.4" x14ac:dyDescent="0.3">
      <c r="A320" s="12" t="s">
        <v>25</v>
      </c>
      <c r="B320" s="12" t="s">
        <v>5668</v>
      </c>
      <c r="C320" s="12" t="s">
        <v>5669</v>
      </c>
      <c r="D320" s="12" t="s">
        <v>1410</v>
      </c>
      <c r="E320" s="12" t="s">
        <v>5670</v>
      </c>
      <c r="F320" s="12" t="s">
        <v>5671</v>
      </c>
      <c r="G320" s="12" t="s">
        <v>2785</v>
      </c>
      <c r="H320" s="12" t="s">
        <v>1488</v>
      </c>
      <c r="I320" s="12" t="s">
        <v>1420</v>
      </c>
      <c r="J320" s="12" t="s">
        <v>1420</v>
      </c>
      <c r="K320" s="12" t="s">
        <v>1420</v>
      </c>
      <c r="L320" s="12" t="s">
        <v>1420</v>
      </c>
      <c r="M320" s="12" t="s">
        <v>1420</v>
      </c>
      <c r="N320" s="12" t="s">
        <v>1420</v>
      </c>
      <c r="O320" s="12" t="s">
        <v>1414</v>
      </c>
      <c r="P320" s="12" t="s">
        <v>1420</v>
      </c>
      <c r="Q320" s="12" t="s">
        <v>1420</v>
      </c>
      <c r="R320" s="12" t="s">
        <v>1420</v>
      </c>
      <c r="S320" s="12" t="s">
        <v>1420</v>
      </c>
      <c r="T320" s="12" t="s">
        <v>1420</v>
      </c>
      <c r="U320" s="12" t="s">
        <v>1420</v>
      </c>
      <c r="V320" s="12" t="s">
        <v>1420</v>
      </c>
      <c r="W320" s="12" t="s">
        <v>1420</v>
      </c>
      <c r="X320" s="12" t="s">
        <v>1414</v>
      </c>
      <c r="Y320" s="12" t="s">
        <v>1420</v>
      </c>
      <c r="Z320" s="12" t="s">
        <v>1420</v>
      </c>
      <c r="AA320" s="12" t="s">
        <v>1420</v>
      </c>
      <c r="AB320" s="12" t="s">
        <v>1420</v>
      </c>
      <c r="AC320" s="12" t="s">
        <v>1414</v>
      </c>
      <c r="AD320" s="12" t="s">
        <v>1414</v>
      </c>
      <c r="AE320" s="12" t="s">
        <v>1420</v>
      </c>
      <c r="AF320" s="12" t="s">
        <v>1420</v>
      </c>
      <c r="AG320" s="12" t="s">
        <v>1420</v>
      </c>
    </row>
    <row r="321" spans="1:33" ht="14.4" x14ac:dyDescent="0.3">
      <c r="A321" s="12" t="s">
        <v>28</v>
      </c>
      <c r="B321" s="12" t="s">
        <v>542</v>
      </c>
      <c r="C321" s="12" t="s">
        <v>541</v>
      </c>
      <c r="D321" s="12" t="s">
        <v>1410</v>
      </c>
      <c r="E321" s="12" t="s">
        <v>3115</v>
      </c>
      <c r="F321" s="12" t="s">
        <v>3118</v>
      </c>
      <c r="G321" s="12" t="s">
        <v>3119</v>
      </c>
      <c r="H321" s="12" t="s">
        <v>1464</v>
      </c>
      <c r="I321" s="12" t="s">
        <v>1420</v>
      </c>
      <c r="J321" s="12" t="s">
        <v>1420</v>
      </c>
      <c r="K321" s="12" t="s">
        <v>1420</v>
      </c>
      <c r="L321" s="12" t="s">
        <v>1420</v>
      </c>
      <c r="M321" s="12" t="s">
        <v>1420</v>
      </c>
      <c r="N321" s="12" t="s">
        <v>1420</v>
      </c>
      <c r="O321" s="12" t="s">
        <v>1420</v>
      </c>
      <c r="P321" s="12" t="s">
        <v>1420</v>
      </c>
      <c r="Q321" s="12" t="s">
        <v>1420</v>
      </c>
      <c r="R321" s="12" t="s">
        <v>1420</v>
      </c>
      <c r="S321" s="12" t="s">
        <v>1420</v>
      </c>
      <c r="T321" s="12" t="s">
        <v>1420</v>
      </c>
      <c r="U321" s="12" t="s">
        <v>1420</v>
      </c>
      <c r="V321" s="12" t="s">
        <v>1420</v>
      </c>
      <c r="W321" s="12" t="s">
        <v>1420</v>
      </c>
      <c r="X321" s="12" t="s">
        <v>1420</v>
      </c>
      <c r="Y321" s="12" t="s">
        <v>1420</v>
      </c>
      <c r="Z321" s="12" t="s">
        <v>1420</v>
      </c>
      <c r="AA321" s="12" t="s">
        <v>1420</v>
      </c>
      <c r="AB321" s="12" t="s">
        <v>1420</v>
      </c>
      <c r="AC321" s="12" t="s">
        <v>1420</v>
      </c>
      <c r="AD321" s="12" t="s">
        <v>1420</v>
      </c>
      <c r="AE321" s="12" t="s">
        <v>1420</v>
      </c>
      <c r="AF321" s="12" t="s">
        <v>1420</v>
      </c>
      <c r="AG321" s="12" t="s">
        <v>1420</v>
      </c>
    </row>
    <row r="322" spans="1:33" ht="14.4" x14ac:dyDescent="0.3">
      <c r="A322" s="12" t="s">
        <v>1095</v>
      </c>
      <c r="B322" s="12" t="s">
        <v>1094</v>
      </c>
      <c r="C322" s="12" t="s">
        <v>1093</v>
      </c>
      <c r="D322" s="12" t="s">
        <v>1410</v>
      </c>
      <c r="E322" s="12" t="s">
        <v>3032</v>
      </c>
      <c r="F322" s="12" t="s">
        <v>3033</v>
      </c>
      <c r="G322" s="12" t="s">
        <v>1694</v>
      </c>
      <c r="H322" s="12" t="s">
        <v>1419</v>
      </c>
      <c r="I322" s="12" t="s">
        <v>1420</v>
      </c>
      <c r="J322" s="12" t="s">
        <v>1420</v>
      </c>
      <c r="K322" s="12" t="s">
        <v>1420</v>
      </c>
      <c r="L322" s="12" t="s">
        <v>1420</v>
      </c>
      <c r="M322" s="12" t="s">
        <v>1420</v>
      </c>
      <c r="N322" s="12" t="s">
        <v>1420</v>
      </c>
      <c r="O322" s="12" t="s">
        <v>1420</v>
      </c>
      <c r="P322" s="12" t="s">
        <v>1420</v>
      </c>
      <c r="Q322" s="12" t="s">
        <v>1420</v>
      </c>
      <c r="R322" s="12" t="s">
        <v>1420</v>
      </c>
      <c r="S322" s="12" t="s">
        <v>1420</v>
      </c>
      <c r="T322" s="12" t="s">
        <v>1420</v>
      </c>
      <c r="U322" s="12" t="s">
        <v>1420</v>
      </c>
      <c r="V322" s="12" t="s">
        <v>1420</v>
      </c>
      <c r="W322" s="12" t="s">
        <v>1420</v>
      </c>
      <c r="X322" s="12" t="s">
        <v>1420</v>
      </c>
      <c r="Y322" s="12" t="s">
        <v>1414</v>
      </c>
      <c r="Z322" s="12" t="s">
        <v>1420</v>
      </c>
      <c r="AA322" s="12" t="s">
        <v>1420</v>
      </c>
      <c r="AB322" s="12" t="s">
        <v>1420</v>
      </c>
      <c r="AC322" s="12" t="s">
        <v>1414</v>
      </c>
      <c r="AD322" s="12" t="s">
        <v>1420</v>
      </c>
      <c r="AE322" s="12" t="s">
        <v>1420</v>
      </c>
      <c r="AF322" s="12" t="s">
        <v>1420</v>
      </c>
      <c r="AG322" s="12" t="s">
        <v>1420</v>
      </c>
    </row>
    <row r="323" spans="1:33" ht="14.4" x14ac:dyDescent="0.3">
      <c r="A323" s="12" t="s">
        <v>8</v>
      </c>
      <c r="B323" s="12" t="s">
        <v>1195</v>
      </c>
      <c r="C323" s="12" t="s">
        <v>1194</v>
      </c>
      <c r="D323" s="12" t="s">
        <v>1410</v>
      </c>
      <c r="E323" s="12" t="s">
        <v>2190</v>
      </c>
      <c r="F323" s="12" t="s">
        <v>2191</v>
      </c>
      <c r="G323" s="12" t="s">
        <v>1888</v>
      </c>
      <c r="H323" s="12" t="s">
        <v>1452</v>
      </c>
      <c r="I323" s="12" t="s">
        <v>1420</v>
      </c>
      <c r="J323" s="12" t="s">
        <v>1420</v>
      </c>
      <c r="K323" s="12" t="s">
        <v>1420</v>
      </c>
      <c r="L323" s="12" t="s">
        <v>1420</v>
      </c>
      <c r="M323" s="12" t="s">
        <v>1420</v>
      </c>
      <c r="N323" s="12" t="s">
        <v>1420</v>
      </c>
      <c r="O323" s="12" t="s">
        <v>1420</v>
      </c>
      <c r="P323" s="12" t="s">
        <v>1420</v>
      </c>
      <c r="Q323" s="12" t="s">
        <v>1420</v>
      </c>
      <c r="R323" s="12" t="s">
        <v>1420</v>
      </c>
      <c r="S323" s="12" t="s">
        <v>1414</v>
      </c>
      <c r="T323" s="12" t="s">
        <v>1420</v>
      </c>
      <c r="U323" s="12" t="s">
        <v>1420</v>
      </c>
      <c r="V323" s="12" t="s">
        <v>1420</v>
      </c>
      <c r="W323" s="12" t="s">
        <v>1420</v>
      </c>
      <c r="X323" s="12" t="s">
        <v>1420</v>
      </c>
      <c r="Y323" s="12" t="s">
        <v>1420</v>
      </c>
      <c r="Z323" s="12" t="s">
        <v>1420</v>
      </c>
      <c r="AA323" s="12" t="s">
        <v>1420</v>
      </c>
      <c r="AB323" s="12" t="s">
        <v>1420</v>
      </c>
      <c r="AC323" s="12" t="s">
        <v>1420</v>
      </c>
      <c r="AD323" s="12" t="s">
        <v>1420</v>
      </c>
      <c r="AE323" s="12" t="s">
        <v>1420</v>
      </c>
      <c r="AF323" s="12" t="s">
        <v>1420</v>
      </c>
      <c r="AG323" s="12" t="s">
        <v>1420</v>
      </c>
    </row>
    <row r="324" spans="1:33" ht="14.4" x14ac:dyDescent="0.3">
      <c r="A324" s="12" t="s">
        <v>25</v>
      </c>
      <c r="B324" s="12" t="s">
        <v>1342</v>
      </c>
      <c r="C324" s="12" t="s">
        <v>1341</v>
      </c>
      <c r="D324" s="12" t="s">
        <v>1410</v>
      </c>
      <c r="E324" s="12" t="s">
        <v>1458</v>
      </c>
      <c r="F324" s="12" t="s">
        <v>1459</v>
      </c>
      <c r="G324" s="12" t="s">
        <v>1460</v>
      </c>
      <c r="H324" s="12" t="s">
        <v>1419</v>
      </c>
      <c r="I324" s="12" t="s">
        <v>1420</v>
      </c>
      <c r="J324" s="12" t="s">
        <v>1420</v>
      </c>
      <c r="K324" s="12" t="s">
        <v>1420</v>
      </c>
      <c r="L324" s="12" t="s">
        <v>1420</v>
      </c>
      <c r="M324" s="12" t="s">
        <v>1420</v>
      </c>
      <c r="N324" s="12" t="s">
        <v>1420</v>
      </c>
      <c r="O324" s="12" t="s">
        <v>1420</v>
      </c>
      <c r="P324" s="12" t="s">
        <v>1414</v>
      </c>
      <c r="Q324" s="12" t="s">
        <v>1420</v>
      </c>
      <c r="R324" s="12" t="s">
        <v>1420</v>
      </c>
      <c r="S324" s="12" t="s">
        <v>1420</v>
      </c>
      <c r="T324" s="12" t="s">
        <v>1420</v>
      </c>
      <c r="U324" s="12" t="s">
        <v>1420</v>
      </c>
      <c r="V324" s="12" t="s">
        <v>1420</v>
      </c>
      <c r="W324" s="12" t="s">
        <v>1420</v>
      </c>
      <c r="X324" s="12" t="s">
        <v>1420</v>
      </c>
      <c r="Y324" s="12" t="s">
        <v>1420</v>
      </c>
      <c r="Z324" s="12" t="s">
        <v>1420</v>
      </c>
      <c r="AA324" s="12" t="s">
        <v>1420</v>
      </c>
      <c r="AB324" s="12" t="s">
        <v>1420</v>
      </c>
      <c r="AC324" s="12" t="s">
        <v>1414</v>
      </c>
      <c r="AD324" s="12" t="s">
        <v>1420</v>
      </c>
      <c r="AE324" s="12" t="s">
        <v>1420</v>
      </c>
      <c r="AF324" s="12" t="s">
        <v>1420</v>
      </c>
      <c r="AG324" s="12" t="s">
        <v>1420</v>
      </c>
    </row>
    <row r="325" spans="1:33" ht="14.4" x14ac:dyDescent="0.3">
      <c r="A325" s="12" t="s">
        <v>55</v>
      </c>
      <c r="B325" s="12" t="s">
        <v>544</v>
      </c>
      <c r="C325" s="12" t="s">
        <v>543</v>
      </c>
      <c r="D325" s="12" t="s">
        <v>1410</v>
      </c>
      <c r="E325" s="12" t="s">
        <v>1633</v>
      </c>
      <c r="F325" s="12" t="s">
        <v>1636</v>
      </c>
      <c r="G325" s="12" t="s">
        <v>1637</v>
      </c>
      <c r="H325" s="12" t="s">
        <v>1448</v>
      </c>
      <c r="I325" s="12" t="s">
        <v>1420</v>
      </c>
      <c r="J325" s="12" t="s">
        <v>1420</v>
      </c>
      <c r="K325" s="12" t="s">
        <v>1420</v>
      </c>
      <c r="L325" s="12" t="s">
        <v>1420</v>
      </c>
      <c r="M325" s="12" t="s">
        <v>1420</v>
      </c>
      <c r="N325" s="12" t="s">
        <v>1420</v>
      </c>
      <c r="O325" s="12" t="s">
        <v>1420</v>
      </c>
      <c r="P325" s="12" t="s">
        <v>1420</v>
      </c>
      <c r="Q325" s="12" t="s">
        <v>1420</v>
      </c>
      <c r="R325" s="12" t="s">
        <v>1420</v>
      </c>
      <c r="S325" s="12" t="s">
        <v>1420</v>
      </c>
      <c r="T325" s="12" t="s">
        <v>1420</v>
      </c>
      <c r="U325" s="12" t="s">
        <v>1420</v>
      </c>
      <c r="V325" s="12" t="s">
        <v>1420</v>
      </c>
      <c r="W325" s="12" t="s">
        <v>1420</v>
      </c>
      <c r="X325" s="12" t="s">
        <v>1414</v>
      </c>
      <c r="Y325" s="12" t="s">
        <v>1420</v>
      </c>
      <c r="Z325" s="12" t="s">
        <v>1414</v>
      </c>
      <c r="AA325" s="12" t="s">
        <v>1414</v>
      </c>
      <c r="AB325" s="12" t="s">
        <v>1414</v>
      </c>
      <c r="AC325" s="12" t="s">
        <v>1414</v>
      </c>
      <c r="AD325" s="12" t="s">
        <v>1420</v>
      </c>
      <c r="AE325" s="12" t="s">
        <v>1420</v>
      </c>
      <c r="AF325" s="12" t="s">
        <v>1420</v>
      </c>
      <c r="AG325" s="12" t="s">
        <v>1420</v>
      </c>
    </row>
    <row r="326" spans="1:33" ht="14.4" x14ac:dyDescent="0.3">
      <c r="A326" s="12" t="s">
        <v>31</v>
      </c>
      <c r="B326" s="12" t="s">
        <v>544</v>
      </c>
      <c r="C326" s="12" t="s">
        <v>846</v>
      </c>
      <c r="D326" s="12" t="s">
        <v>1410</v>
      </c>
      <c r="E326" s="12" t="s">
        <v>2394</v>
      </c>
      <c r="F326" s="12" t="s">
        <v>2395</v>
      </c>
      <c r="G326" s="12" t="s">
        <v>2396</v>
      </c>
      <c r="H326" s="12" t="s">
        <v>1464</v>
      </c>
      <c r="I326" s="12" t="s">
        <v>1420</v>
      </c>
      <c r="J326" s="12" t="s">
        <v>1420</v>
      </c>
      <c r="K326" s="12" t="s">
        <v>1420</v>
      </c>
      <c r="L326" s="12" t="s">
        <v>1420</v>
      </c>
      <c r="M326" s="12" t="s">
        <v>1420</v>
      </c>
      <c r="N326" s="12" t="s">
        <v>1420</v>
      </c>
      <c r="O326" s="12" t="s">
        <v>1420</v>
      </c>
      <c r="P326" s="12" t="s">
        <v>1420</v>
      </c>
      <c r="Q326" s="12" t="s">
        <v>1420</v>
      </c>
      <c r="R326" s="12" t="s">
        <v>1420</v>
      </c>
      <c r="S326" s="12" t="s">
        <v>1420</v>
      </c>
      <c r="T326" s="12" t="s">
        <v>1420</v>
      </c>
      <c r="U326" s="12" t="s">
        <v>1420</v>
      </c>
      <c r="V326" s="12" t="s">
        <v>1420</v>
      </c>
      <c r="W326" s="12" t="s">
        <v>1420</v>
      </c>
      <c r="X326" s="12" t="s">
        <v>1420</v>
      </c>
      <c r="Y326" s="12" t="s">
        <v>1420</v>
      </c>
      <c r="Z326" s="12" t="s">
        <v>1420</v>
      </c>
      <c r="AA326" s="12" t="s">
        <v>1420</v>
      </c>
      <c r="AB326" s="12" t="s">
        <v>1420</v>
      </c>
      <c r="AC326" s="12" t="s">
        <v>1420</v>
      </c>
      <c r="AD326" s="12" t="s">
        <v>1420</v>
      </c>
      <c r="AE326" s="12" t="s">
        <v>1420</v>
      </c>
      <c r="AF326" s="12" t="s">
        <v>1420</v>
      </c>
      <c r="AG326" s="12" t="s">
        <v>1420</v>
      </c>
    </row>
    <row r="327" spans="1:33" ht="14.4" x14ac:dyDescent="0.3">
      <c r="A327" s="12" t="s">
        <v>547</v>
      </c>
      <c r="B327" s="12" t="s">
        <v>546</v>
      </c>
      <c r="C327" s="12" t="s">
        <v>545</v>
      </c>
      <c r="D327" s="12" t="s">
        <v>1410</v>
      </c>
      <c r="E327" s="12" t="s">
        <v>1561</v>
      </c>
      <c r="F327" s="12" t="s">
        <v>1580</v>
      </c>
      <c r="G327" s="12" t="s">
        <v>1581</v>
      </c>
      <c r="H327" s="12" t="s">
        <v>1419</v>
      </c>
      <c r="I327" s="12" t="s">
        <v>1420</v>
      </c>
      <c r="J327" s="12" t="s">
        <v>1420</v>
      </c>
      <c r="K327" s="12" t="s">
        <v>1420</v>
      </c>
      <c r="L327" s="12" t="s">
        <v>1420</v>
      </c>
      <c r="M327" s="12" t="s">
        <v>1420</v>
      </c>
      <c r="N327" s="12" t="s">
        <v>1420</v>
      </c>
      <c r="O327" s="12" t="s">
        <v>1414</v>
      </c>
      <c r="P327" s="12" t="s">
        <v>1420</v>
      </c>
      <c r="Q327" s="12" t="s">
        <v>1420</v>
      </c>
      <c r="R327" s="12" t="s">
        <v>1420</v>
      </c>
      <c r="S327" s="12" t="s">
        <v>1420</v>
      </c>
      <c r="T327" s="12" t="s">
        <v>1420</v>
      </c>
      <c r="U327" s="12" t="s">
        <v>1420</v>
      </c>
      <c r="V327" s="12" t="s">
        <v>1420</v>
      </c>
      <c r="W327" s="12" t="s">
        <v>1420</v>
      </c>
      <c r="X327" s="12" t="s">
        <v>1420</v>
      </c>
      <c r="Y327" s="12" t="s">
        <v>1420</v>
      </c>
      <c r="Z327" s="12" t="s">
        <v>1420</v>
      </c>
      <c r="AA327" s="12" t="s">
        <v>1414</v>
      </c>
      <c r="AB327" s="12" t="s">
        <v>1420</v>
      </c>
      <c r="AC327" s="12" t="s">
        <v>1420</v>
      </c>
      <c r="AD327" s="12" t="s">
        <v>1420</v>
      </c>
      <c r="AE327" s="12" t="s">
        <v>1420</v>
      </c>
      <c r="AF327" s="12" t="s">
        <v>1420</v>
      </c>
      <c r="AG327" s="12" t="s">
        <v>1420</v>
      </c>
    </row>
    <row r="328" spans="1:33" ht="14.4" x14ac:dyDescent="0.3">
      <c r="A328" s="12" t="s">
        <v>42</v>
      </c>
      <c r="B328" s="12" t="s">
        <v>5672</v>
      </c>
      <c r="C328" s="12" t="s">
        <v>5673</v>
      </c>
      <c r="D328" s="12" t="s">
        <v>1410</v>
      </c>
      <c r="E328" s="12" t="s">
        <v>5674</v>
      </c>
      <c r="F328" s="12" t="s">
        <v>5675</v>
      </c>
      <c r="G328" s="12" t="s">
        <v>5676</v>
      </c>
      <c r="H328" s="12" t="s">
        <v>1419</v>
      </c>
      <c r="I328" s="12" t="s">
        <v>1420</v>
      </c>
      <c r="J328" s="12" t="s">
        <v>1420</v>
      </c>
      <c r="K328" s="12" t="s">
        <v>1420</v>
      </c>
      <c r="L328" s="12" t="s">
        <v>1420</v>
      </c>
      <c r="M328" s="12" t="s">
        <v>1420</v>
      </c>
      <c r="N328" s="12" t="s">
        <v>1420</v>
      </c>
      <c r="O328" s="12" t="s">
        <v>1420</v>
      </c>
      <c r="P328" s="12" t="s">
        <v>1414</v>
      </c>
      <c r="Q328" s="12" t="s">
        <v>1414</v>
      </c>
      <c r="R328" s="12" t="s">
        <v>1420</v>
      </c>
      <c r="S328" s="12" t="s">
        <v>1420</v>
      </c>
      <c r="T328" s="12" t="s">
        <v>1420</v>
      </c>
      <c r="U328" s="12" t="s">
        <v>1420</v>
      </c>
      <c r="V328" s="12" t="s">
        <v>1420</v>
      </c>
      <c r="W328" s="12" t="s">
        <v>1420</v>
      </c>
      <c r="X328" s="12" t="s">
        <v>1420</v>
      </c>
      <c r="Y328" s="12" t="s">
        <v>1420</v>
      </c>
      <c r="Z328" s="12" t="s">
        <v>1420</v>
      </c>
      <c r="AA328" s="12" t="s">
        <v>1420</v>
      </c>
      <c r="AB328" s="12" t="s">
        <v>1420</v>
      </c>
      <c r="AC328" s="12" t="s">
        <v>1420</v>
      </c>
      <c r="AD328" s="12" t="s">
        <v>1420</v>
      </c>
      <c r="AE328" s="12" t="s">
        <v>1420</v>
      </c>
      <c r="AF328" s="12" t="s">
        <v>1420</v>
      </c>
      <c r="AG328" s="12" t="s">
        <v>1420</v>
      </c>
    </row>
    <row r="329" spans="1:33" ht="14.4" x14ac:dyDescent="0.3">
      <c r="A329" s="12" t="s">
        <v>8</v>
      </c>
      <c r="B329" s="12" t="s">
        <v>94</v>
      </c>
      <c r="C329" s="12" t="s">
        <v>93</v>
      </c>
      <c r="D329" s="12" t="s">
        <v>1410</v>
      </c>
      <c r="E329" s="12" t="s">
        <v>2408</v>
      </c>
      <c r="F329" s="12" t="s">
        <v>2409</v>
      </c>
      <c r="G329" s="12" t="s">
        <v>2410</v>
      </c>
      <c r="H329" s="12" t="s">
        <v>1424</v>
      </c>
      <c r="I329" s="12" t="s">
        <v>1420</v>
      </c>
      <c r="J329" s="12" t="s">
        <v>1420</v>
      </c>
      <c r="K329" s="12" t="s">
        <v>1420</v>
      </c>
      <c r="L329" s="12" t="s">
        <v>1420</v>
      </c>
      <c r="M329" s="12" t="s">
        <v>1420</v>
      </c>
      <c r="N329" s="12" t="s">
        <v>1420</v>
      </c>
      <c r="O329" s="12" t="s">
        <v>1420</v>
      </c>
      <c r="P329" s="12" t="s">
        <v>1420</v>
      </c>
      <c r="Q329" s="12" t="s">
        <v>1420</v>
      </c>
      <c r="R329" s="12" t="s">
        <v>1420</v>
      </c>
      <c r="S329" s="12" t="s">
        <v>1414</v>
      </c>
      <c r="T329" s="12" t="s">
        <v>1420</v>
      </c>
      <c r="U329" s="12" t="s">
        <v>1420</v>
      </c>
      <c r="V329" s="12" t="s">
        <v>1420</v>
      </c>
      <c r="W329" s="12" t="s">
        <v>1420</v>
      </c>
      <c r="X329" s="12" t="s">
        <v>1420</v>
      </c>
      <c r="Y329" s="12" t="s">
        <v>1420</v>
      </c>
      <c r="Z329" s="12" t="s">
        <v>1420</v>
      </c>
      <c r="AA329" s="12" t="s">
        <v>1420</v>
      </c>
      <c r="AB329" s="12" t="s">
        <v>1420</v>
      </c>
      <c r="AC329" s="12" t="s">
        <v>1414</v>
      </c>
      <c r="AD329" s="12" t="s">
        <v>1420</v>
      </c>
      <c r="AE329" s="12" t="s">
        <v>1414</v>
      </c>
      <c r="AF329" s="12" t="s">
        <v>1420</v>
      </c>
      <c r="AG329" s="12" t="s">
        <v>1420</v>
      </c>
    </row>
    <row r="330" spans="1:33" ht="14.4" x14ac:dyDescent="0.3">
      <c r="A330" s="12" t="s">
        <v>5677</v>
      </c>
      <c r="B330" s="12" t="s">
        <v>5678</v>
      </c>
      <c r="C330" s="12" t="s">
        <v>5679</v>
      </c>
      <c r="D330" s="12" t="s">
        <v>1410</v>
      </c>
      <c r="E330" s="12" t="s">
        <v>5680</v>
      </c>
      <c r="F330" s="12" t="s">
        <v>5681</v>
      </c>
      <c r="G330" s="12" t="s">
        <v>3114</v>
      </c>
      <c r="H330" s="12" t="s">
        <v>1419</v>
      </c>
      <c r="I330" s="12" t="s">
        <v>1420</v>
      </c>
      <c r="J330" s="12" t="s">
        <v>1420</v>
      </c>
      <c r="K330" s="12" t="s">
        <v>1420</v>
      </c>
      <c r="L330" s="12" t="s">
        <v>1420</v>
      </c>
      <c r="M330" s="12" t="s">
        <v>1420</v>
      </c>
      <c r="N330" s="12" t="s">
        <v>1420</v>
      </c>
      <c r="O330" s="12" t="s">
        <v>1420</v>
      </c>
      <c r="P330" s="12" t="s">
        <v>1420</v>
      </c>
      <c r="Q330" s="12" t="s">
        <v>1420</v>
      </c>
      <c r="R330" s="12" t="s">
        <v>1420</v>
      </c>
      <c r="S330" s="12" t="s">
        <v>1420</v>
      </c>
      <c r="T330" s="12" t="s">
        <v>1420</v>
      </c>
      <c r="U330" s="12" t="s">
        <v>1420</v>
      </c>
      <c r="V330" s="12" t="s">
        <v>1420</v>
      </c>
      <c r="W330" s="12" t="s">
        <v>1420</v>
      </c>
      <c r="X330" s="12" t="s">
        <v>1420</v>
      </c>
      <c r="Y330" s="12" t="s">
        <v>1420</v>
      </c>
      <c r="Z330" s="12" t="s">
        <v>1420</v>
      </c>
      <c r="AA330" s="12" t="s">
        <v>1420</v>
      </c>
      <c r="AB330" s="12" t="s">
        <v>1420</v>
      </c>
      <c r="AC330" s="12" t="s">
        <v>1414</v>
      </c>
      <c r="AD330" s="12" t="s">
        <v>1414</v>
      </c>
      <c r="AE330" s="12" t="s">
        <v>1420</v>
      </c>
      <c r="AF330" s="12" t="s">
        <v>1420</v>
      </c>
      <c r="AG330" s="12" t="s">
        <v>1420</v>
      </c>
    </row>
    <row r="331" spans="1:33" ht="14.4" x14ac:dyDescent="0.3">
      <c r="A331" s="12" t="s">
        <v>280</v>
      </c>
      <c r="B331" s="12" t="s">
        <v>331</v>
      </c>
      <c r="C331" s="12" t="s">
        <v>330</v>
      </c>
      <c r="D331" s="12" t="s">
        <v>1410</v>
      </c>
      <c r="E331" s="12" t="s">
        <v>1750</v>
      </c>
      <c r="F331" s="12" t="s">
        <v>1751</v>
      </c>
      <c r="G331" s="12" t="s">
        <v>1752</v>
      </c>
      <c r="H331" s="12" t="s">
        <v>1424</v>
      </c>
      <c r="I331" s="12" t="s">
        <v>1420</v>
      </c>
      <c r="J331" s="12" t="s">
        <v>1420</v>
      </c>
      <c r="K331" s="12" t="s">
        <v>1420</v>
      </c>
      <c r="L331" s="12" t="s">
        <v>1420</v>
      </c>
      <c r="M331" s="12" t="s">
        <v>1420</v>
      </c>
      <c r="N331" s="12" t="s">
        <v>1420</v>
      </c>
      <c r="O331" s="12" t="s">
        <v>1414</v>
      </c>
      <c r="P331" s="12" t="s">
        <v>1420</v>
      </c>
      <c r="Q331" s="12" t="s">
        <v>1420</v>
      </c>
      <c r="R331" s="12" t="s">
        <v>1414</v>
      </c>
      <c r="S331" s="12" t="s">
        <v>1414</v>
      </c>
      <c r="T331" s="12" t="s">
        <v>1420</v>
      </c>
      <c r="U331" s="12" t="s">
        <v>1420</v>
      </c>
      <c r="V331" s="12" t="s">
        <v>1420</v>
      </c>
      <c r="W331" s="12" t="s">
        <v>1420</v>
      </c>
      <c r="X331" s="12" t="s">
        <v>1420</v>
      </c>
      <c r="Y331" s="12" t="s">
        <v>1420</v>
      </c>
      <c r="Z331" s="12" t="s">
        <v>1420</v>
      </c>
      <c r="AA331" s="12" t="s">
        <v>1420</v>
      </c>
      <c r="AB331" s="12" t="s">
        <v>1420</v>
      </c>
      <c r="AC331" s="12" t="s">
        <v>1420</v>
      </c>
      <c r="AD331" s="12" t="s">
        <v>1420</v>
      </c>
      <c r="AE331" s="12" t="s">
        <v>1420</v>
      </c>
      <c r="AF331" s="12" t="s">
        <v>1420</v>
      </c>
      <c r="AG331" s="12" t="s">
        <v>1420</v>
      </c>
    </row>
    <row r="332" spans="1:33" ht="14.4" x14ac:dyDescent="0.3">
      <c r="A332" s="12" t="s">
        <v>71</v>
      </c>
      <c r="B332" s="12" t="s">
        <v>5682</v>
      </c>
      <c r="C332" s="12" t="s">
        <v>5683</v>
      </c>
      <c r="D332" s="12" t="s">
        <v>1410</v>
      </c>
      <c r="E332" s="12" t="s">
        <v>5547</v>
      </c>
      <c r="F332" s="12" t="s">
        <v>5684</v>
      </c>
      <c r="G332" s="12" t="s">
        <v>4491</v>
      </c>
      <c r="H332" s="12" t="s">
        <v>1464</v>
      </c>
      <c r="I332" s="12" t="s">
        <v>1420</v>
      </c>
      <c r="J332" s="12" t="s">
        <v>1420</v>
      </c>
      <c r="K332" s="12" t="s">
        <v>1420</v>
      </c>
      <c r="L332" s="12" t="s">
        <v>1420</v>
      </c>
      <c r="M332" s="12" t="s">
        <v>1420</v>
      </c>
      <c r="N332" s="12" t="s">
        <v>1420</v>
      </c>
      <c r="O332" s="12" t="s">
        <v>1420</v>
      </c>
      <c r="P332" s="12" t="s">
        <v>1420</v>
      </c>
      <c r="Q332" s="12" t="s">
        <v>1420</v>
      </c>
      <c r="R332" s="12" t="s">
        <v>1420</v>
      </c>
      <c r="S332" s="12" t="s">
        <v>1420</v>
      </c>
      <c r="T332" s="12" t="s">
        <v>1420</v>
      </c>
      <c r="U332" s="12" t="s">
        <v>1420</v>
      </c>
      <c r="V332" s="12" t="s">
        <v>1420</v>
      </c>
      <c r="W332" s="12" t="s">
        <v>1420</v>
      </c>
      <c r="X332" s="12" t="s">
        <v>1420</v>
      </c>
      <c r="Y332" s="12" t="s">
        <v>1420</v>
      </c>
      <c r="Z332" s="12" t="s">
        <v>1420</v>
      </c>
      <c r="AA332" s="12" t="s">
        <v>1420</v>
      </c>
      <c r="AB332" s="12" t="s">
        <v>1420</v>
      </c>
      <c r="AC332" s="12" t="s">
        <v>1420</v>
      </c>
      <c r="AD332" s="12" t="s">
        <v>1420</v>
      </c>
      <c r="AE332" s="12" t="s">
        <v>1420</v>
      </c>
      <c r="AF332" s="12" t="s">
        <v>1420</v>
      </c>
      <c r="AG332" s="12" t="s">
        <v>1420</v>
      </c>
    </row>
    <row r="333" spans="1:33" ht="14.4" x14ac:dyDescent="0.3">
      <c r="A333" s="12" t="s">
        <v>11</v>
      </c>
      <c r="B333" s="12" t="s">
        <v>5685</v>
      </c>
      <c r="C333" s="12" t="s">
        <v>5686</v>
      </c>
      <c r="D333" s="12" t="s">
        <v>1410</v>
      </c>
      <c r="E333" s="12" t="s">
        <v>5687</v>
      </c>
      <c r="F333" s="12" t="s">
        <v>5688</v>
      </c>
      <c r="G333" s="12" t="s">
        <v>5689</v>
      </c>
      <c r="H333" s="12" t="s">
        <v>1464</v>
      </c>
      <c r="I333" s="12" t="s">
        <v>1420</v>
      </c>
      <c r="J333" s="12" t="s">
        <v>1420</v>
      </c>
      <c r="K333" s="12" t="s">
        <v>1420</v>
      </c>
      <c r="L333" s="12" t="s">
        <v>1420</v>
      </c>
      <c r="M333" s="12" t="s">
        <v>1420</v>
      </c>
      <c r="N333" s="12" t="s">
        <v>1420</v>
      </c>
      <c r="O333" s="12" t="s">
        <v>1420</v>
      </c>
      <c r="P333" s="12" t="s">
        <v>1420</v>
      </c>
      <c r="Q333" s="12" t="s">
        <v>1420</v>
      </c>
      <c r="R333" s="12" t="s">
        <v>1420</v>
      </c>
      <c r="S333" s="12" t="s">
        <v>1420</v>
      </c>
      <c r="T333" s="12" t="s">
        <v>1420</v>
      </c>
      <c r="U333" s="12" t="s">
        <v>1420</v>
      </c>
      <c r="V333" s="12" t="s">
        <v>1420</v>
      </c>
      <c r="W333" s="12" t="s">
        <v>1420</v>
      </c>
      <c r="X333" s="12" t="s">
        <v>1420</v>
      </c>
      <c r="Y333" s="12" t="s">
        <v>1420</v>
      </c>
      <c r="Z333" s="12" t="s">
        <v>1420</v>
      </c>
      <c r="AA333" s="12" t="s">
        <v>1420</v>
      </c>
      <c r="AB333" s="12" t="s">
        <v>1420</v>
      </c>
      <c r="AC333" s="12" t="s">
        <v>1420</v>
      </c>
      <c r="AD333" s="12" t="s">
        <v>1420</v>
      </c>
      <c r="AE333" s="12" t="s">
        <v>1420</v>
      </c>
      <c r="AF333" s="12" t="s">
        <v>1420</v>
      </c>
      <c r="AG333" s="12" t="s">
        <v>1420</v>
      </c>
    </row>
    <row r="334" spans="1:33" ht="14.4" x14ac:dyDescent="0.3">
      <c r="A334" s="12" t="s">
        <v>42</v>
      </c>
      <c r="B334" s="12" t="s">
        <v>848</v>
      </c>
      <c r="C334" s="12" t="s">
        <v>847</v>
      </c>
      <c r="D334" s="12" t="s">
        <v>1410</v>
      </c>
      <c r="E334" s="12" t="s">
        <v>1956</v>
      </c>
      <c r="F334" s="12" t="s">
        <v>1982</v>
      </c>
      <c r="G334" s="12" t="s">
        <v>1447</v>
      </c>
      <c r="H334" s="12" t="s">
        <v>1438</v>
      </c>
      <c r="I334" s="12" t="s">
        <v>1420</v>
      </c>
      <c r="J334" s="12" t="s">
        <v>1420</v>
      </c>
      <c r="K334" s="12" t="s">
        <v>1420</v>
      </c>
      <c r="L334" s="12" t="s">
        <v>1420</v>
      </c>
      <c r="M334" s="12" t="s">
        <v>1420</v>
      </c>
      <c r="N334" s="12" t="s">
        <v>1414</v>
      </c>
      <c r="O334" s="12" t="s">
        <v>1420</v>
      </c>
      <c r="P334" s="12" t="s">
        <v>1420</v>
      </c>
      <c r="Q334" s="12" t="s">
        <v>1420</v>
      </c>
      <c r="R334" s="12" t="s">
        <v>1420</v>
      </c>
      <c r="S334" s="12" t="s">
        <v>1420</v>
      </c>
      <c r="T334" s="12" t="s">
        <v>1414</v>
      </c>
      <c r="U334" s="12" t="s">
        <v>1414</v>
      </c>
      <c r="V334" s="12" t="s">
        <v>1420</v>
      </c>
      <c r="W334" s="12" t="s">
        <v>1420</v>
      </c>
      <c r="X334" s="12" t="s">
        <v>1420</v>
      </c>
      <c r="Y334" s="12" t="s">
        <v>1420</v>
      </c>
      <c r="Z334" s="12" t="s">
        <v>1420</v>
      </c>
      <c r="AA334" s="12" t="s">
        <v>1420</v>
      </c>
      <c r="AB334" s="12" t="s">
        <v>1420</v>
      </c>
      <c r="AC334" s="12" t="s">
        <v>1420</v>
      </c>
      <c r="AD334" s="12" t="s">
        <v>1414</v>
      </c>
      <c r="AE334" s="12" t="s">
        <v>1414</v>
      </c>
      <c r="AF334" s="12" t="s">
        <v>1414</v>
      </c>
      <c r="AG334" s="12" t="s">
        <v>1420</v>
      </c>
    </row>
    <row r="335" spans="1:33" ht="14.4" x14ac:dyDescent="0.3">
      <c r="A335" s="12" t="s">
        <v>22</v>
      </c>
      <c r="B335" s="12" t="s">
        <v>848</v>
      </c>
      <c r="C335" s="12" t="s">
        <v>849</v>
      </c>
      <c r="D335" s="12" t="s">
        <v>1410</v>
      </c>
      <c r="E335" s="12" t="s">
        <v>3171</v>
      </c>
      <c r="F335" s="12" t="s">
        <v>3172</v>
      </c>
      <c r="G335" s="12" t="s">
        <v>3173</v>
      </c>
      <c r="H335" s="12" t="s">
        <v>1419</v>
      </c>
      <c r="I335" s="12" t="s">
        <v>1420</v>
      </c>
      <c r="J335" s="12" t="s">
        <v>1420</v>
      </c>
      <c r="K335" s="12" t="s">
        <v>1420</v>
      </c>
      <c r="L335" s="12" t="s">
        <v>1420</v>
      </c>
      <c r="M335" s="12" t="s">
        <v>1420</v>
      </c>
      <c r="N335" s="12" t="s">
        <v>1414</v>
      </c>
      <c r="O335" s="12" t="s">
        <v>1414</v>
      </c>
      <c r="P335" s="12" t="s">
        <v>1420</v>
      </c>
      <c r="Q335" s="12" t="s">
        <v>1420</v>
      </c>
      <c r="R335" s="12" t="s">
        <v>1420</v>
      </c>
      <c r="S335" s="12" t="s">
        <v>1420</v>
      </c>
      <c r="T335" s="12" t="s">
        <v>1420</v>
      </c>
      <c r="U335" s="12" t="s">
        <v>1420</v>
      </c>
      <c r="V335" s="12" t="s">
        <v>1420</v>
      </c>
      <c r="W335" s="12" t="s">
        <v>1420</v>
      </c>
      <c r="X335" s="12" t="s">
        <v>1420</v>
      </c>
      <c r="Y335" s="12" t="s">
        <v>1420</v>
      </c>
      <c r="Z335" s="12" t="s">
        <v>1420</v>
      </c>
      <c r="AA335" s="12" t="s">
        <v>1420</v>
      </c>
      <c r="AB335" s="12" t="s">
        <v>1420</v>
      </c>
      <c r="AC335" s="12" t="s">
        <v>1420</v>
      </c>
      <c r="AD335" s="12" t="s">
        <v>1420</v>
      </c>
      <c r="AE335" s="12" t="s">
        <v>1420</v>
      </c>
      <c r="AF335" s="12" t="s">
        <v>1420</v>
      </c>
      <c r="AG335" s="12" t="s">
        <v>1420</v>
      </c>
    </row>
    <row r="336" spans="1:33" ht="14.4" x14ac:dyDescent="0.3">
      <c r="A336" s="12" t="s">
        <v>28</v>
      </c>
      <c r="B336" s="12" t="s">
        <v>851</v>
      </c>
      <c r="C336" s="12" t="s">
        <v>850</v>
      </c>
      <c r="D336" s="12" t="s">
        <v>1410</v>
      </c>
      <c r="E336" s="12" t="s">
        <v>2799</v>
      </c>
      <c r="F336" s="12" t="s">
        <v>2800</v>
      </c>
      <c r="G336" s="12" t="s">
        <v>2801</v>
      </c>
      <c r="H336" s="12" t="s">
        <v>1488</v>
      </c>
      <c r="I336" s="12" t="s">
        <v>1420</v>
      </c>
      <c r="J336" s="12" t="s">
        <v>1420</v>
      </c>
      <c r="K336" s="12" t="s">
        <v>1420</v>
      </c>
      <c r="L336" s="12" t="s">
        <v>1420</v>
      </c>
      <c r="M336" s="12" t="s">
        <v>1420</v>
      </c>
      <c r="N336" s="12" t="s">
        <v>1420</v>
      </c>
      <c r="O336" s="12" t="s">
        <v>1420</v>
      </c>
      <c r="P336" s="12" t="s">
        <v>1414</v>
      </c>
      <c r="Q336" s="12" t="s">
        <v>1420</v>
      </c>
      <c r="R336" s="12" t="s">
        <v>1420</v>
      </c>
      <c r="S336" s="12" t="s">
        <v>1420</v>
      </c>
      <c r="T336" s="12" t="s">
        <v>1420</v>
      </c>
      <c r="U336" s="12" t="s">
        <v>1420</v>
      </c>
      <c r="V336" s="12" t="s">
        <v>1420</v>
      </c>
      <c r="W336" s="12" t="s">
        <v>1420</v>
      </c>
      <c r="X336" s="12" t="s">
        <v>1414</v>
      </c>
      <c r="Y336" s="12" t="s">
        <v>1420</v>
      </c>
      <c r="Z336" s="12" t="s">
        <v>1420</v>
      </c>
      <c r="AA336" s="12" t="s">
        <v>1420</v>
      </c>
      <c r="AB336" s="12" t="s">
        <v>1420</v>
      </c>
      <c r="AC336" s="12" t="s">
        <v>1414</v>
      </c>
      <c r="AD336" s="12" t="s">
        <v>1414</v>
      </c>
      <c r="AE336" s="12" t="s">
        <v>1420</v>
      </c>
      <c r="AF336" s="12" t="s">
        <v>1420</v>
      </c>
      <c r="AG336" s="12" t="s">
        <v>1420</v>
      </c>
    </row>
    <row r="337" spans="1:33" ht="14.4" x14ac:dyDescent="0.3">
      <c r="A337" s="12" t="s">
        <v>28</v>
      </c>
      <c r="B337" s="12" t="s">
        <v>851</v>
      </c>
      <c r="C337" s="12" t="s">
        <v>850</v>
      </c>
      <c r="D337" s="12" t="s">
        <v>1410</v>
      </c>
      <c r="E337" s="12" t="s">
        <v>2808</v>
      </c>
      <c r="F337" s="12" t="s">
        <v>2809</v>
      </c>
      <c r="G337" s="12" t="s">
        <v>1527</v>
      </c>
      <c r="H337" s="12" t="s">
        <v>1419</v>
      </c>
      <c r="I337" s="12" t="s">
        <v>1420</v>
      </c>
      <c r="J337" s="12" t="s">
        <v>1420</v>
      </c>
      <c r="K337" s="12" t="s">
        <v>1420</v>
      </c>
      <c r="L337" s="12" t="s">
        <v>1420</v>
      </c>
      <c r="M337" s="12" t="s">
        <v>1420</v>
      </c>
      <c r="N337" s="12" t="s">
        <v>1420</v>
      </c>
      <c r="O337" s="12" t="s">
        <v>1420</v>
      </c>
      <c r="P337" s="12" t="s">
        <v>1420</v>
      </c>
      <c r="Q337" s="12" t="s">
        <v>1420</v>
      </c>
      <c r="R337" s="12" t="s">
        <v>1420</v>
      </c>
      <c r="S337" s="12" t="s">
        <v>1420</v>
      </c>
      <c r="T337" s="12" t="s">
        <v>1420</v>
      </c>
      <c r="U337" s="12" t="s">
        <v>1420</v>
      </c>
      <c r="V337" s="12" t="s">
        <v>1420</v>
      </c>
      <c r="W337" s="12" t="s">
        <v>1420</v>
      </c>
      <c r="X337" s="12" t="s">
        <v>1420</v>
      </c>
      <c r="Y337" s="12" t="s">
        <v>1420</v>
      </c>
      <c r="Z337" s="12" t="s">
        <v>1420</v>
      </c>
      <c r="AA337" s="12" t="s">
        <v>1414</v>
      </c>
      <c r="AB337" s="12" t="s">
        <v>1420</v>
      </c>
      <c r="AC337" s="12" t="s">
        <v>1420</v>
      </c>
      <c r="AD337" s="12" t="s">
        <v>1414</v>
      </c>
      <c r="AE337" s="12" t="s">
        <v>1420</v>
      </c>
      <c r="AF337" s="12" t="s">
        <v>1420</v>
      </c>
      <c r="AG337" s="12" t="s">
        <v>1420</v>
      </c>
    </row>
    <row r="338" spans="1:33" ht="14.4" x14ac:dyDescent="0.3">
      <c r="A338" s="12" t="s">
        <v>31</v>
      </c>
      <c r="B338" s="12" t="s">
        <v>853</v>
      </c>
      <c r="C338" s="12" t="s">
        <v>852</v>
      </c>
      <c r="D338" s="12" t="s">
        <v>1410</v>
      </c>
      <c r="E338" s="12" t="s">
        <v>2716</v>
      </c>
      <c r="F338" s="12" t="s">
        <v>2721</v>
      </c>
      <c r="G338" s="12" t="s">
        <v>2595</v>
      </c>
      <c r="H338" s="12" t="s">
        <v>1488</v>
      </c>
      <c r="I338" s="12" t="s">
        <v>1420</v>
      </c>
      <c r="J338" s="12" t="s">
        <v>1420</v>
      </c>
      <c r="K338" s="12" t="s">
        <v>1420</v>
      </c>
      <c r="L338" s="12" t="s">
        <v>1420</v>
      </c>
      <c r="M338" s="12" t="s">
        <v>1420</v>
      </c>
      <c r="N338" s="12" t="s">
        <v>1414</v>
      </c>
      <c r="O338" s="12" t="s">
        <v>1414</v>
      </c>
      <c r="P338" s="12" t="s">
        <v>1420</v>
      </c>
      <c r="Q338" s="12" t="s">
        <v>1420</v>
      </c>
      <c r="R338" s="12" t="s">
        <v>1420</v>
      </c>
      <c r="S338" s="12" t="s">
        <v>1420</v>
      </c>
      <c r="T338" s="12" t="s">
        <v>1420</v>
      </c>
      <c r="U338" s="12" t="s">
        <v>1420</v>
      </c>
      <c r="V338" s="12" t="s">
        <v>1420</v>
      </c>
      <c r="W338" s="12" t="s">
        <v>1420</v>
      </c>
      <c r="X338" s="12" t="s">
        <v>1414</v>
      </c>
      <c r="Y338" s="12" t="s">
        <v>1420</v>
      </c>
      <c r="Z338" s="12" t="s">
        <v>1420</v>
      </c>
      <c r="AA338" s="12" t="s">
        <v>1420</v>
      </c>
      <c r="AB338" s="12" t="s">
        <v>1420</v>
      </c>
      <c r="AC338" s="12" t="s">
        <v>1420</v>
      </c>
      <c r="AD338" s="12" t="s">
        <v>1420</v>
      </c>
      <c r="AE338" s="12" t="s">
        <v>1414</v>
      </c>
      <c r="AF338" s="12" t="s">
        <v>1420</v>
      </c>
      <c r="AG338" s="12" t="s">
        <v>1420</v>
      </c>
    </row>
    <row r="339" spans="1:33" ht="14.4" x14ac:dyDescent="0.3">
      <c r="A339" s="12" t="s">
        <v>42</v>
      </c>
      <c r="B339" s="12" t="s">
        <v>1197</v>
      </c>
      <c r="C339" s="12" t="s">
        <v>1196</v>
      </c>
      <c r="D339" s="12" t="s">
        <v>1410</v>
      </c>
      <c r="E339" s="12" t="s">
        <v>1972</v>
      </c>
      <c r="F339" s="12" t="s">
        <v>1973</v>
      </c>
      <c r="G339" s="12" t="s">
        <v>1974</v>
      </c>
      <c r="H339" s="12" t="s">
        <v>1419</v>
      </c>
      <c r="I339" s="12" t="s">
        <v>1420</v>
      </c>
      <c r="J339" s="12" t="s">
        <v>1420</v>
      </c>
      <c r="K339" s="12" t="s">
        <v>1420</v>
      </c>
      <c r="L339" s="12" t="s">
        <v>1420</v>
      </c>
      <c r="M339" s="12" t="s">
        <v>1420</v>
      </c>
      <c r="N339" s="12" t="s">
        <v>1414</v>
      </c>
      <c r="O339" s="12" t="s">
        <v>1420</v>
      </c>
      <c r="P339" s="12" t="s">
        <v>1420</v>
      </c>
      <c r="Q339" s="12" t="s">
        <v>1420</v>
      </c>
      <c r="R339" s="12" t="s">
        <v>1420</v>
      </c>
      <c r="S339" s="12" t="s">
        <v>1420</v>
      </c>
      <c r="T339" s="12" t="s">
        <v>1420</v>
      </c>
      <c r="U339" s="12" t="s">
        <v>1420</v>
      </c>
      <c r="V339" s="12" t="s">
        <v>1420</v>
      </c>
      <c r="W339" s="12" t="s">
        <v>1420</v>
      </c>
      <c r="X339" s="12" t="s">
        <v>1420</v>
      </c>
      <c r="Y339" s="12" t="s">
        <v>1420</v>
      </c>
      <c r="Z339" s="12" t="s">
        <v>1420</v>
      </c>
      <c r="AA339" s="12" t="s">
        <v>1420</v>
      </c>
      <c r="AB339" s="12" t="s">
        <v>1420</v>
      </c>
      <c r="AC339" s="12" t="s">
        <v>1420</v>
      </c>
      <c r="AD339" s="12" t="s">
        <v>1420</v>
      </c>
      <c r="AE339" s="12" t="s">
        <v>1414</v>
      </c>
      <c r="AF339" s="12" t="s">
        <v>1420</v>
      </c>
      <c r="AG339" s="12" t="s">
        <v>1420</v>
      </c>
    </row>
    <row r="340" spans="1:33" ht="14.4" x14ac:dyDescent="0.3">
      <c r="A340" s="12" t="s">
        <v>31</v>
      </c>
      <c r="B340" s="12" t="s">
        <v>855</v>
      </c>
      <c r="C340" s="12" t="s">
        <v>854</v>
      </c>
      <c r="D340" s="12" t="s">
        <v>1410</v>
      </c>
      <c r="E340" s="12" t="s">
        <v>2967</v>
      </c>
      <c r="F340" s="12" t="s">
        <v>2968</v>
      </c>
      <c r="G340" s="12" t="s">
        <v>2969</v>
      </c>
      <c r="H340" s="12" t="s">
        <v>1488</v>
      </c>
      <c r="I340" s="12" t="s">
        <v>1420</v>
      </c>
      <c r="J340" s="12" t="s">
        <v>1420</v>
      </c>
      <c r="K340" s="12" t="s">
        <v>1420</v>
      </c>
      <c r="L340" s="12" t="s">
        <v>1420</v>
      </c>
      <c r="M340" s="12" t="s">
        <v>1420</v>
      </c>
      <c r="N340" s="12" t="s">
        <v>1414</v>
      </c>
      <c r="O340" s="12" t="s">
        <v>1420</v>
      </c>
      <c r="P340" s="12" t="s">
        <v>1414</v>
      </c>
      <c r="Q340" s="12" t="s">
        <v>1420</v>
      </c>
      <c r="R340" s="12" t="s">
        <v>1420</v>
      </c>
      <c r="S340" s="12" t="s">
        <v>1414</v>
      </c>
      <c r="T340" s="12" t="s">
        <v>1420</v>
      </c>
      <c r="U340" s="12" t="s">
        <v>1420</v>
      </c>
      <c r="V340" s="12" t="s">
        <v>1420</v>
      </c>
      <c r="W340" s="12" t="s">
        <v>1420</v>
      </c>
      <c r="X340" s="12" t="s">
        <v>1414</v>
      </c>
      <c r="Y340" s="12" t="s">
        <v>1420</v>
      </c>
      <c r="Z340" s="12" t="s">
        <v>1420</v>
      </c>
      <c r="AA340" s="12" t="s">
        <v>1420</v>
      </c>
      <c r="AB340" s="12" t="s">
        <v>1420</v>
      </c>
      <c r="AC340" s="12" t="s">
        <v>1420</v>
      </c>
      <c r="AD340" s="12" t="s">
        <v>1420</v>
      </c>
      <c r="AE340" s="12" t="s">
        <v>1420</v>
      </c>
      <c r="AF340" s="12" t="s">
        <v>1420</v>
      </c>
      <c r="AG340" s="12" t="s">
        <v>1420</v>
      </c>
    </row>
    <row r="341" spans="1:33" ht="14.4" x14ac:dyDescent="0.3">
      <c r="A341" s="12" t="s">
        <v>8</v>
      </c>
      <c r="B341" s="12" t="s">
        <v>855</v>
      </c>
      <c r="C341" s="12" t="s">
        <v>856</v>
      </c>
      <c r="D341" s="12" t="s">
        <v>1410</v>
      </c>
      <c r="E341" s="12" t="s">
        <v>1961</v>
      </c>
      <c r="F341" s="12" t="s">
        <v>1962</v>
      </c>
      <c r="G341" s="12" t="s">
        <v>1963</v>
      </c>
      <c r="H341" s="12" t="s">
        <v>1419</v>
      </c>
      <c r="I341" s="12" t="s">
        <v>1420</v>
      </c>
      <c r="J341" s="12" t="s">
        <v>1420</v>
      </c>
      <c r="K341" s="12" t="s">
        <v>1420</v>
      </c>
      <c r="L341" s="12" t="s">
        <v>1420</v>
      </c>
      <c r="M341" s="12" t="s">
        <v>1420</v>
      </c>
      <c r="N341" s="12" t="s">
        <v>1420</v>
      </c>
      <c r="O341" s="12" t="s">
        <v>1414</v>
      </c>
      <c r="P341" s="12" t="s">
        <v>1414</v>
      </c>
      <c r="Q341" s="12" t="s">
        <v>1420</v>
      </c>
      <c r="R341" s="12" t="s">
        <v>1420</v>
      </c>
      <c r="S341" s="12" t="s">
        <v>1420</v>
      </c>
      <c r="T341" s="12" t="s">
        <v>1420</v>
      </c>
      <c r="U341" s="12" t="s">
        <v>1420</v>
      </c>
      <c r="V341" s="12" t="s">
        <v>1420</v>
      </c>
      <c r="W341" s="12" t="s">
        <v>1420</v>
      </c>
      <c r="X341" s="12" t="s">
        <v>1420</v>
      </c>
      <c r="Y341" s="12" t="s">
        <v>1420</v>
      </c>
      <c r="Z341" s="12" t="s">
        <v>1420</v>
      </c>
      <c r="AA341" s="12" t="s">
        <v>1420</v>
      </c>
      <c r="AB341" s="12" t="s">
        <v>1420</v>
      </c>
      <c r="AC341" s="12" t="s">
        <v>1420</v>
      </c>
      <c r="AD341" s="12" t="s">
        <v>1420</v>
      </c>
      <c r="AE341" s="12" t="s">
        <v>1420</v>
      </c>
      <c r="AF341" s="12" t="s">
        <v>1420</v>
      </c>
      <c r="AG341" s="12" t="s">
        <v>1420</v>
      </c>
    </row>
    <row r="342" spans="1:33" ht="14.4" x14ac:dyDescent="0.3">
      <c r="A342" s="12" t="s">
        <v>8</v>
      </c>
      <c r="B342" s="12" t="s">
        <v>855</v>
      </c>
      <c r="C342" s="12" t="s">
        <v>857</v>
      </c>
      <c r="D342" s="12" t="s">
        <v>1410</v>
      </c>
      <c r="E342" s="12" t="s">
        <v>3124</v>
      </c>
      <c r="F342" s="12" t="s">
        <v>3121</v>
      </c>
      <c r="G342" s="12" t="s">
        <v>3125</v>
      </c>
      <c r="H342" s="12" t="s">
        <v>1488</v>
      </c>
      <c r="I342" s="12" t="s">
        <v>1420</v>
      </c>
      <c r="J342" s="12" t="s">
        <v>1420</v>
      </c>
      <c r="K342" s="12" t="s">
        <v>1420</v>
      </c>
      <c r="L342" s="12" t="s">
        <v>1420</v>
      </c>
      <c r="M342" s="12" t="s">
        <v>1420</v>
      </c>
      <c r="N342" s="12" t="s">
        <v>1420</v>
      </c>
      <c r="O342" s="12" t="s">
        <v>1420</v>
      </c>
      <c r="P342" s="12" t="s">
        <v>1414</v>
      </c>
      <c r="Q342" s="12" t="s">
        <v>1420</v>
      </c>
      <c r="R342" s="12" t="s">
        <v>1414</v>
      </c>
      <c r="S342" s="12" t="s">
        <v>1414</v>
      </c>
      <c r="T342" s="12" t="s">
        <v>1420</v>
      </c>
      <c r="U342" s="12" t="s">
        <v>1420</v>
      </c>
      <c r="V342" s="12" t="s">
        <v>1420</v>
      </c>
      <c r="W342" s="12" t="s">
        <v>1420</v>
      </c>
      <c r="X342" s="12" t="s">
        <v>1420</v>
      </c>
      <c r="Y342" s="12" t="s">
        <v>1420</v>
      </c>
      <c r="Z342" s="12" t="s">
        <v>1420</v>
      </c>
      <c r="AA342" s="12" t="s">
        <v>1420</v>
      </c>
      <c r="AB342" s="12" t="s">
        <v>1420</v>
      </c>
      <c r="AC342" s="12" t="s">
        <v>1420</v>
      </c>
      <c r="AD342" s="12" t="s">
        <v>1414</v>
      </c>
      <c r="AE342" s="12" t="s">
        <v>1420</v>
      </c>
      <c r="AF342" s="12" t="s">
        <v>1420</v>
      </c>
      <c r="AG342" s="12" t="s">
        <v>1420</v>
      </c>
    </row>
    <row r="343" spans="1:33" ht="14.4" x14ac:dyDescent="0.3">
      <c r="A343" s="12" t="s">
        <v>25</v>
      </c>
      <c r="B343" s="12" t="s">
        <v>549</v>
      </c>
      <c r="C343" s="12" t="s">
        <v>548</v>
      </c>
      <c r="D343" s="12" t="s">
        <v>1410</v>
      </c>
      <c r="E343" s="12" t="s">
        <v>1504</v>
      </c>
      <c r="F343" s="12" t="s">
        <v>1505</v>
      </c>
      <c r="G343" s="12" t="s">
        <v>1413</v>
      </c>
      <c r="H343" s="12" t="s">
        <v>1506</v>
      </c>
      <c r="I343" s="12" t="s">
        <v>1420</v>
      </c>
      <c r="J343" s="12" t="s">
        <v>1414</v>
      </c>
      <c r="K343" s="12" t="s">
        <v>1420</v>
      </c>
      <c r="L343" s="12" t="s">
        <v>1420</v>
      </c>
      <c r="M343" s="12" t="s">
        <v>1420</v>
      </c>
      <c r="N343" s="12" t="s">
        <v>1414</v>
      </c>
      <c r="O343" s="12" t="s">
        <v>1414</v>
      </c>
      <c r="P343" s="12" t="s">
        <v>1420</v>
      </c>
      <c r="Q343" s="12" t="s">
        <v>1420</v>
      </c>
      <c r="R343" s="12" t="s">
        <v>1420</v>
      </c>
      <c r="S343" s="12" t="s">
        <v>1415</v>
      </c>
      <c r="T343" s="12" t="s">
        <v>1415</v>
      </c>
      <c r="U343" s="12" t="s">
        <v>1415</v>
      </c>
      <c r="V343" s="12" t="s">
        <v>1415</v>
      </c>
      <c r="W343" s="12" t="s">
        <v>1415</v>
      </c>
      <c r="X343" s="12" t="s">
        <v>1415</v>
      </c>
      <c r="Y343" s="12" t="s">
        <v>1415</v>
      </c>
      <c r="Z343" s="12" t="s">
        <v>1415</v>
      </c>
      <c r="AA343" s="12" t="s">
        <v>1415</v>
      </c>
      <c r="AB343" s="12" t="s">
        <v>1415</v>
      </c>
      <c r="AC343" s="12" t="s">
        <v>1415</v>
      </c>
      <c r="AD343" s="12" t="s">
        <v>1415</v>
      </c>
      <c r="AE343" s="12" t="s">
        <v>1415</v>
      </c>
      <c r="AF343" s="12" t="s">
        <v>1415</v>
      </c>
      <c r="AG343" s="12" t="s">
        <v>1415</v>
      </c>
    </row>
    <row r="344" spans="1:33" ht="14.4" x14ac:dyDescent="0.3">
      <c r="A344" s="12" t="s">
        <v>123</v>
      </c>
      <c r="B344" s="12" t="s">
        <v>1056</v>
      </c>
      <c r="C344" s="12" t="s">
        <v>1055</v>
      </c>
      <c r="D344" s="12" t="s">
        <v>1410</v>
      </c>
      <c r="E344" s="12" t="s">
        <v>2725</v>
      </c>
      <c r="F344" s="12" t="s">
        <v>2726</v>
      </c>
      <c r="G344" s="12" t="s">
        <v>2604</v>
      </c>
      <c r="H344" s="12" t="s">
        <v>1464</v>
      </c>
      <c r="I344" s="12" t="s">
        <v>1420</v>
      </c>
      <c r="J344" s="12" t="s">
        <v>1420</v>
      </c>
      <c r="K344" s="12" t="s">
        <v>1420</v>
      </c>
      <c r="L344" s="12" t="s">
        <v>1420</v>
      </c>
      <c r="M344" s="12" t="s">
        <v>1420</v>
      </c>
      <c r="N344" s="12" t="s">
        <v>1420</v>
      </c>
      <c r="O344" s="12" t="s">
        <v>1420</v>
      </c>
      <c r="P344" s="12" t="s">
        <v>1420</v>
      </c>
      <c r="Q344" s="12" t="s">
        <v>1420</v>
      </c>
      <c r="R344" s="12" t="s">
        <v>1420</v>
      </c>
      <c r="S344" s="12" t="s">
        <v>1420</v>
      </c>
      <c r="T344" s="12" t="s">
        <v>1420</v>
      </c>
      <c r="U344" s="12" t="s">
        <v>1420</v>
      </c>
      <c r="V344" s="12" t="s">
        <v>1420</v>
      </c>
      <c r="W344" s="12" t="s">
        <v>1420</v>
      </c>
      <c r="X344" s="12" t="s">
        <v>1420</v>
      </c>
      <c r="Y344" s="12" t="s">
        <v>1420</v>
      </c>
      <c r="Z344" s="12" t="s">
        <v>1420</v>
      </c>
      <c r="AA344" s="12" t="s">
        <v>1420</v>
      </c>
      <c r="AB344" s="12" t="s">
        <v>1420</v>
      </c>
      <c r="AC344" s="12" t="s">
        <v>1420</v>
      </c>
      <c r="AD344" s="12" t="s">
        <v>1420</v>
      </c>
      <c r="AE344" s="12" t="s">
        <v>1420</v>
      </c>
      <c r="AF344" s="12" t="s">
        <v>1420</v>
      </c>
      <c r="AG344" s="12" t="s">
        <v>1420</v>
      </c>
    </row>
    <row r="345" spans="1:33" ht="14.4" x14ac:dyDescent="0.3">
      <c r="A345" s="12" t="s">
        <v>293</v>
      </c>
      <c r="B345" s="12" t="s">
        <v>551</v>
      </c>
      <c r="C345" s="12" t="s">
        <v>550</v>
      </c>
      <c r="D345" s="12" t="s">
        <v>1410</v>
      </c>
      <c r="E345" s="12" t="s">
        <v>2987</v>
      </c>
      <c r="F345" s="12" t="s">
        <v>2988</v>
      </c>
      <c r="G345" s="12" t="s">
        <v>2152</v>
      </c>
      <c r="H345" s="12" t="s">
        <v>1452</v>
      </c>
      <c r="I345" s="12" t="s">
        <v>1420</v>
      </c>
      <c r="J345" s="12" t="s">
        <v>1414</v>
      </c>
      <c r="K345" s="12" t="s">
        <v>1420</v>
      </c>
      <c r="L345" s="12" t="s">
        <v>1420</v>
      </c>
      <c r="M345" s="12" t="s">
        <v>1420</v>
      </c>
      <c r="N345" s="12" t="s">
        <v>1420</v>
      </c>
      <c r="O345" s="12" t="s">
        <v>1420</v>
      </c>
      <c r="P345" s="12" t="s">
        <v>1420</v>
      </c>
      <c r="Q345" s="12" t="s">
        <v>1420</v>
      </c>
      <c r="R345" s="12" t="s">
        <v>1420</v>
      </c>
      <c r="S345" s="12" t="s">
        <v>1420</v>
      </c>
      <c r="T345" s="12" t="s">
        <v>1420</v>
      </c>
      <c r="U345" s="12" t="s">
        <v>1420</v>
      </c>
      <c r="V345" s="12" t="s">
        <v>1420</v>
      </c>
      <c r="W345" s="12" t="s">
        <v>1420</v>
      </c>
      <c r="X345" s="12" t="s">
        <v>1420</v>
      </c>
      <c r="Y345" s="12" t="s">
        <v>1420</v>
      </c>
      <c r="Z345" s="12" t="s">
        <v>1420</v>
      </c>
      <c r="AA345" s="12" t="s">
        <v>1420</v>
      </c>
      <c r="AB345" s="12" t="s">
        <v>1420</v>
      </c>
      <c r="AC345" s="12" t="s">
        <v>1420</v>
      </c>
      <c r="AD345" s="12" t="s">
        <v>1420</v>
      </c>
      <c r="AE345" s="12" t="s">
        <v>1420</v>
      </c>
      <c r="AF345" s="12" t="s">
        <v>1420</v>
      </c>
      <c r="AG345" s="12" t="s">
        <v>1420</v>
      </c>
    </row>
    <row r="346" spans="1:33" ht="14.4" x14ac:dyDescent="0.3">
      <c r="A346" s="12" t="s">
        <v>28</v>
      </c>
      <c r="B346" s="12" t="s">
        <v>859</v>
      </c>
      <c r="C346" s="12" t="s">
        <v>858</v>
      </c>
      <c r="D346" s="12" t="s">
        <v>1410</v>
      </c>
      <c r="E346" s="12" t="s">
        <v>2587</v>
      </c>
      <c r="F346" s="12" t="s">
        <v>2588</v>
      </c>
      <c r="G346" s="12" t="s">
        <v>2589</v>
      </c>
      <c r="H346" s="12" t="s">
        <v>1419</v>
      </c>
      <c r="I346" s="12" t="s">
        <v>1420</v>
      </c>
      <c r="J346" s="12" t="s">
        <v>1420</v>
      </c>
      <c r="K346" s="12" t="s">
        <v>1420</v>
      </c>
      <c r="L346" s="12" t="s">
        <v>1420</v>
      </c>
      <c r="M346" s="12" t="s">
        <v>1420</v>
      </c>
      <c r="N346" s="12" t="s">
        <v>1420</v>
      </c>
      <c r="O346" s="12" t="s">
        <v>1420</v>
      </c>
      <c r="P346" s="12" t="s">
        <v>1420</v>
      </c>
      <c r="Q346" s="12" t="s">
        <v>1420</v>
      </c>
      <c r="R346" s="12" t="s">
        <v>1420</v>
      </c>
      <c r="S346" s="12" t="s">
        <v>1414</v>
      </c>
      <c r="T346" s="12" t="s">
        <v>1420</v>
      </c>
      <c r="U346" s="12" t="s">
        <v>1420</v>
      </c>
      <c r="V346" s="12" t="s">
        <v>1420</v>
      </c>
      <c r="W346" s="12" t="s">
        <v>1420</v>
      </c>
      <c r="X346" s="12" t="s">
        <v>1414</v>
      </c>
      <c r="Y346" s="12" t="s">
        <v>1420</v>
      </c>
      <c r="Z346" s="12" t="s">
        <v>1420</v>
      </c>
      <c r="AA346" s="12" t="s">
        <v>1420</v>
      </c>
      <c r="AB346" s="12" t="s">
        <v>1420</v>
      </c>
      <c r="AC346" s="12" t="s">
        <v>1420</v>
      </c>
      <c r="AD346" s="12" t="s">
        <v>1420</v>
      </c>
      <c r="AE346" s="12" t="s">
        <v>1420</v>
      </c>
      <c r="AF346" s="12" t="s">
        <v>1420</v>
      </c>
      <c r="AG346" s="12" t="s">
        <v>1420</v>
      </c>
    </row>
    <row r="347" spans="1:33" ht="14.4" x14ac:dyDescent="0.3">
      <c r="A347" s="12" t="s">
        <v>170</v>
      </c>
      <c r="B347" s="12" t="s">
        <v>553</v>
      </c>
      <c r="C347" s="12" t="s">
        <v>552</v>
      </c>
      <c r="D347" s="12" t="s">
        <v>1410</v>
      </c>
      <c r="E347" s="12" t="s">
        <v>1660</v>
      </c>
      <c r="F347" s="12" t="s">
        <v>1663</v>
      </c>
      <c r="G347" s="12" t="s">
        <v>1664</v>
      </c>
      <c r="H347" s="12" t="s">
        <v>1438</v>
      </c>
      <c r="I347" s="12" t="s">
        <v>1420</v>
      </c>
      <c r="J347" s="12" t="s">
        <v>1420</v>
      </c>
      <c r="K347" s="12" t="s">
        <v>1420</v>
      </c>
      <c r="L347" s="12" t="s">
        <v>1420</v>
      </c>
      <c r="M347" s="12" t="s">
        <v>1420</v>
      </c>
      <c r="N347" s="12" t="s">
        <v>1420</v>
      </c>
      <c r="O347" s="12" t="s">
        <v>1420</v>
      </c>
      <c r="P347" s="12" t="s">
        <v>1414</v>
      </c>
      <c r="Q347" s="12" t="s">
        <v>1420</v>
      </c>
      <c r="R347" s="12" t="s">
        <v>1414</v>
      </c>
      <c r="S347" s="12" t="s">
        <v>1414</v>
      </c>
      <c r="T347" s="12" t="s">
        <v>1420</v>
      </c>
      <c r="U347" s="12" t="s">
        <v>1420</v>
      </c>
      <c r="V347" s="12" t="s">
        <v>1420</v>
      </c>
      <c r="W347" s="12" t="s">
        <v>1420</v>
      </c>
      <c r="X347" s="12" t="s">
        <v>1420</v>
      </c>
      <c r="Y347" s="12" t="s">
        <v>1420</v>
      </c>
      <c r="Z347" s="12" t="s">
        <v>1420</v>
      </c>
      <c r="AA347" s="12" t="s">
        <v>1420</v>
      </c>
      <c r="AB347" s="12" t="s">
        <v>1420</v>
      </c>
      <c r="AC347" s="12" t="s">
        <v>1420</v>
      </c>
      <c r="AD347" s="12" t="s">
        <v>1414</v>
      </c>
      <c r="AE347" s="12" t="s">
        <v>1420</v>
      </c>
      <c r="AF347" s="12" t="s">
        <v>1414</v>
      </c>
      <c r="AG347" s="12" t="s">
        <v>1414</v>
      </c>
    </row>
    <row r="348" spans="1:33" ht="14.4" x14ac:dyDescent="0.3">
      <c r="A348" s="12" t="s">
        <v>133</v>
      </c>
      <c r="B348" s="12" t="s">
        <v>553</v>
      </c>
      <c r="C348" s="12" t="s">
        <v>860</v>
      </c>
      <c r="D348" s="12" t="s">
        <v>1410</v>
      </c>
      <c r="E348" s="12" t="s">
        <v>2871</v>
      </c>
      <c r="F348" s="12" t="s">
        <v>2872</v>
      </c>
      <c r="G348" s="12" t="s">
        <v>2873</v>
      </c>
      <c r="H348" s="12" t="s">
        <v>1424</v>
      </c>
      <c r="I348" s="12" t="s">
        <v>1420</v>
      </c>
      <c r="J348" s="12" t="s">
        <v>1420</v>
      </c>
      <c r="K348" s="12" t="s">
        <v>1420</v>
      </c>
      <c r="L348" s="12" t="s">
        <v>1420</v>
      </c>
      <c r="M348" s="12" t="s">
        <v>1420</v>
      </c>
      <c r="N348" s="12" t="s">
        <v>1420</v>
      </c>
      <c r="O348" s="12" t="s">
        <v>1420</v>
      </c>
      <c r="P348" s="12" t="s">
        <v>1414</v>
      </c>
      <c r="Q348" s="12" t="s">
        <v>1420</v>
      </c>
      <c r="R348" s="12" t="s">
        <v>1420</v>
      </c>
      <c r="S348" s="12" t="s">
        <v>1414</v>
      </c>
      <c r="T348" s="12" t="s">
        <v>1420</v>
      </c>
      <c r="U348" s="12" t="s">
        <v>1420</v>
      </c>
      <c r="V348" s="12" t="s">
        <v>1420</v>
      </c>
      <c r="W348" s="12" t="s">
        <v>1420</v>
      </c>
      <c r="X348" s="12" t="s">
        <v>1414</v>
      </c>
      <c r="Y348" s="12" t="s">
        <v>1420</v>
      </c>
      <c r="Z348" s="12" t="s">
        <v>1420</v>
      </c>
      <c r="AA348" s="12" t="s">
        <v>1420</v>
      </c>
      <c r="AB348" s="12" t="s">
        <v>1420</v>
      </c>
      <c r="AC348" s="12" t="s">
        <v>1420</v>
      </c>
      <c r="AD348" s="12" t="s">
        <v>1420</v>
      </c>
      <c r="AE348" s="12" t="s">
        <v>1420</v>
      </c>
      <c r="AF348" s="12" t="s">
        <v>1420</v>
      </c>
      <c r="AG348" s="12" t="s">
        <v>1420</v>
      </c>
    </row>
    <row r="349" spans="1:33" ht="14.4" x14ac:dyDescent="0.3">
      <c r="A349" s="12" t="s">
        <v>71</v>
      </c>
      <c r="B349" s="12" t="s">
        <v>555</v>
      </c>
      <c r="C349" s="12" t="s">
        <v>554</v>
      </c>
      <c r="D349" s="12" t="s">
        <v>1410</v>
      </c>
      <c r="E349" s="12" t="s">
        <v>3128</v>
      </c>
      <c r="F349" s="12" t="s">
        <v>3129</v>
      </c>
      <c r="G349" s="12" t="s">
        <v>3130</v>
      </c>
      <c r="H349" s="12" t="s">
        <v>1908</v>
      </c>
      <c r="I349" s="12" t="s">
        <v>1420</v>
      </c>
      <c r="J349" s="12" t="s">
        <v>1414</v>
      </c>
      <c r="K349" s="12" t="s">
        <v>1420</v>
      </c>
      <c r="L349" s="12" t="s">
        <v>1420</v>
      </c>
      <c r="M349" s="12" t="s">
        <v>1420</v>
      </c>
      <c r="N349" s="12" t="s">
        <v>1420</v>
      </c>
      <c r="O349" s="12" t="s">
        <v>1420</v>
      </c>
      <c r="P349" s="12" t="s">
        <v>1420</v>
      </c>
      <c r="Q349" s="12" t="s">
        <v>1414</v>
      </c>
      <c r="R349" s="12" t="s">
        <v>1414</v>
      </c>
      <c r="S349" s="12" t="s">
        <v>1414</v>
      </c>
      <c r="T349" s="12" t="s">
        <v>1420</v>
      </c>
      <c r="U349" s="12" t="s">
        <v>1420</v>
      </c>
      <c r="V349" s="12" t="s">
        <v>1420</v>
      </c>
      <c r="W349" s="12" t="s">
        <v>1414</v>
      </c>
      <c r="X349" s="12" t="s">
        <v>1420</v>
      </c>
      <c r="Y349" s="12" t="s">
        <v>1420</v>
      </c>
      <c r="Z349" s="12" t="s">
        <v>1414</v>
      </c>
      <c r="AA349" s="12" t="s">
        <v>1420</v>
      </c>
      <c r="AB349" s="12" t="s">
        <v>1420</v>
      </c>
      <c r="AC349" s="12" t="s">
        <v>1414</v>
      </c>
      <c r="AD349" s="12" t="s">
        <v>1420</v>
      </c>
      <c r="AE349" s="12" t="s">
        <v>1420</v>
      </c>
      <c r="AF349" s="12" t="s">
        <v>1414</v>
      </c>
      <c r="AG349" s="12" t="s">
        <v>1414</v>
      </c>
    </row>
    <row r="350" spans="1:33" ht="14.4" x14ac:dyDescent="0.3">
      <c r="A350" s="12" t="s">
        <v>25</v>
      </c>
      <c r="B350" s="12" t="s">
        <v>1199</v>
      </c>
      <c r="C350" s="12" t="s">
        <v>1198</v>
      </c>
      <c r="D350" s="12" t="s">
        <v>1410</v>
      </c>
      <c r="E350" s="12" t="s">
        <v>1767</v>
      </c>
      <c r="F350" s="12" t="s">
        <v>1768</v>
      </c>
      <c r="G350" s="12" t="s">
        <v>1413</v>
      </c>
      <c r="H350" s="12" t="s">
        <v>1749</v>
      </c>
      <c r="I350" s="12" t="s">
        <v>1420</v>
      </c>
      <c r="J350" s="12" t="s">
        <v>1414</v>
      </c>
      <c r="K350" s="12" t="s">
        <v>1420</v>
      </c>
      <c r="L350" s="12" t="s">
        <v>1420</v>
      </c>
      <c r="M350" s="12" t="s">
        <v>1420</v>
      </c>
      <c r="N350" s="12" t="s">
        <v>1414</v>
      </c>
      <c r="O350" s="12" t="s">
        <v>1415</v>
      </c>
      <c r="P350" s="12" t="s">
        <v>1415</v>
      </c>
      <c r="Q350" s="12" t="s">
        <v>1415</v>
      </c>
      <c r="R350" s="12" t="s">
        <v>1415</v>
      </c>
      <c r="S350" s="12" t="s">
        <v>1415</v>
      </c>
      <c r="T350" s="12" t="s">
        <v>1415</v>
      </c>
      <c r="U350" s="12" t="s">
        <v>1415</v>
      </c>
      <c r="V350" s="12" t="s">
        <v>1415</v>
      </c>
      <c r="W350" s="12" t="s">
        <v>1415</v>
      </c>
      <c r="X350" s="12" t="s">
        <v>1415</v>
      </c>
      <c r="Y350" s="12" t="s">
        <v>1415</v>
      </c>
      <c r="Z350" s="12" t="s">
        <v>1415</v>
      </c>
      <c r="AA350" s="12" t="s">
        <v>1415</v>
      </c>
      <c r="AB350" s="12" t="s">
        <v>1415</v>
      </c>
      <c r="AC350" s="12" t="s">
        <v>1415</v>
      </c>
      <c r="AD350" s="12" t="s">
        <v>1415</v>
      </c>
      <c r="AE350" s="12" t="s">
        <v>1415</v>
      </c>
      <c r="AF350" s="12" t="s">
        <v>1415</v>
      </c>
      <c r="AG350" s="12" t="s">
        <v>1415</v>
      </c>
    </row>
    <row r="351" spans="1:33" ht="14.4" x14ac:dyDescent="0.3">
      <c r="A351" s="12" t="s">
        <v>25</v>
      </c>
      <c r="B351" s="12" t="s">
        <v>1199</v>
      </c>
      <c r="C351" s="12" t="s">
        <v>1198</v>
      </c>
      <c r="D351" s="12" t="s">
        <v>1410</v>
      </c>
      <c r="E351" s="12" t="s">
        <v>2010</v>
      </c>
      <c r="F351" s="12" t="s">
        <v>2011</v>
      </c>
      <c r="G351" s="12" t="s">
        <v>2012</v>
      </c>
      <c r="H351" s="12" t="s">
        <v>1428</v>
      </c>
      <c r="I351" s="12" t="s">
        <v>1420</v>
      </c>
      <c r="J351" s="12" t="s">
        <v>1420</v>
      </c>
      <c r="K351" s="12" t="s">
        <v>1420</v>
      </c>
      <c r="L351" s="12" t="s">
        <v>1420</v>
      </c>
      <c r="M351" s="12" t="s">
        <v>1420</v>
      </c>
      <c r="N351" s="12" t="s">
        <v>1420</v>
      </c>
      <c r="O351" s="12" t="s">
        <v>1414</v>
      </c>
      <c r="P351" s="12" t="s">
        <v>1414</v>
      </c>
      <c r="Q351" s="12" t="s">
        <v>1420</v>
      </c>
      <c r="R351" s="12" t="s">
        <v>1420</v>
      </c>
      <c r="S351" s="12" t="s">
        <v>1420</v>
      </c>
      <c r="T351" s="12" t="s">
        <v>1414</v>
      </c>
      <c r="U351" s="12" t="s">
        <v>1420</v>
      </c>
      <c r="V351" s="12" t="s">
        <v>1420</v>
      </c>
      <c r="W351" s="12" t="s">
        <v>1414</v>
      </c>
      <c r="X351" s="12" t="s">
        <v>1420</v>
      </c>
      <c r="Y351" s="12" t="s">
        <v>1420</v>
      </c>
      <c r="Z351" s="12" t="s">
        <v>1420</v>
      </c>
      <c r="AA351" s="12" t="s">
        <v>1420</v>
      </c>
      <c r="AB351" s="12" t="s">
        <v>1414</v>
      </c>
      <c r="AC351" s="12" t="s">
        <v>1414</v>
      </c>
      <c r="AD351" s="12" t="s">
        <v>1420</v>
      </c>
      <c r="AE351" s="12" t="s">
        <v>1420</v>
      </c>
      <c r="AF351" s="12" t="s">
        <v>1420</v>
      </c>
      <c r="AG351" s="12" t="s">
        <v>1414</v>
      </c>
    </row>
    <row r="352" spans="1:33" ht="14.4" x14ac:dyDescent="0.3">
      <c r="A352" s="12" t="s">
        <v>28</v>
      </c>
      <c r="B352" s="12" t="s">
        <v>96</v>
      </c>
      <c r="C352" s="12" t="s">
        <v>95</v>
      </c>
      <c r="D352" s="12" t="s">
        <v>1410</v>
      </c>
      <c r="E352" s="12" t="s">
        <v>2098</v>
      </c>
      <c r="F352" s="12" t="s">
        <v>2105</v>
      </c>
      <c r="G352" s="12" t="s">
        <v>2107</v>
      </c>
      <c r="H352" s="12" t="s">
        <v>1424</v>
      </c>
      <c r="I352" s="12" t="s">
        <v>1414</v>
      </c>
      <c r="J352" s="12" t="s">
        <v>1414</v>
      </c>
      <c r="K352" s="12" t="s">
        <v>1420</v>
      </c>
      <c r="L352" s="12" t="s">
        <v>1420</v>
      </c>
      <c r="M352" s="12" t="s">
        <v>1420</v>
      </c>
      <c r="N352" s="12" t="s">
        <v>1420</v>
      </c>
      <c r="O352" s="12" t="s">
        <v>1420</v>
      </c>
      <c r="P352" s="12" t="s">
        <v>1420</v>
      </c>
      <c r="Q352" s="12" t="s">
        <v>1420</v>
      </c>
      <c r="R352" s="12" t="s">
        <v>1420</v>
      </c>
      <c r="S352" s="12" t="s">
        <v>1420</v>
      </c>
      <c r="T352" s="12" t="s">
        <v>1414</v>
      </c>
      <c r="U352" s="12" t="s">
        <v>1420</v>
      </c>
      <c r="V352" s="12" t="s">
        <v>1420</v>
      </c>
      <c r="W352" s="12" t="s">
        <v>1420</v>
      </c>
      <c r="X352" s="12" t="s">
        <v>1420</v>
      </c>
      <c r="Y352" s="12" t="s">
        <v>1420</v>
      </c>
      <c r="Z352" s="12" t="s">
        <v>1420</v>
      </c>
      <c r="AA352" s="12" t="s">
        <v>1420</v>
      </c>
      <c r="AB352" s="12" t="s">
        <v>1420</v>
      </c>
      <c r="AC352" s="12" t="s">
        <v>1420</v>
      </c>
      <c r="AD352" s="12" t="s">
        <v>1420</v>
      </c>
      <c r="AE352" s="12" t="s">
        <v>1420</v>
      </c>
      <c r="AF352" s="12" t="s">
        <v>1420</v>
      </c>
      <c r="AG352" s="12" t="s">
        <v>1420</v>
      </c>
    </row>
    <row r="353" spans="1:33" ht="14.4" x14ac:dyDescent="0.3">
      <c r="A353" s="12" t="s">
        <v>19</v>
      </c>
      <c r="B353" s="12" t="s">
        <v>98</v>
      </c>
      <c r="C353" s="12" t="s">
        <v>97</v>
      </c>
      <c r="D353" s="12" t="s">
        <v>1410</v>
      </c>
      <c r="E353" s="12" t="s">
        <v>2088</v>
      </c>
      <c r="F353" s="12" t="s">
        <v>2093</v>
      </c>
      <c r="G353" s="12" t="s">
        <v>2094</v>
      </c>
      <c r="H353" s="12" t="s">
        <v>1428</v>
      </c>
      <c r="I353" s="12" t="s">
        <v>1420</v>
      </c>
      <c r="J353" s="12" t="s">
        <v>1414</v>
      </c>
      <c r="K353" s="12" t="s">
        <v>1420</v>
      </c>
      <c r="L353" s="12" t="s">
        <v>1420</v>
      </c>
      <c r="M353" s="12" t="s">
        <v>1420</v>
      </c>
      <c r="N353" s="12" t="s">
        <v>1420</v>
      </c>
      <c r="O353" s="12" t="s">
        <v>1414</v>
      </c>
      <c r="P353" s="12" t="s">
        <v>1414</v>
      </c>
      <c r="Q353" s="12" t="s">
        <v>1420</v>
      </c>
      <c r="R353" s="12" t="s">
        <v>1420</v>
      </c>
      <c r="S353" s="12" t="s">
        <v>1420</v>
      </c>
      <c r="T353" s="12" t="s">
        <v>1414</v>
      </c>
      <c r="U353" s="12" t="s">
        <v>1420</v>
      </c>
      <c r="V353" s="12" t="s">
        <v>1420</v>
      </c>
      <c r="W353" s="12" t="s">
        <v>1414</v>
      </c>
      <c r="X353" s="12" t="s">
        <v>1420</v>
      </c>
      <c r="Y353" s="12" t="s">
        <v>1420</v>
      </c>
      <c r="Z353" s="12" t="s">
        <v>1420</v>
      </c>
      <c r="AA353" s="12" t="s">
        <v>1420</v>
      </c>
      <c r="AB353" s="12" t="s">
        <v>1414</v>
      </c>
      <c r="AC353" s="12" t="s">
        <v>1420</v>
      </c>
      <c r="AD353" s="12" t="s">
        <v>1420</v>
      </c>
      <c r="AE353" s="12" t="s">
        <v>1414</v>
      </c>
      <c r="AF353" s="12" t="s">
        <v>1420</v>
      </c>
      <c r="AG353" s="12" t="s">
        <v>1420</v>
      </c>
    </row>
    <row r="354" spans="1:33" ht="14.4" x14ac:dyDescent="0.3">
      <c r="A354" s="12" t="s">
        <v>22</v>
      </c>
      <c r="B354" s="12" t="s">
        <v>271</v>
      </c>
      <c r="C354" s="12" t="s">
        <v>270</v>
      </c>
      <c r="D354" s="12" t="s">
        <v>1410</v>
      </c>
      <c r="E354" s="12" t="s">
        <v>2122</v>
      </c>
      <c r="F354" s="12" t="s">
        <v>2128</v>
      </c>
      <c r="G354" s="12" t="s">
        <v>2129</v>
      </c>
      <c r="H354" s="12" t="s">
        <v>1419</v>
      </c>
      <c r="I354" s="12" t="s">
        <v>1420</v>
      </c>
      <c r="J354" s="12" t="s">
        <v>1420</v>
      </c>
      <c r="K354" s="12" t="s">
        <v>1420</v>
      </c>
      <c r="L354" s="12" t="s">
        <v>1420</v>
      </c>
      <c r="M354" s="12" t="s">
        <v>1420</v>
      </c>
      <c r="N354" s="12" t="s">
        <v>1414</v>
      </c>
      <c r="O354" s="12" t="s">
        <v>1420</v>
      </c>
      <c r="P354" s="12" t="s">
        <v>1420</v>
      </c>
      <c r="Q354" s="12" t="s">
        <v>1420</v>
      </c>
      <c r="R354" s="12" t="s">
        <v>1420</v>
      </c>
      <c r="S354" s="12" t="s">
        <v>1420</v>
      </c>
      <c r="T354" s="12" t="s">
        <v>1420</v>
      </c>
      <c r="U354" s="12" t="s">
        <v>1420</v>
      </c>
      <c r="V354" s="12" t="s">
        <v>1420</v>
      </c>
      <c r="W354" s="12" t="s">
        <v>1420</v>
      </c>
      <c r="X354" s="12" t="s">
        <v>1420</v>
      </c>
      <c r="Y354" s="12" t="s">
        <v>1420</v>
      </c>
      <c r="Z354" s="12" t="s">
        <v>1420</v>
      </c>
      <c r="AA354" s="12" t="s">
        <v>1420</v>
      </c>
      <c r="AB354" s="12" t="s">
        <v>1420</v>
      </c>
      <c r="AC354" s="12" t="s">
        <v>1420</v>
      </c>
      <c r="AD354" s="12" t="s">
        <v>1414</v>
      </c>
      <c r="AE354" s="12" t="s">
        <v>1420</v>
      </c>
      <c r="AF354" s="12" t="s">
        <v>1420</v>
      </c>
      <c r="AG354" s="12" t="s">
        <v>1420</v>
      </c>
    </row>
    <row r="355" spans="1:33" ht="14.4" x14ac:dyDescent="0.3">
      <c r="A355" s="12" t="s">
        <v>28</v>
      </c>
      <c r="B355" s="12" t="s">
        <v>271</v>
      </c>
      <c r="C355" s="12" t="s">
        <v>556</v>
      </c>
      <c r="D355" s="12" t="s">
        <v>1410</v>
      </c>
      <c r="E355" s="12" t="s">
        <v>1738</v>
      </c>
      <c r="F355" s="12" t="s">
        <v>1739</v>
      </c>
      <c r="G355" s="12" t="s">
        <v>1740</v>
      </c>
      <c r="H355" s="12" t="s">
        <v>1452</v>
      </c>
      <c r="I355" s="12" t="s">
        <v>1420</v>
      </c>
      <c r="J355" s="12" t="s">
        <v>1420</v>
      </c>
      <c r="K355" s="12" t="s">
        <v>1420</v>
      </c>
      <c r="L355" s="12" t="s">
        <v>1420</v>
      </c>
      <c r="M355" s="12" t="s">
        <v>1420</v>
      </c>
      <c r="N355" s="12" t="s">
        <v>1420</v>
      </c>
      <c r="O355" s="12" t="s">
        <v>1420</v>
      </c>
      <c r="P355" s="12" t="s">
        <v>1420</v>
      </c>
      <c r="Q355" s="12" t="s">
        <v>1420</v>
      </c>
      <c r="R355" s="12" t="s">
        <v>1420</v>
      </c>
      <c r="S355" s="12" t="s">
        <v>1420</v>
      </c>
      <c r="T355" s="12" t="s">
        <v>1420</v>
      </c>
      <c r="U355" s="12" t="s">
        <v>1420</v>
      </c>
      <c r="V355" s="12" t="s">
        <v>1420</v>
      </c>
      <c r="W355" s="12" t="s">
        <v>1420</v>
      </c>
      <c r="X355" s="12" t="s">
        <v>1414</v>
      </c>
      <c r="Y355" s="12" t="s">
        <v>1420</v>
      </c>
      <c r="Z355" s="12" t="s">
        <v>1420</v>
      </c>
      <c r="AA355" s="12" t="s">
        <v>1420</v>
      </c>
      <c r="AB355" s="12" t="s">
        <v>1420</v>
      </c>
      <c r="AC355" s="12" t="s">
        <v>1420</v>
      </c>
      <c r="AD355" s="12" t="s">
        <v>1420</v>
      </c>
      <c r="AE355" s="12" t="s">
        <v>1420</v>
      </c>
      <c r="AF355" s="12" t="s">
        <v>1420</v>
      </c>
      <c r="AG355" s="12" t="s">
        <v>1420</v>
      </c>
    </row>
    <row r="356" spans="1:33" ht="14.4" x14ac:dyDescent="0.3">
      <c r="A356" s="12" t="s">
        <v>8</v>
      </c>
      <c r="B356" s="12" t="s">
        <v>5690</v>
      </c>
      <c r="C356" s="12" t="s">
        <v>5691</v>
      </c>
      <c r="D356" s="12" t="s">
        <v>1410</v>
      </c>
      <c r="E356" s="12" t="s">
        <v>5692</v>
      </c>
      <c r="F356" s="12" t="s">
        <v>5693</v>
      </c>
      <c r="G356" s="12" t="s">
        <v>5694</v>
      </c>
      <c r="H356" s="12" t="s">
        <v>1424</v>
      </c>
      <c r="I356" s="12" t="s">
        <v>1420</v>
      </c>
      <c r="J356" s="12" t="s">
        <v>1414</v>
      </c>
      <c r="K356" s="12" t="s">
        <v>1420</v>
      </c>
      <c r="L356" s="12" t="s">
        <v>1420</v>
      </c>
      <c r="M356" s="12" t="s">
        <v>1420</v>
      </c>
      <c r="N356" s="12" t="s">
        <v>1420</v>
      </c>
      <c r="O356" s="12" t="s">
        <v>1420</v>
      </c>
      <c r="P356" s="12" t="s">
        <v>1420</v>
      </c>
      <c r="Q356" s="12" t="s">
        <v>1420</v>
      </c>
      <c r="R356" s="12" t="s">
        <v>1420</v>
      </c>
      <c r="S356" s="12" t="s">
        <v>1420</v>
      </c>
      <c r="T356" s="12" t="s">
        <v>1420</v>
      </c>
      <c r="U356" s="12" t="s">
        <v>1420</v>
      </c>
      <c r="V356" s="12" t="s">
        <v>1420</v>
      </c>
      <c r="W356" s="12" t="s">
        <v>1414</v>
      </c>
      <c r="X356" s="12" t="s">
        <v>1420</v>
      </c>
      <c r="Y356" s="12" t="s">
        <v>1420</v>
      </c>
      <c r="Z356" s="12" t="s">
        <v>1420</v>
      </c>
      <c r="AA356" s="12" t="s">
        <v>1414</v>
      </c>
      <c r="AB356" s="12" t="s">
        <v>1420</v>
      </c>
      <c r="AC356" s="12" t="s">
        <v>1420</v>
      </c>
      <c r="AD356" s="12" t="s">
        <v>1420</v>
      </c>
      <c r="AE356" s="12" t="s">
        <v>1420</v>
      </c>
      <c r="AF356" s="12" t="s">
        <v>1420</v>
      </c>
      <c r="AG356" s="12" t="s">
        <v>1420</v>
      </c>
    </row>
    <row r="357" spans="1:33" ht="14.4" x14ac:dyDescent="0.3">
      <c r="A357" s="12" t="s">
        <v>25</v>
      </c>
      <c r="B357" s="12" t="s">
        <v>5695</v>
      </c>
      <c r="C357" s="12" t="s">
        <v>5696</v>
      </c>
      <c r="D357" s="12" t="s">
        <v>1410</v>
      </c>
      <c r="E357" s="12" t="s">
        <v>5697</v>
      </c>
      <c r="F357" s="12" t="s">
        <v>5617</v>
      </c>
      <c r="G357" s="12" t="s">
        <v>5698</v>
      </c>
      <c r="H357" s="12" t="s">
        <v>1448</v>
      </c>
      <c r="I357" s="12" t="s">
        <v>1420</v>
      </c>
      <c r="J357" s="12" t="s">
        <v>1414</v>
      </c>
      <c r="K357" s="12" t="s">
        <v>1420</v>
      </c>
      <c r="L357" s="12" t="s">
        <v>1420</v>
      </c>
      <c r="M357" s="12" t="s">
        <v>1420</v>
      </c>
      <c r="N357" s="12" t="s">
        <v>1420</v>
      </c>
      <c r="O357" s="12" t="s">
        <v>1420</v>
      </c>
      <c r="P357" s="12" t="s">
        <v>1420</v>
      </c>
      <c r="Q357" s="12" t="s">
        <v>1420</v>
      </c>
      <c r="R357" s="12" t="s">
        <v>1420</v>
      </c>
      <c r="S357" s="12" t="s">
        <v>1420</v>
      </c>
      <c r="T357" s="12" t="s">
        <v>1420</v>
      </c>
      <c r="U357" s="12" t="s">
        <v>1420</v>
      </c>
      <c r="V357" s="12" t="s">
        <v>1420</v>
      </c>
      <c r="W357" s="12" t="s">
        <v>1420</v>
      </c>
      <c r="X357" s="12" t="s">
        <v>1420</v>
      </c>
      <c r="Y357" s="12" t="s">
        <v>1420</v>
      </c>
      <c r="Z357" s="12" t="s">
        <v>1420</v>
      </c>
      <c r="AA357" s="12" t="s">
        <v>1420</v>
      </c>
      <c r="AB357" s="12" t="s">
        <v>1420</v>
      </c>
      <c r="AC357" s="12" t="s">
        <v>1420</v>
      </c>
      <c r="AD357" s="12" t="s">
        <v>1414</v>
      </c>
      <c r="AE357" s="12" t="s">
        <v>1414</v>
      </c>
      <c r="AF357" s="12" t="s">
        <v>1414</v>
      </c>
      <c r="AG357" s="12" t="s">
        <v>1414</v>
      </c>
    </row>
    <row r="358" spans="1:33" ht="14.4" x14ac:dyDescent="0.3">
      <c r="A358" s="12" t="s">
        <v>1202</v>
      </c>
      <c r="B358" s="12" t="s">
        <v>1201</v>
      </c>
      <c r="C358" s="12" t="s">
        <v>1200</v>
      </c>
      <c r="D358" s="12" t="s">
        <v>1410</v>
      </c>
      <c r="E358" s="12" t="s">
        <v>3039</v>
      </c>
      <c r="F358" s="12" t="s">
        <v>3040</v>
      </c>
      <c r="G358" s="12" t="s">
        <v>3041</v>
      </c>
      <c r="H358" s="12" t="s">
        <v>1424</v>
      </c>
      <c r="I358" s="12" t="s">
        <v>1420</v>
      </c>
      <c r="J358" s="12" t="s">
        <v>1414</v>
      </c>
      <c r="K358" s="12" t="s">
        <v>1420</v>
      </c>
      <c r="L358" s="12" t="s">
        <v>1420</v>
      </c>
      <c r="M358" s="12" t="s">
        <v>1420</v>
      </c>
      <c r="N358" s="12" t="s">
        <v>1420</v>
      </c>
      <c r="O358" s="12" t="s">
        <v>1420</v>
      </c>
      <c r="P358" s="12" t="s">
        <v>1420</v>
      </c>
      <c r="Q358" s="12" t="s">
        <v>1420</v>
      </c>
      <c r="R358" s="12" t="s">
        <v>1420</v>
      </c>
      <c r="S358" s="12" t="s">
        <v>1420</v>
      </c>
      <c r="T358" s="12" t="s">
        <v>1420</v>
      </c>
      <c r="U358" s="12" t="s">
        <v>1420</v>
      </c>
      <c r="V358" s="12" t="s">
        <v>1420</v>
      </c>
      <c r="W358" s="12" t="s">
        <v>1420</v>
      </c>
      <c r="X358" s="12" t="s">
        <v>1420</v>
      </c>
      <c r="Y358" s="12" t="s">
        <v>1420</v>
      </c>
      <c r="Z358" s="12" t="s">
        <v>1420</v>
      </c>
      <c r="AA358" s="12" t="s">
        <v>1414</v>
      </c>
      <c r="AB358" s="12" t="s">
        <v>1414</v>
      </c>
      <c r="AC358" s="12" t="s">
        <v>1420</v>
      </c>
      <c r="AD358" s="12" t="s">
        <v>1420</v>
      </c>
      <c r="AE358" s="12" t="s">
        <v>1420</v>
      </c>
      <c r="AF358" s="12" t="s">
        <v>1420</v>
      </c>
      <c r="AG358" s="12" t="s">
        <v>1420</v>
      </c>
    </row>
    <row r="359" spans="1:33" ht="14.4" x14ac:dyDescent="0.3">
      <c r="A359" s="12" t="s">
        <v>25</v>
      </c>
      <c r="B359" s="12" t="s">
        <v>1344</v>
      </c>
      <c r="C359" s="12" t="s">
        <v>1343</v>
      </c>
      <c r="D359" s="12" t="s">
        <v>1410</v>
      </c>
      <c r="E359" s="12" t="s">
        <v>1891</v>
      </c>
      <c r="F359" s="12" t="s">
        <v>1894</v>
      </c>
      <c r="G359" s="12" t="s">
        <v>1895</v>
      </c>
      <c r="H359" s="12" t="s">
        <v>1428</v>
      </c>
      <c r="I359" s="12" t="s">
        <v>1420</v>
      </c>
      <c r="J359" s="12" t="s">
        <v>1420</v>
      </c>
      <c r="K359" s="12" t="s">
        <v>1420</v>
      </c>
      <c r="L359" s="12" t="s">
        <v>1420</v>
      </c>
      <c r="M359" s="12" t="s">
        <v>1420</v>
      </c>
      <c r="N359" s="12" t="s">
        <v>1414</v>
      </c>
      <c r="O359" s="12" t="s">
        <v>1414</v>
      </c>
      <c r="P359" s="12" t="s">
        <v>1414</v>
      </c>
      <c r="Q359" s="12" t="s">
        <v>1420</v>
      </c>
      <c r="R359" s="12" t="s">
        <v>1420</v>
      </c>
      <c r="S359" s="12" t="s">
        <v>1420</v>
      </c>
      <c r="T359" s="12" t="s">
        <v>1420</v>
      </c>
      <c r="U359" s="12" t="s">
        <v>1420</v>
      </c>
      <c r="V359" s="12" t="s">
        <v>1420</v>
      </c>
      <c r="W359" s="12" t="s">
        <v>1420</v>
      </c>
      <c r="X359" s="12" t="s">
        <v>1420</v>
      </c>
      <c r="Y359" s="12" t="s">
        <v>1420</v>
      </c>
      <c r="Z359" s="12" t="s">
        <v>1420</v>
      </c>
      <c r="AA359" s="12" t="s">
        <v>1420</v>
      </c>
      <c r="AB359" s="12" t="s">
        <v>1414</v>
      </c>
      <c r="AC359" s="12" t="s">
        <v>1420</v>
      </c>
      <c r="AD359" s="12" t="s">
        <v>1420</v>
      </c>
      <c r="AE359" s="12" t="s">
        <v>1414</v>
      </c>
      <c r="AF359" s="12" t="s">
        <v>1414</v>
      </c>
      <c r="AG359" s="12" t="s">
        <v>1414</v>
      </c>
    </row>
    <row r="360" spans="1:33" ht="14.4" x14ac:dyDescent="0.3">
      <c r="A360" s="12" t="s">
        <v>28</v>
      </c>
      <c r="B360" s="12" t="s">
        <v>100</v>
      </c>
      <c r="C360" s="12" t="s">
        <v>99</v>
      </c>
      <c r="D360" s="12" t="s">
        <v>1410</v>
      </c>
      <c r="E360" s="12" t="s">
        <v>2098</v>
      </c>
      <c r="F360" s="12" t="s">
        <v>2099</v>
      </c>
      <c r="G360" s="12" t="s">
        <v>2100</v>
      </c>
      <c r="H360" s="12" t="s">
        <v>1464</v>
      </c>
      <c r="I360" s="12" t="s">
        <v>1420</v>
      </c>
      <c r="J360" s="12" t="s">
        <v>1420</v>
      </c>
      <c r="K360" s="12" t="s">
        <v>1420</v>
      </c>
      <c r="L360" s="12" t="s">
        <v>1420</v>
      </c>
      <c r="M360" s="12" t="s">
        <v>1420</v>
      </c>
      <c r="N360" s="12" t="s">
        <v>1420</v>
      </c>
      <c r="O360" s="12" t="s">
        <v>1420</v>
      </c>
      <c r="P360" s="12" t="s">
        <v>1420</v>
      </c>
      <c r="Q360" s="12" t="s">
        <v>1420</v>
      </c>
      <c r="R360" s="12" t="s">
        <v>1420</v>
      </c>
      <c r="S360" s="12" t="s">
        <v>1420</v>
      </c>
      <c r="T360" s="12" t="s">
        <v>1420</v>
      </c>
      <c r="U360" s="12" t="s">
        <v>1420</v>
      </c>
      <c r="V360" s="12" t="s">
        <v>1420</v>
      </c>
      <c r="W360" s="12" t="s">
        <v>1420</v>
      </c>
      <c r="X360" s="12" t="s">
        <v>1420</v>
      </c>
      <c r="Y360" s="12" t="s">
        <v>1420</v>
      </c>
      <c r="Z360" s="12" t="s">
        <v>1420</v>
      </c>
      <c r="AA360" s="12" t="s">
        <v>1420</v>
      </c>
      <c r="AB360" s="12" t="s">
        <v>1420</v>
      </c>
      <c r="AC360" s="12" t="s">
        <v>1420</v>
      </c>
      <c r="AD360" s="12" t="s">
        <v>1420</v>
      </c>
      <c r="AE360" s="12" t="s">
        <v>1420</v>
      </c>
      <c r="AF360" s="12" t="s">
        <v>1420</v>
      </c>
      <c r="AG360" s="12" t="s">
        <v>1420</v>
      </c>
    </row>
    <row r="361" spans="1:33" ht="14.4" x14ac:dyDescent="0.3">
      <c r="A361" s="12" t="s">
        <v>22</v>
      </c>
      <c r="B361" s="12" t="s">
        <v>100</v>
      </c>
      <c r="C361" s="12" t="s">
        <v>332</v>
      </c>
      <c r="D361" s="12" t="s">
        <v>1410</v>
      </c>
      <c r="E361" s="12" t="s">
        <v>1797</v>
      </c>
      <c r="F361" s="12" t="s">
        <v>1798</v>
      </c>
      <c r="G361" s="12" t="s">
        <v>1799</v>
      </c>
      <c r="H361" s="12" t="s">
        <v>1424</v>
      </c>
      <c r="I361" s="12" t="s">
        <v>1420</v>
      </c>
      <c r="J361" s="12" t="s">
        <v>1420</v>
      </c>
      <c r="K361" s="12" t="s">
        <v>1420</v>
      </c>
      <c r="L361" s="12" t="s">
        <v>1420</v>
      </c>
      <c r="M361" s="12" t="s">
        <v>1420</v>
      </c>
      <c r="N361" s="12" t="s">
        <v>1420</v>
      </c>
      <c r="O361" s="12" t="s">
        <v>1414</v>
      </c>
      <c r="P361" s="12" t="s">
        <v>1414</v>
      </c>
      <c r="Q361" s="12" t="s">
        <v>1420</v>
      </c>
      <c r="R361" s="12" t="s">
        <v>1420</v>
      </c>
      <c r="S361" s="12" t="s">
        <v>1414</v>
      </c>
      <c r="T361" s="12" t="s">
        <v>1420</v>
      </c>
      <c r="U361" s="12" t="s">
        <v>1420</v>
      </c>
      <c r="V361" s="12" t="s">
        <v>1420</v>
      </c>
      <c r="W361" s="12" t="s">
        <v>1420</v>
      </c>
      <c r="X361" s="12" t="s">
        <v>1420</v>
      </c>
      <c r="Y361" s="12" t="s">
        <v>1420</v>
      </c>
      <c r="Z361" s="12" t="s">
        <v>1420</v>
      </c>
      <c r="AA361" s="12" t="s">
        <v>1420</v>
      </c>
      <c r="AB361" s="12" t="s">
        <v>1420</v>
      </c>
      <c r="AC361" s="12" t="s">
        <v>1420</v>
      </c>
      <c r="AD361" s="12" t="s">
        <v>1420</v>
      </c>
      <c r="AE361" s="12" t="s">
        <v>1420</v>
      </c>
      <c r="AF361" s="12" t="s">
        <v>1420</v>
      </c>
      <c r="AG361" s="12" t="s">
        <v>1420</v>
      </c>
    </row>
    <row r="362" spans="1:33" ht="14.4" x14ac:dyDescent="0.3">
      <c r="A362" s="12" t="s">
        <v>19</v>
      </c>
      <c r="B362" s="12" t="s">
        <v>5699</v>
      </c>
      <c r="C362" s="12" t="s">
        <v>5700</v>
      </c>
      <c r="D362" s="12" t="s">
        <v>1410</v>
      </c>
      <c r="E362" s="12" t="s">
        <v>5701</v>
      </c>
      <c r="F362" s="12" t="s">
        <v>5702</v>
      </c>
      <c r="G362" s="12" t="s">
        <v>2683</v>
      </c>
      <c r="H362" s="12" t="s">
        <v>1428</v>
      </c>
      <c r="I362" s="12" t="s">
        <v>1420</v>
      </c>
      <c r="J362" s="12" t="s">
        <v>1420</v>
      </c>
      <c r="K362" s="12" t="s">
        <v>1420</v>
      </c>
      <c r="L362" s="12" t="s">
        <v>1420</v>
      </c>
      <c r="M362" s="12" t="s">
        <v>1420</v>
      </c>
      <c r="N362" s="12" t="s">
        <v>1420</v>
      </c>
      <c r="O362" s="12" t="s">
        <v>1420</v>
      </c>
      <c r="P362" s="12" t="s">
        <v>1420</v>
      </c>
      <c r="Q362" s="12" t="s">
        <v>1420</v>
      </c>
      <c r="R362" s="12" t="s">
        <v>1420</v>
      </c>
      <c r="S362" s="12" t="s">
        <v>1420</v>
      </c>
      <c r="T362" s="12" t="s">
        <v>1420</v>
      </c>
      <c r="U362" s="12" t="s">
        <v>1420</v>
      </c>
      <c r="V362" s="12" t="s">
        <v>1420</v>
      </c>
      <c r="W362" s="12" t="s">
        <v>1414</v>
      </c>
      <c r="X362" s="12" t="s">
        <v>1420</v>
      </c>
      <c r="Y362" s="12" t="s">
        <v>1414</v>
      </c>
      <c r="Z362" s="12" t="s">
        <v>1414</v>
      </c>
      <c r="AA362" s="12" t="s">
        <v>1420</v>
      </c>
      <c r="AB362" s="12" t="s">
        <v>1420</v>
      </c>
      <c r="AC362" s="12" t="s">
        <v>1414</v>
      </c>
      <c r="AD362" s="12" t="s">
        <v>1420</v>
      </c>
      <c r="AE362" s="12" t="s">
        <v>1414</v>
      </c>
      <c r="AF362" s="12" t="s">
        <v>1414</v>
      </c>
      <c r="AG362" s="12" t="s">
        <v>1414</v>
      </c>
    </row>
    <row r="363" spans="1:33" ht="14.4" x14ac:dyDescent="0.3">
      <c r="A363" s="12" t="s">
        <v>585</v>
      </c>
      <c r="B363" s="12" t="s">
        <v>862</v>
      </c>
      <c r="C363" s="12" t="s">
        <v>861</v>
      </c>
      <c r="D363" s="12" t="s">
        <v>1410</v>
      </c>
      <c r="E363" s="12" t="s">
        <v>2821</v>
      </c>
      <c r="F363" s="12" t="s">
        <v>2824</v>
      </c>
      <c r="G363" s="12" t="s">
        <v>2825</v>
      </c>
      <c r="H363" s="12" t="s">
        <v>1419</v>
      </c>
      <c r="I363" s="12" t="s">
        <v>1420</v>
      </c>
      <c r="J363" s="12" t="s">
        <v>1420</v>
      </c>
      <c r="K363" s="12" t="s">
        <v>1420</v>
      </c>
      <c r="L363" s="12" t="s">
        <v>1420</v>
      </c>
      <c r="M363" s="12" t="s">
        <v>1420</v>
      </c>
      <c r="N363" s="12" t="s">
        <v>1420</v>
      </c>
      <c r="O363" s="12" t="s">
        <v>1420</v>
      </c>
      <c r="P363" s="12" t="s">
        <v>1420</v>
      </c>
      <c r="Q363" s="12" t="s">
        <v>1420</v>
      </c>
      <c r="R363" s="12" t="s">
        <v>1420</v>
      </c>
      <c r="S363" s="12" t="s">
        <v>1414</v>
      </c>
      <c r="T363" s="12" t="s">
        <v>1420</v>
      </c>
      <c r="U363" s="12" t="s">
        <v>1420</v>
      </c>
      <c r="V363" s="12" t="s">
        <v>1420</v>
      </c>
      <c r="W363" s="12" t="s">
        <v>1420</v>
      </c>
      <c r="X363" s="12" t="s">
        <v>1414</v>
      </c>
      <c r="Y363" s="12" t="s">
        <v>1420</v>
      </c>
      <c r="Z363" s="12" t="s">
        <v>1420</v>
      </c>
      <c r="AA363" s="12" t="s">
        <v>1420</v>
      </c>
      <c r="AB363" s="12" t="s">
        <v>1420</v>
      </c>
      <c r="AC363" s="12" t="s">
        <v>1420</v>
      </c>
      <c r="AD363" s="12" t="s">
        <v>1420</v>
      </c>
      <c r="AE363" s="12" t="s">
        <v>1420</v>
      </c>
      <c r="AF363" s="12" t="s">
        <v>1420</v>
      </c>
      <c r="AG363" s="12" t="s">
        <v>1420</v>
      </c>
    </row>
    <row r="364" spans="1:33" ht="14.4" x14ac:dyDescent="0.3">
      <c r="A364" s="12" t="s">
        <v>28</v>
      </c>
      <c r="B364" s="12" t="s">
        <v>102</v>
      </c>
      <c r="C364" s="12" t="s">
        <v>101</v>
      </c>
      <c r="D364" s="12" t="s">
        <v>1410</v>
      </c>
      <c r="E364" s="12" t="s">
        <v>2139</v>
      </c>
      <c r="F364" s="12" t="s">
        <v>2091</v>
      </c>
      <c r="G364" s="12" t="s">
        <v>1824</v>
      </c>
      <c r="H364" s="12" t="s">
        <v>1448</v>
      </c>
      <c r="I364" s="12" t="s">
        <v>1420</v>
      </c>
      <c r="J364" s="12" t="s">
        <v>1420</v>
      </c>
      <c r="K364" s="12" t="s">
        <v>1420</v>
      </c>
      <c r="L364" s="12" t="s">
        <v>1420</v>
      </c>
      <c r="M364" s="12" t="s">
        <v>1420</v>
      </c>
      <c r="N364" s="12" t="s">
        <v>1414</v>
      </c>
      <c r="O364" s="12" t="s">
        <v>1420</v>
      </c>
      <c r="P364" s="12" t="s">
        <v>1420</v>
      </c>
      <c r="Q364" s="12" t="s">
        <v>1414</v>
      </c>
      <c r="R364" s="12" t="s">
        <v>1420</v>
      </c>
      <c r="S364" s="12" t="s">
        <v>1420</v>
      </c>
      <c r="T364" s="12" t="s">
        <v>1420</v>
      </c>
      <c r="U364" s="12" t="s">
        <v>1420</v>
      </c>
      <c r="V364" s="12" t="s">
        <v>1420</v>
      </c>
      <c r="W364" s="12" t="s">
        <v>1414</v>
      </c>
      <c r="X364" s="12" t="s">
        <v>1420</v>
      </c>
      <c r="Y364" s="12" t="s">
        <v>1414</v>
      </c>
      <c r="Z364" s="12" t="s">
        <v>1420</v>
      </c>
      <c r="AA364" s="12" t="s">
        <v>1420</v>
      </c>
      <c r="AB364" s="12" t="s">
        <v>1414</v>
      </c>
      <c r="AC364" s="12" t="s">
        <v>1420</v>
      </c>
      <c r="AD364" s="12" t="s">
        <v>1420</v>
      </c>
      <c r="AE364" s="12" t="s">
        <v>1420</v>
      </c>
      <c r="AF364" s="12" t="s">
        <v>1420</v>
      </c>
      <c r="AG364" s="12" t="s">
        <v>1420</v>
      </c>
    </row>
    <row r="365" spans="1:33" ht="14.4" x14ac:dyDescent="0.3">
      <c r="A365" s="12" t="s">
        <v>55</v>
      </c>
      <c r="B365" s="12" t="s">
        <v>102</v>
      </c>
      <c r="C365" s="12" t="s">
        <v>333</v>
      </c>
      <c r="D365" s="12" t="s">
        <v>1410</v>
      </c>
      <c r="E365" s="12" t="s">
        <v>1736</v>
      </c>
      <c r="F365" s="12" t="s">
        <v>1753</v>
      </c>
      <c r="G365" s="12" t="s">
        <v>1754</v>
      </c>
      <c r="H365" s="12" t="s">
        <v>1755</v>
      </c>
      <c r="I365" s="12" t="s">
        <v>1420</v>
      </c>
      <c r="J365" s="12" t="s">
        <v>1420</v>
      </c>
      <c r="K365" s="12" t="s">
        <v>1420</v>
      </c>
      <c r="L365" s="12" t="s">
        <v>1420</v>
      </c>
      <c r="M365" s="12" t="s">
        <v>1420</v>
      </c>
      <c r="N365" s="12" t="s">
        <v>1420</v>
      </c>
      <c r="O365" s="12" t="s">
        <v>1420</v>
      </c>
      <c r="P365" s="12" t="s">
        <v>1420</v>
      </c>
      <c r="Q365" s="12" t="s">
        <v>1414</v>
      </c>
      <c r="R365" s="12" t="s">
        <v>1420</v>
      </c>
      <c r="S365" s="12" t="s">
        <v>1414</v>
      </c>
      <c r="T365" s="12" t="s">
        <v>1420</v>
      </c>
      <c r="U365" s="12" t="s">
        <v>1414</v>
      </c>
      <c r="V365" s="12" t="s">
        <v>1420</v>
      </c>
      <c r="W365" s="12" t="s">
        <v>1414</v>
      </c>
      <c r="X365" s="12" t="s">
        <v>1414</v>
      </c>
      <c r="Y365" s="12" t="s">
        <v>1420</v>
      </c>
      <c r="Z365" s="12" t="s">
        <v>1420</v>
      </c>
      <c r="AA365" s="12" t="s">
        <v>1420</v>
      </c>
      <c r="AB365" s="12" t="s">
        <v>1414</v>
      </c>
      <c r="AC365" s="12" t="s">
        <v>1414</v>
      </c>
      <c r="AD365" s="12" t="s">
        <v>1420</v>
      </c>
      <c r="AE365" s="12" t="s">
        <v>1414</v>
      </c>
      <c r="AF365" s="12" t="s">
        <v>1414</v>
      </c>
      <c r="AG365" s="12" t="s">
        <v>1414</v>
      </c>
    </row>
    <row r="366" spans="1:33" ht="14.4" x14ac:dyDescent="0.3">
      <c r="A366" s="12" t="s">
        <v>28</v>
      </c>
      <c r="B366" s="12" t="s">
        <v>102</v>
      </c>
      <c r="C366" s="12" t="s">
        <v>334</v>
      </c>
      <c r="D366" s="12" t="s">
        <v>1410</v>
      </c>
      <c r="E366" s="12" t="s">
        <v>1840</v>
      </c>
      <c r="F366" s="12" t="s">
        <v>1841</v>
      </c>
      <c r="G366" s="12" t="s">
        <v>1842</v>
      </c>
      <c r="H366" s="12" t="s">
        <v>1843</v>
      </c>
      <c r="I366" s="12" t="s">
        <v>1420</v>
      </c>
      <c r="J366" s="12" t="s">
        <v>1420</v>
      </c>
      <c r="K366" s="12" t="s">
        <v>1414</v>
      </c>
      <c r="L366" s="12" t="s">
        <v>1414</v>
      </c>
      <c r="M366" s="12" t="s">
        <v>1420</v>
      </c>
      <c r="N366" s="12" t="s">
        <v>1420</v>
      </c>
      <c r="O366" s="12" t="s">
        <v>1420</v>
      </c>
      <c r="P366" s="12" t="s">
        <v>1420</v>
      </c>
      <c r="Q366" s="12" t="s">
        <v>1420</v>
      </c>
      <c r="R366" s="12" t="s">
        <v>1420</v>
      </c>
      <c r="S366" s="12" t="s">
        <v>1420</v>
      </c>
      <c r="T366" s="12" t="s">
        <v>1414</v>
      </c>
      <c r="U366" s="12" t="s">
        <v>1414</v>
      </c>
      <c r="V366" s="12" t="s">
        <v>1420</v>
      </c>
      <c r="W366" s="12" t="s">
        <v>1420</v>
      </c>
      <c r="X366" s="12" t="s">
        <v>1414</v>
      </c>
      <c r="Y366" s="12" t="s">
        <v>1414</v>
      </c>
      <c r="Z366" s="12" t="s">
        <v>1414</v>
      </c>
      <c r="AA366" s="12" t="s">
        <v>1414</v>
      </c>
      <c r="AB366" s="12" t="s">
        <v>1420</v>
      </c>
      <c r="AC366" s="12" t="s">
        <v>1414</v>
      </c>
      <c r="AD366" s="12" t="s">
        <v>1414</v>
      </c>
      <c r="AE366" s="12" t="s">
        <v>1414</v>
      </c>
      <c r="AF366" s="12" t="s">
        <v>1414</v>
      </c>
      <c r="AG366" s="12" t="s">
        <v>1414</v>
      </c>
    </row>
    <row r="367" spans="1:33" ht="14.4" x14ac:dyDescent="0.3">
      <c r="A367" s="12" t="s">
        <v>19</v>
      </c>
      <c r="B367" s="12" t="s">
        <v>102</v>
      </c>
      <c r="C367" s="12" t="s">
        <v>5703</v>
      </c>
      <c r="D367" s="12" t="s">
        <v>1410</v>
      </c>
      <c r="E367" s="12" t="s">
        <v>5704</v>
      </c>
      <c r="F367" s="12" t="s">
        <v>5705</v>
      </c>
      <c r="G367" s="12" t="s">
        <v>5706</v>
      </c>
      <c r="H367" s="12" t="s">
        <v>1424</v>
      </c>
      <c r="I367" s="12" t="s">
        <v>1420</v>
      </c>
      <c r="J367" s="12" t="s">
        <v>1414</v>
      </c>
      <c r="K367" s="12" t="s">
        <v>1420</v>
      </c>
      <c r="L367" s="12" t="s">
        <v>1420</v>
      </c>
      <c r="M367" s="12" t="s">
        <v>1420</v>
      </c>
      <c r="N367" s="12" t="s">
        <v>1420</v>
      </c>
      <c r="O367" s="12" t="s">
        <v>1414</v>
      </c>
      <c r="P367" s="12" t="s">
        <v>1420</v>
      </c>
      <c r="Q367" s="12" t="s">
        <v>1420</v>
      </c>
      <c r="R367" s="12" t="s">
        <v>1420</v>
      </c>
      <c r="S367" s="12" t="s">
        <v>1414</v>
      </c>
      <c r="T367" s="12" t="s">
        <v>1420</v>
      </c>
      <c r="U367" s="12" t="s">
        <v>1420</v>
      </c>
      <c r="V367" s="12" t="s">
        <v>1420</v>
      </c>
      <c r="W367" s="12" t="s">
        <v>1420</v>
      </c>
      <c r="X367" s="12" t="s">
        <v>1420</v>
      </c>
      <c r="Y367" s="12" t="s">
        <v>1420</v>
      </c>
      <c r="Z367" s="12" t="s">
        <v>1420</v>
      </c>
      <c r="AA367" s="12" t="s">
        <v>1420</v>
      </c>
      <c r="AB367" s="12" t="s">
        <v>1420</v>
      </c>
      <c r="AC367" s="12" t="s">
        <v>1420</v>
      </c>
      <c r="AD367" s="12" t="s">
        <v>1420</v>
      </c>
      <c r="AE367" s="12" t="s">
        <v>1420</v>
      </c>
      <c r="AF367" s="12" t="s">
        <v>1420</v>
      </c>
      <c r="AG367" s="12" t="s">
        <v>1420</v>
      </c>
    </row>
    <row r="368" spans="1:33" ht="14.4" x14ac:dyDescent="0.3">
      <c r="A368" s="12" t="s">
        <v>31</v>
      </c>
      <c r="B368" s="12" t="s">
        <v>1346</v>
      </c>
      <c r="C368" s="12" t="s">
        <v>1345</v>
      </c>
      <c r="D368" s="12" t="s">
        <v>1410</v>
      </c>
      <c r="E368" s="12" t="s">
        <v>1872</v>
      </c>
      <c r="F368" s="12" t="s">
        <v>1873</v>
      </c>
      <c r="G368" s="12" t="s">
        <v>1874</v>
      </c>
      <c r="H368" s="12" t="s">
        <v>1464</v>
      </c>
      <c r="I368" s="12" t="s">
        <v>1420</v>
      </c>
      <c r="J368" s="12" t="s">
        <v>1420</v>
      </c>
      <c r="K368" s="12" t="s">
        <v>1420</v>
      </c>
      <c r="L368" s="12" t="s">
        <v>1420</v>
      </c>
      <c r="M368" s="12" t="s">
        <v>1420</v>
      </c>
      <c r="N368" s="12" t="s">
        <v>1420</v>
      </c>
      <c r="O368" s="12" t="s">
        <v>1420</v>
      </c>
      <c r="P368" s="12" t="s">
        <v>1420</v>
      </c>
      <c r="Q368" s="12" t="s">
        <v>1420</v>
      </c>
      <c r="R368" s="12" t="s">
        <v>1420</v>
      </c>
      <c r="S368" s="12" t="s">
        <v>1420</v>
      </c>
      <c r="T368" s="12" t="s">
        <v>1420</v>
      </c>
      <c r="U368" s="12" t="s">
        <v>1420</v>
      </c>
      <c r="V368" s="12" t="s">
        <v>1420</v>
      </c>
      <c r="W368" s="12" t="s">
        <v>1420</v>
      </c>
      <c r="X368" s="12" t="s">
        <v>1420</v>
      </c>
      <c r="Y368" s="12" t="s">
        <v>1420</v>
      </c>
      <c r="Z368" s="12" t="s">
        <v>1420</v>
      </c>
      <c r="AA368" s="12" t="s">
        <v>1420</v>
      </c>
      <c r="AB368" s="12" t="s">
        <v>1420</v>
      </c>
      <c r="AC368" s="12" t="s">
        <v>1420</v>
      </c>
      <c r="AD368" s="12" t="s">
        <v>1420</v>
      </c>
      <c r="AE368" s="12" t="s">
        <v>1420</v>
      </c>
      <c r="AF368" s="12" t="s">
        <v>1420</v>
      </c>
      <c r="AG368" s="12" t="s">
        <v>1420</v>
      </c>
    </row>
    <row r="369" spans="1:33" ht="14.4" x14ac:dyDescent="0.3">
      <c r="A369" s="12" t="s">
        <v>42</v>
      </c>
      <c r="B369" s="12" t="s">
        <v>864</v>
      </c>
      <c r="C369" s="12" t="s">
        <v>863</v>
      </c>
      <c r="D369" s="12" t="s">
        <v>1410</v>
      </c>
      <c r="E369" s="12" t="s">
        <v>2813</v>
      </c>
      <c r="F369" s="12" t="s">
        <v>2811</v>
      </c>
      <c r="G369" s="12" t="s">
        <v>2814</v>
      </c>
      <c r="H369" s="12" t="s">
        <v>1419</v>
      </c>
      <c r="I369" s="12" t="s">
        <v>1420</v>
      </c>
      <c r="J369" s="12" t="s">
        <v>1420</v>
      </c>
      <c r="K369" s="12" t="s">
        <v>1420</v>
      </c>
      <c r="L369" s="12" t="s">
        <v>1420</v>
      </c>
      <c r="M369" s="12" t="s">
        <v>1420</v>
      </c>
      <c r="N369" s="12" t="s">
        <v>1420</v>
      </c>
      <c r="O369" s="12" t="s">
        <v>1420</v>
      </c>
      <c r="P369" s="12" t="s">
        <v>1420</v>
      </c>
      <c r="Q369" s="12" t="s">
        <v>1420</v>
      </c>
      <c r="R369" s="12" t="s">
        <v>1420</v>
      </c>
      <c r="S369" s="12" t="s">
        <v>1414</v>
      </c>
      <c r="T369" s="12" t="s">
        <v>1420</v>
      </c>
      <c r="U369" s="12" t="s">
        <v>1420</v>
      </c>
      <c r="V369" s="12" t="s">
        <v>1420</v>
      </c>
      <c r="W369" s="12" t="s">
        <v>1420</v>
      </c>
      <c r="X369" s="12" t="s">
        <v>1420</v>
      </c>
      <c r="Y369" s="12" t="s">
        <v>1420</v>
      </c>
      <c r="Z369" s="12" t="s">
        <v>1420</v>
      </c>
      <c r="AA369" s="12" t="s">
        <v>1420</v>
      </c>
      <c r="AB369" s="12" t="s">
        <v>1420</v>
      </c>
      <c r="AC369" s="12" t="s">
        <v>1420</v>
      </c>
      <c r="AD369" s="12" t="s">
        <v>1414</v>
      </c>
      <c r="AE369" s="12" t="s">
        <v>1420</v>
      </c>
      <c r="AF369" s="12" t="s">
        <v>1420</v>
      </c>
      <c r="AG369" s="12" t="s">
        <v>1420</v>
      </c>
    </row>
    <row r="370" spans="1:33" ht="14.4" x14ac:dyDescent="0.3">
      <c r="A370" s="12" t="s">
        <v>8</v>
      </c>
      <c r="B370" s="12" t="s">
        <v>104</v>
      </c>
      <c r="C370" s="12" t="s">
        <v>103</v>
      </c>
      <c r="D370" s="12" t="s">
        <v>1410</v>
      </c>
      <c r="E370" s="12" t="s">
        <v>2950</v>
      </c>
      <c r="F370" s="12" t="s">
        <v>2951</v>
      </c>
      <c r="G370" s="12" t="s">
        <v>2163</v>
      </c>
      <c r="H370" s="12" t="s">
        <v>1448</v>
      </c>
      <c r="I370" s="12" t="s">
        <v>1420</v>
      </c>
      <c r="J370" s="12" t="s">
        <v>1420</v>
      </c>
      <c r="K370" s="12" t="s">
        <v>1420</v>
      </c>
      <c r="L370" s="12" t="s">
        <v>1420</v>
      </c>
      <c r="M370" s="12" t="s">
        <v>1420</v>
      </c>
      <c r="N370" s="12" t="s">
        <v>1414</v>
      </c>
      <c r="O370" s="12" t="s">
        <v>1414</v>
      </c>
      <c r="P370" s="12" t="s">
        <v>1414</v>
      </c>
      <c r="Q370" s="12" t="s">
        <v>1420</v>
      </c>
      <c r="R370" s="12" t="s">
        <v>1414</v>
      </c>
      <c r="S370" s="12" t="s">
        <v>1420</v>
      </c>
      <c r="T370" s="12" t="s">
        <v>1420</v>
      </c>
      <c r="U370" s="12" t="s">
        <v>1420</v>
      </c>
      <c r="V370" s="12" t="s">
        <v>1420</v>
      </c>
      <c r="W370" s="12" t="s">
        <v>1420</v>
      </c>
      <c r="X370" s="12" t="s">
        <v>1414</v>
      </c>
      <c r="Y370" s="12" t="s">
        <v>1420</v>
      </c>
      <c r="Z370" s="12" t="s">
        <v>1420</v>
      </c>
      <c r="AA370" s="12" t="s">
        <v>1420</v>
      </c>
      <c r="AB370" s="12" t="s">
        <v>1420</v>
      </c>
      <c r="AC370" s="12" t="s">
        <v>1420</v>
      </c>
      <c r="AD370" s="12" t="s">
        <v>1420</v>
      </c>
      <c r="AE370" s="12" t="s">
        <v>1420</v>
      </c>
      <c r="AF370" s="12" t="s">
        <v>1420</v>
      </c>
      <c r="AG370" s="12" t="s">
        <v>1420</v>
      </c>
    </row>
    <row r="371" spans="1:33" ht="14.4" x14ac:dyDescent="0.3">
      <c r="A371" s="12" t="s">
        <v>337</v>
      </c>
      <c r="B371" s="12" t="s">
        <v>336</v>
      </c>
      <c r="C371" s="12" t="s">
        <v>335</v>
      </c>
      <c r="D371" s="12" t="s">
        <v>1410</v>
      </c>
      <c r="E371" s="12" t="s">
        <v>2259</v>
      </c>
      <c r="F371" s="12" t="s">
        <v>2261</v>
      </c>
      <c r="G371" s="12" t="s">
        <v>2262</v>
      </c>
      <c r="H371" s="12" t="s">
        <v>1452</v>
      </c>
      <c r="I371" s="12" t="s">
        <v>1420</v>
      </c>
      <c r="J371" s="12" t="s">
        <v>1420</v>
      </c>
      <c r="K371" s="12" t="s">
        <v>1420</v>
      </c>
      <c r="L371" s="12" t="s">
        <v>1420</v>
      </c>
      <c r="M371" s="12" t="s">
        <v>1420</v>
      </c>
      <c r="N371" s="12" t="s">
        <v>1414</v>
      </c>
      <c r="O371" s="12" t="s">
        <v>1420</v>
      </c>
      <c r="P371" s="12" t="s">
        <v>1420</v>
      </c>
      <c r="Q371" s="12" t="s">
        <v>1420</v>
      </c>
      <c r="R371" s="12" t="s">
        <v>1420</v>
      </c>
      <c r="S371" s="12" t="s">
        <v>1420</v>
      </c>
      <c r="T371" s="12" t="s">
        <v>1420</v>
      </c>
      <c r="U371" s="12" t="s">
        <v>1420</v>
      </c>
      <c r="V371" s="12" t="s">
        <v>1420</v>
      </c>
      <c r="W371" s="12" t="s">
        <v>1420</v>
      </c>
      <c r="X371" s="12" t="s">
        <v>1420</v>
      </c>
      <c r="Y371" s="12" t="s">
        <v>1420</v>
      </c>
      <c r="Z371" s="12" t="s">
        <v>1420</v>
      </c>
      <c r="AA371" s="12" t="s">
        <v>1420</v>
      </c>
      <c r="AB371" s="12" t="s">
        <v>1420</v>
      </c>
      <c r="AC371" s="12" t="s">
        <v>1420</v>
      </c>
      <c r="AD371" s="12" t="s">
        <v>1420</v>
      </c>
      <c r="AE371" s="12" t="s">
        <v>1420</v>
      </c>
      <c r="AF371" s="12" t="s">
        <v>1420</v>
      </c>
      <c r="AG371" s="12" t="s">
        <v>1420</v>
      </c>
    </row>
    <row r="372" spans="1:33" ht="14.4" x14ac:dyDescent="0.3">
      <c r="A372" s="12" t="s">
        <v>337</v>
      </c>
      <c r="B372" s="12" t="s">
        <v>336</v>
      </c>
      <c r="C372" s="12" t="s">
        <v>335</v>
      </c>
      <c r="D372" s="12" t="s">
        <v>1410</v>
      </c>
      <c r="E372" s="12" t="s">
        <v>2283</v>
      </c>
      <c r="F372" s="12" t="s">
        <v>2284</v>
      </c>
      <c r="G372" s="12" t="s">
        <v>2285</v>
      </c>
      <c r="H372" s="12" t="s">
        <v>1452</v>
      </c>
      <c r="I372" s="12" t="s">
        <v>1420</v>
      </c>
      <c r="J372" s="12" t="s">
        <v>1420</v>
      </c>
      <c r="K372" s="12" t="s">
        <v>1420</v>
      </c>
      <c r="L372" s="12" t="s">
        <v>1420</v>
      </c>
      <c r="M372" s="12" t="s">
        <v>1420</v>
      </c>
      <c r="N372" s="12" t="s">
        <v>1420</v>
      </c>
      <c r="O372" s="12" t="s">
        <v>1420</v>
      </c>
      <c r="P372" s="12" t="s">
        <v>1420</v>
      </c>
      <c r="Q372" s="12" t="s">
        <v>1420</v>
      </c>
      <c r="R372" s="12" t="s">
        <v>1420</v>
      </c>
      <c r="S372" s="12" t="s">
        <v>1420</v>
      </c>
      <c r="T372" s="12" t="s">
        <v>1420</v>
      </c>
      <c r="U372" s="12" t="s">
        <v>1420</v>
      </c>
      <c r="V372" s="12" t="s">
        <v>1420</v>
      </c>
      <c r="W372" s="12" t="s">
        <v>1420</v>
      </c>
      <c r="X372" s="12" t="s">
        <v>1420</v>
      </c>
      <c r="Y372" s="12" t="s">
        <v>1420</v>
      </c>
      <c r="Z372" s="12" t="s">
        <v>1420</v>
      </c>
      <c r="AA372" s="12" t="s">
        <v>1420</v>
      </c>
      <c r="AB372" s="12" t="s">
        <v>1420</v>
      </c>
      <c r="AC372" s="12" t="s">
        <v>1420</v>
      </c>
      <c r="AD372" s="12" t="s">
        <v>1420</v>
      </c>
      <c r="AE372" s="12" t="s">
        <v>1414</v>
      </c>
      <c r="AF372" s="12" t="s">
        <v>1420</v>
      </c>
      <c r="AG372" s="12" t="s">
        <v>1420</v>
      </c>
    </row>
    <row r="373" spans="1:33" ht="14.4" x14ac:dyDescent="0.3">
      <c r="A373" s="12" t="s">
        <v>25</v>
      </c>
      <c r="B373" s="12" t="s">
        <v>1348</v>
      </c>
      <c r="C373" s="12" t="s">
        <v>1347</v>
      </c>
      <c r="D373" s="12" t="s">
        <v>1410</v>
      </c>
      <c r="E373" s="12" t="s">
        <v>2082</v>
      </c>
      <c r="F373" s="12" t="s">
        <v>2083</v>
      </c>
      <c r="G373" s="12" t="s">
        <v>2084</v>
      </c>
      <c r="H373" s="12" t="s">
        <v>1464</v>
      </c>
      <c r="I373" s="12" t="s">
        <v>1420</v>
      </c>
      <c r="J373" s="12" t="s">
        <v>1420</v>
      </c>
      <c r="K373" s="12" t="s">
        <v>1420</v>
      </c>
      <c r="L373" s="12" t="s">
        <v>1420</v>
      </c>
      <c r="M373" s="12" t="s">
        <v>1420</v>
      </c>
      <c r="N373" s="12" t="s">
        <v>1420</v>
      </c>
      <c r="O373" s="12" t="s">
        <v>1420</v>
      </c>
      <c r="P373" s="12" t="s">
        <v>1420</v>
      </c>
      <c r="Q373" s="12" t="s">
        <v>1420</v>
      </c>
      <c r="R373" s="12" t="s">
        <v>1420</v>
      </c>
      <c r="S373" s="12" t="s">
        <v>1420</v>
      </c>
      <c r="T373" s="12" t="s">
        <v>1420</v>
      </c>
      <c r="U373" s="12" t="s">
        <v>1420</v>
      </c>
      <c r="V373" s="12" t="s">
        <v>1420</v>
      </c>
      <c r="W373" s="12" t="s">
        <v>1420</v>
      </c>
      <c r="X373" s="12" t="s">
        <v>1420</v>
      </c>
      <c r="Y373" s="12" t="s">
        <v>1420</v>
      </c>
      <c r="Z373" s="12" t="s">
        <v>1420</v>
      </c>
      <c r="AA373" s="12" t="s">
        <v>1420</v>
      </c>
      <c r="AB373" s="12" t="s">
        <v>1420</v>
      </c>
      <c r="AC373" s="12" t="s">
        <v>1420</v>
      </c>
      <c r="AD373" s="12" t="s">
        <v>1420</v>
      </c>
      <c r="AE373" s="12" t="s">
        <v>1420</v>
      </c>
      <c r="AF373" s="12" t="s">
        <v>1420</v>
      </c>
      <c r="AG373" s="12" t="s">
        <v>1420</v>
      </c>
    </row>
    <row r="374" spans="1:33" ht="14.4" x14ac:dyDescent="0.3">
      <c r="A374" s="12" t="s">
        <v>8</v>
      </c>
      <c r="B374" s="12" t="s">
        <v>866</v>
      </c>
      <c r="C374" s="12" t="s">
        <v>865</v>
      </c>
      <c r="D374" s="12" t="s">
        <v>1410</v>
      </c>
      <c r="E374" s="12" t="s">
        <v>3020</v>
      </c>
      <c r="F374" s="12" t="s">
        <v>3044</v>
      </c>
      <c r="G374" s="12" t="s">
        <v>3052</v>
      </c>
      <c r="H374" s="12" t="s">
        <v>1438</v>
      </c>
      <c r="I374" s="12" t="s">
        <v>1420</v>
      </c>
      <c r="J374" s="12" t="s">
        <v>1420</v>
      </c>
      <c r="K374" s="12" t="s">
        <v>1420</v>
      </c>
      <c r="L374" s="12" t="s">
        <v>1420</v>
      </c>
      <c r="M374" s="12" t="s">
        <v>1420</v>
      </c>
      <c r="N374" s="12" t="s">
        <v>1420</v>
      </c>
      <c r="O374" s="12" t="s">
        <v>1414</v>
      </c>
      <c r="P374" s="12" t="s">
        <v>1414</v>
      </c>
      <c r="Q374" s="12" t="s">
        <v>1420</v>
      </c>
      <c r="R374" s="12" t="s">
        <v>1420</v>
      </c>
      <c r="S374" s="12" t="s">
        <v>1420</v>
      </c>
      <c r="T374" s="12" t="s">
        <v>1420</v>
      </c>
      <c r="U374" s="12" t="s">
        <v>1414</v>
      </c>
      <c r="V374" s="12" t="s">
        <v>1420</v>
      </c>
      <c r="W374" s="12" t="s">
        <v>1420</v>
      </c>
      <c r="X374" s="12" t="s">
        <v>1414</v>
      </c>
      <c r="Y374" s="12" t="s">
        <v>1420</v>
      </c>
      <c r="Z374" s="12" t="s">
        <v>1420</v>
      </c>
      <c r="AA374" s="12" t="s">
        <v>1420</v>
      </c>
      <c r="AB374" s="12" t="s">
        <v>1414</v>
      </c>
      <c r="AC374" s="12" t="s">
        <v>1420</v>
      </c>
      <c r="AD374" s="12" t="s">
        <v>1420</v>
      </c>
      <c r="AE374" s="12" t="s">
        <v>1414</v>
      </c>
      <c r="AF374" s="12" t="s">
        <v>1420</v>
      </c>
      <c r="AG374" s="12" t="s">
        <v>1420</v>
      </c>
    </row>
    <row r="375" spans="1:33" ht="14.4" x14ac:dyDescent="0.3">
      <c r="A375" s="12" t="s">
        <v>31</v>
      </c>
      <c r="B375" s="12" t="s">
        <v>5707</v>
      </c>
      <c r="C375" s="12" t="s">
        <v>5708</v>
      </c>
      <c r="D375" s="12" t="s">
        <v>1410</v>
      </c>
      <c r="E375" s="12" t="s">
        <v>5709</v>
      </c>
      <c r="F375" s="12" t="s">
        <v>5710</v>
      </c>
      <c r="G375" s="12" t="s">
        <v>5711</v>
      </c>
      <c r="H375" s="12" t="s">
        <v>1419</v>
      </c>
      <c r="I375" s="12" t="s">
        <v>1420</v>
      </c>
      <c r="J375" s="12" t="s">
        <v>1414</v>
      </c>
      <c r="K375" s="12" t="s">
        <v>1420</v>
      </c>
      <c r="L375" s="12" t="s">
        <v>1420</v>
      </c>
      <c r="M375" s="12" t="s">
        <v>1420</v>
      </c>
      <c r="N375" s="12" t="s">
        <v>1420</v>
      </c>
      <c r="O375" s="12" t="s">
        <v>1414</v>
      </c>
      <c r="P375" s="12" t="s">
        <v>1420</v>
      </c>
      <c r="Q375" s="12" t="s">
        <v>1420</v>
      </c>
      <c r="R375" s="12" t="s">
        <v>1420</v>
      </c>
      <c r="S375" s="12" t="s">
        <v>1420</v>
      </c>
      <c r="T375" s="12" t="s">
        <v>1420</v>
      </c>
      <c r="U375" s="12" t="s">
        <v>1420</v>
      </c>
      <c r="V375" s="12" t="s">
        <v>1420</v>
      </c>
      <c r="W375" s="12" t="s">
        <v>1420</v>
      </c>
      <c r="X375" s="12" t="s">
        <v>1420</v>
      </c>
      <c r="Y375" s="12" t="s">
        <v>1420</v>
      </c>
      <c r="Z375" s="12" t="s">
        <v>1420</v>
      </c>
      <c r="AA375" s="12" t="s">
        <v>1420</v>
      </c>
      <c r="AB375" s="12" t="s">
        <v>1420</v>
      </c>
      <c r="AC375" s="12" t="s">
        <v>1420</v>
      </c>
      <c r="AD375" s="12" t="s">
        <v>1420</v>
      </c>
      <c r="AE375" s="12" t="s">
        <v>1420</v>
      </c>
      <c r="AF375" s="12" t="s">
        <v>1420</v>
      </c>
      <c r="AG375" s="12" t="s">
        <v>1420</v>
      </c>
    </row>
    <row r="376" spans="1:33" ht="14.4" x14ac:dyDescent="0.3">
      <c r="A376" s="12" t="s">
        <v>8</v>
      </c>
      <c r="B376" s="12" t="s">
        <v>714</v>
      </c>
      <c r="C376" s="12" t="s">
        <v>713</v>
      </c>
      <c r="D376" s="12" t="s">
        <v>1410</v>
      </c>
      <c r="E376" s="12" t="s">
        <v>1513</v>
      </c>
      <c r="F376" s="12" t="s">
        <v>1514</v>
      </c>
      <c r="G376" s="12" t="s">
        <v>1515</v>
      </c>
      <c r="H376" s="12" t="s">
        <v>1452</v>
      </c>
      <c r="I376" s="12" t="s">
        <v>1420</v>
      </c>
      <c r="J376" s="12" t="s">
        <v>1420</v>
      </c>
      <c r="K376" s="12" t="s">
        <v>1420</v>
      </c>
      <c r="L376" s="12" t="s">
        <v>1420</v>
      </c>
      <c r="M376" s="12" t="s">
        <v>1420</v>
      </c>
      <c r="N376" s="12" t="s">
        <v>1420</v>
      </c>
      <c r="O376" s="12" t="s">
        <v>1420</v>
      </c>
      <c r="P376" s="12" t="s">
        <v>1420</v>
      </c>
      <c r="Q376" s="12" t="s">
        <v>1420</v>
      </c>
      <c r="R376" s="12" t="s">
        <v>1420</v>
      </c>
      <c r="S376" s="12" t="s">
        <v>1420</v>
      </c>
      <c r="T376" s="12" t="s">
        <v>1420</v>
      </c>
      <c r="U376" s="12" t="s">
        <v>1414</v>
      </c>
      <c r="V376" s="12" t="s">
        <v>1420</v>
      </c>
      <c r="W376" s="12" t="s">
        <v>1420</v>
      </c>
      <c r="X376" s="12" t="s">
        <v>1420</v>
      </c>
      <c r="Y376" s="12" t="s">
        <v>1420</v>
      </c>
      <c r="Z376" s="12" t="s">
        <v>1420</v>
      </c>
      <c r="AA376" s="12" t="s">
        <v>1420</v>
      </c>
      <c r="AB376" s="12" t="s">
        <v>1420</v>
      </c>
      <c r="AC376" s="12" t="s">
        <v>1420</v>
      </c>
      <c r="AD376" s="12" t="s">
        <v>1420</v>
      </c>
      <c r="AE376" s="12" t="s">
        <v>1420</v>
      </c>
      <c r="AF376" s="12" t="s">
        <v>1420</v>
      </c>
      <c r="AG376" s="12" t="s">
        <v>1420</v>
      </c>
    </row>
    <row r="377" spans="1:33" ht="14.4" x14ac:dyDescent="0.3">
      <c r="A377" s="12" t="s">
        <v>8</v>
      </c>
      <c r="B377" s="12" t="s">
        <v>1099</v>
      </c>
      <c r="C377" s="12" t="s">
        <v>1098</v>
      </c>
      <c r="D377" s="12" t="s">
        <v>1410</v>
      </c>
      <c r="E377" s="12" t="s">
        <v>2171</v>
      </c>
      <c r="F377" s="12" t="s">
        <v>2172</v>
      </c>
      <c r="G377" s="12" t="s">
        <v>2173</v>
      </c>
      <c r="H377" s="12" t="s">
        <v>1419</v>
      </c>
      <c r="I377" s="12" t="s">
        <v>1420</v>
      </c>
      <c r="J377" s="12" t="s">
        <v>1420</v>
      </c>
      <c r="K377" s="12" t="s">
        <v>1420</v>
      </c>
      <c r="L377" s="12" t="s">
        <v>1420</v>
      </c>
      <c r="M377" s="12" t="s">
        <v>1420</v>
      </c>
      <c r="N377" s="12" t="s">
        <v>1420</v>
      </c>
      <c r="O377" s="12" t="s">
        <v>1420</v>
      </c>
      <c r="P377" s="12" t="s">
        <v>1414</v>
      </c>
      <c r="Q377" s="12" t="s">
        <v>1420</v>
      </c>
      <c r="R377" s="12" t="s">
        <v>1420</v>
      </c>
      <c r="S377" s="12" t="s">
        <v>1420</v>
      </c>
      <c r="T377" s="12" t="s">
        <v>1420</v>
      </c>
      <c r="U377" s="12" t="s">
        <v>1420</v>
      </c>
      <c r="V377" s="12" t="s">
        <v>1420</v>
      </c>
      <c r="W377" s="12" t="s">
        <v>1420</v>
      </c>
      <c r="X377" s="12" t="s">
        <v>1420</v>
      </c>
      <c r="Y377" s="12" t="s">
        <v>1420</v>
      </c>
      <c r="Z377" s="12" t="s">
        <v>1420</v>
      </c>
      <c r="AA377" s="12" t="s">
        <v>1420</v>
      </c>
      <c r="AB377" s="12" t="s">
        <v>1420</v>
      </c>
      <c r="AC377" s="12" t="s">
        <v>1420</v>
      </c>
      <c r="AD377" s="12" t="s">
        <v>1414</v>
      </c>
      <c r="AE377" s="12" t="s">
        <v>1420</v>
      </c>
      <c r="AF377" s="12" t="s">
        <v>1420</v>
      </c>
      <c r="AG377" s="12" t="s">
        <v>1420</v>
      </c>
    </row>
    <row r="378" spans="1:33" ht="14.4" x14ac:dyDescent="0.3">
      <c r="A378" s="12" t="s">
        <v>42</v>
      </c>
      <c r="B378" s="12" t="s">
        <v>1142</v>
      </c>
      <c r="C378" s="12" t="s">
        <v>1869</v>
      </c>
      <c r="D378" s="12" t="s">
        <v>1410</v>
      </c>
      <c r="E378" s="12" t="s">
        <v>1863</v>
      </c>
      <c r="F378" s="12" t="s">
        <v>1870</v>
      </c>
      <c r="G378" s="12" t="s">
        <v>1871</v>
      </c>
      <c r="H378" s="12" t="s">
        <v>1452</v>
      </c>
      <c r="I378" s="12" t="s">
        <v>1420</v>
      </c>
      <c r="J378" s="12" t="s">
        <v>1420</v>
      </c>
      <c r="K378" s="12" t="s">
        <v>1420</v>
      </c>
      <c r="L378" s="12" t="s">
        <v>1420</v>
      </c>
      <c r="M378" s="12" t="s">
        <v>1420</v>
      </c>
      <c r="N378" s="12" t="s">
        <v>1420</v>
      </c>
      <c r="O378" s="12" t="s">
        <v>1420</v>
      </c>
      <c r="P378" s="12" t="s">
        <v>1420</v>
      </c>
      <c r="Q378" s="12" t="s">
        <v>1420</v>
      </c>
      <c r="R378" s="12" t="s">
        <v>1420</v>
      </c>
      <c r="S378" s="12" t="s">
        <v>1420</v>
      </c>
      <c r="T378" s="12" t="s">
        <v>1420</v>
      </c>
      <c r="U378" s="12" t="s">
        <v>1420</v>
      </c>
      <c r="V378" s="12" t="s">
        <v>1420</v>
      </c>
      <c r="W378" s="12" t="s">
        <v>1420</v>
      </c>
      <c r="X378" s="12" t="s">
        <v>1420</v>
      </c>
      <c r="Y378" s="12" t="s">
        <v>1420</v>
      </c>
      <c r="Z378" s="12" t="s">
        <v>1420</v>
      </c>
      <c r="AA378" s="12" t="s">
        <v>1420</v>
      </c>
      <c r="AB378" s="12" t="s">
        <v>1420</v>
      </c>
      <c r="AC378" s="12" t="s">
        <v>1420</v>
      </c>
      <c r="AD378" s="12" t="s">
        <v>1414</v>
      </c>
      <c r="AE378" s="12" t="s">
        <v>1420</v>
      </c>
      <c r="AF378" s="12" t="s">
        <v>1420</v>
      </c>
      <c r="AG378" s="12" t="s">
        <v>1420</v>
      </c>
    </row>
    <row r="379" spans="1:33" ht="14.4" x14ac:dyDescent="0.3">
      <c r="A379" s="12" t="s">
        <v>42</v>
      </c>
      <c r="B379" s="12" t="s">
        <v>106</v>
      </c>
      <c r="C379" s="12" t="s">
        <v>105</v>
      </c>
      <c r="D379" s="12" t="s">
        <v>1410</v>
      </c>
      <c r="E379" s="12" t="s">
        <v>2098</v>
      </c>
      <c r="F379" s="12" t="s">
        <v>2103</v>
      </c>
      <c r="G379" s="12" t="s">
        <v>2104</v>
      </c>
      <c r="H379" s="12" t="s">
        <v>1464</v>
      </c>
      <c r="I379" s="12" t="s">
        <v>1420</v>
      </c>
      <c r="J379" s="12" t="s">
        <v>1420</v>
      </c>
      <c r="K379" s="12" t="s">
        <v>1420</v>
      </c>
      <c r="L379" s="12" t="s">
        <v>1420</v>
      </c>
      <c r="M379" s="12" t="s">
        <v>1420</v>
      </c>
      <c r="N379" s="12" t="s">
        <v>1420</v>
      </c>
      <c r="O379" s="12" t="s">
        <v>1420</v>
      </c>
      <c r="P379" s="12" t="s">
        <v>1420</v>
      </c>
      <c r="Q379" s="12" t="s">
        <v>1420</v>
      </c>
      <c r="R379" s="12" t="s">
        <v>1420</v>
      </c>
      <c r="S379" s="12" t="s">
        <v>1420</v>
      </c>
      <c r="T379" s="12" t="s">
        <v>1420</v>
      </c>
      <c r="U379" s="12" t="s">
        <v>1420</v>
      </c>
      <c r="V379" s="12" t="s">
        <v>1420</v>
      </c>
      <c r="W379" s="12" t="s">
        <v>1420</v>
      </c>
      <c r="X379" s="12" t="s">
        <v>1420</v>
      </c>
      <c r="Y379" s="12" t="s">
        <v>1420</v>
      </c>
      <c r="Z379" s="12" t="s">
        <v>1420</v>
      </c>
      <c r="AA379" s="12" t="s">
        <v>1420</v>
      </c>
      <c r="AB379" s="12" t="s">
        <v>1420</v>
      </c>
      <c r="AC379" s="12" t="s">
        <v>1420</v>
      </c>
      <c r="AD379" s="12" t="s">
        <v>1420</v>
      </c>
      <c r="AE379" s="12" t="s">
        <v>1420</v>
      </c>
      <c r="AF379" s="12" t="s">
        <v>1420</v>
      </c>
      <c r="AG379" s="12" t="s">
        <v>1420</v>
      </c>
    </row>
    <row r="380" spans="1:33" ht="14.4" x14ac:dyDescent="0.3">
      <c r="A380" s="12" t="s">
        <v>28</v>
      </c>
      <c r="B380" s="12" t="s">
        <v>1101</v>
      </c>
      <c r="C380" s="12" t="s">
        <v>1100</v>
      </c>
      <c r="D380" s="12" t="s">
        <v>1410</v>
      </c>
      <c r="E380" s="12" t="s">
        <v>1862</v>
      </c>
      <c r="F380" s="12" t="s">
        <v>1867</v>
      </c>
      <c r="G380" s="12" t="s">
        <v>1868</v>
      </c>
      <c r="H380" s="12" t="s">
        <v>1438</v>
      </c>
      <c r="I380" s="12" t="s">
        <v>1420</v>
      </c>
      <c r="J380" s="12" t="s">
        <v>1420</v>
      </c>
      <c r="K380" s="12" t="s">
        <v>1420</v>
      </c>
      <c r="L380" s="12" t="s">
        <v>1420</v>
      </c>
      <c r="M380" s="12" t="s">
        <v>1420</v>
      </c>
      <c r="N380" s="12" t="s">
        <v>1420</v>
      </c>
      <c r="O380" s="12" t="s">
        <v>1420</v>
      </c>
      <c r="P380" s="12" t="s">
        <v>1420</v>
      </c>
      <c r="Q380" s="12" t="s">
        <v>1420</v>
      </c>
      <c r="R380" s="12" t="s">
        <v>1420</v>
      </c>
      <c r="S380" s="12" t="s">
        <v>1414</v>
      </c>
      <c r="T380" s="12" t="s">
        <v>1414</v>
      </c>
      <c r="U380" s="12" t="s">
        <v>1420</v>
      </c>
      <c r="V380" s="12" t="s">
        <v>1420</v>
      </c>
      <c r="W380" s="12" t="s">
        <v>1420</v>
      </c>
      <c r="X380" s="12" t="s">
        <v>1414</v>
      </c>
      <c r="Y380" s="12" t="s">
        <v>1420</v>
      </c>
      <c r="Z380" s="12" t="s">
        <v>1420</v>
      </c>
      <c r="AA380" s="12" t="s">
        <v>1414</v>
      </c>
      <c r="AB380" s="12" t="s">
        <v>1420</v>
      </c>
      <c r="AC380" s="12" t="s">
        <v>1420</v>
      </c>
      <c r="AD380" s="12" t="s">
        <v>1414</v>
      </c>
      <c r="AE380" s="12" t="s">
        <v>1420</v>
      </c>
      <c r="AF380" s="12" t="s">
        <v>1420</v>
      </c>
      <c r="AG380" s="12" t="s">
        <v>1414</v>
      </c>
    </row>
    <row r="381" spans="1:33" ht="14.4" x14ac:dyDescent="0.3">
      <c r="A381" s="12" t="s">
        <v>22</v>
      </c>
      <c r="B381" s="12" t="s">
        <v>716</v>
      </c>
      <c r="C381" s="12" t="s">
        <v>715</v>
      </c>
      <c r="D381" s="12" t="s">
        <v>1410</v>
      </c>
      <c r="E381" s="12" t="s">
        <v>3030</v>
      </c>
      <c r="F381" s="12" t="s">
        <v>3031</v>
      </c>
      <c r="G381" s="12" t="s">
        <v>2149</v>
      </c>
      <c r="H381" s="12" t="s">
        <v>1755</v>
      </c>
      <c r="I381" s="12" t="s">
        <v>1414</v>
      </c>
      <c r="J381" s="12" t="s">
        <v>1420</v>
      </c>
      <c r="K381" s="12" t="s">
        <v>1420</v>
      </c>
      <c r="L381" s="12" t="s">
        <v>1420</v>
      </c>
      <c r="M381" s="12" t="s">
        <v>1420</v>
      </c>
      <c r="N381" s="12" t="s">
        <v>1414</v>
      </c>
      <c r="O381" s="12" t="s">
        <v>1414</v>
      </c>
      <c r="P381" s="12" t="s">
        <v>1414</v>
      </c>
      <c r="Q381" s="12" t="s">
        <v>1414</v>
      </c>
      <c r="R381" s="12" t="s">
        <v>1420</v>
      </c>
      <c r="S381" s="12" t="s">
        <v>1420</v>
      </c>
      <c r="T381" s="12" t="s">
        <v>1414</v>
      </c>
      <c r="U381" s="12" t="s">
        <v>1414</v>
      </c>
      <c r="V381" s="12" t="s">
        <v>1420</v>
      </c>
      <c r="W381" s="12" t="s">
        <v>1420</v>
      </c>
      <c r="X381" s="12" t="s">
        <v>1420</v>
      </c>
      <c r="Y381" s="12" t="s">
        <v>1420</v>
      </c>
      <c r="Z381" s="12" t="s">
        <v>1420</v>
      </c>
      <c r="AA381" s="12" t="s">
        <v>1420</v>
      </c>
      <c r="AB381" s="12" t="s">
        <v>1414</v>
      </c>
      <c r="AC381" s="12" t="s">
        <v>1420</v>
      </c>
      <c r="AD381" s="12" t="s">
        <v>1414</v>
      </c>
      <c r="AE381" s="12" t="s">
        <v>1414</v>
      </c>
      <c r="AF381" s="12" t="s">
        <v>1420</v>
      </c>
      <c r="AG381" s="12" t="s">
        <v>1420</v>
      </c>
    </row>
    <row r="382" spans="1:33" ht="14.4" x14ac:dyDescent="0.3">
      <c r="A382" s="12" t="s">
        <v>55</v>
      </c>
      <c r="B382" s="12" t="s">
        <v>868</v>
      </c>
      <c r="C382" s="12" t="s">
        <v>867</v>
      </c>
      <c r="D382" s="12" t="s">
        <v>1410</v>
      </c>
      <c r="E382" s="12" t="s">
        <v>2738</v>
      </c>
      <c r="F382" s="12" t="s">
        <v>2739</v>
      </c>
      <c r="G382" s="12" t="s">
        <v>2740</v>
      </c>
      <c r="H382" s="12" t="s">
        <v>1424</v>
      </c>
      <c r="I382" s="12" t="s">
        <v>1420</v>
      </c>
      <c r="J382" s="12" t="s">
        <v>1420</v>
      </c>
      <c r="K382" s="12" t="s">
        <v>1420</v>
      </c>
      <c r="L382" s="12" t="s">
        <v>1420</v>
      </c>
      <c r="M382" s="12" t="s">
        <v>1420</v>
      </c>
      <c r="N382" s="12" t="s">
        <v>1420</v>
      </c>
      <c r="O382" s="12" t="s">
        <v>1420</v>
      </c>
      <c r="P382" s="12" t="s">
        <v>1420</v>
      </c>
      <c r="Q382" s="12" t="s">
        <v>1420</v>
      </c>
      <c r="R382" s="12" t="s">
        <v>1420</v>
      </c>
      <c r="S382" s="12" t="s">
        <v>1420</v>
      </c>
      <c r="T382" s="12" t="s">
        <v>1414</v>
      </c>
      <c r="U382" s="12" t="s">
        <v>1414</v>
      </c>
      <c r="V382" s="12" t="s">
        <v>1420</v>
      </c>
      <c r="W382" s="12" t="s">
        <v>1420</v>
      </c>
      <c r="X382" s="12" t="s">
        <v>1420</v>
      </c>
      <c r="Y382" s="12" t="s">
        <v>1420</v>
      </c>
      <c r="Z382" s="12" t="s">
        <v>1420</v>
      </c>
      <c r="AA382" s="12" t="s">
        <v>1420</v>
      </c>
      <c r="AB382" s="12" t="s">
        <v>1420</v>
      </c>
      <c r="AC382" s="12" t="s">
        <v>1420</v>
      </c>
      <c r="AD382" s="12" t="s">
        <v>1420</v>
      </c>
      <c r="AE382" s="12" t="s">
        <v>1414</v>
      </c>
      <c r="AF382" s="12" t="s">
        <v>1420</v>
      </c>
      <c r="AG382" s="12" t="s">
        <v>1420</v>
      </c>
    </row>
    <row r="383" spans="1:33" ht="14.4" x14ac:dyDescent="0.3">
      <c r="A383" s="12" t="s">
        <v>19</v>
      </c>
      <c r="B383" s="12" t="s">
        <v>868</v>
      </c>
      <c r="C383" s="12" t="s">
        <v>5712</v>
      </c>
      <c r="D383" s="12" t="s">
        <v>1410</v>
      </c>
      <c r="E383" s="12" t="s">
        <v>5713</v>
      </c>
      <c r="F383" s="12" t="s">
        <v>5714</v>
      </c>
      <c r="G383" s="12" t="s">
        <v>1942</v>
      </c>
      <c r="H383" s="12" t="s">
        <v>1452</v>
      </c>
      <c r="I383" s="12" t="s">
        <v>1420</v>
      </c>
      <c r="J383" s="12" t="s">
        <v>1420</v>
      </c>
      <c r="K383" s="12" t="s">
        <v>1420</v>
      </c>
      <c r="L383" s="12" t="s">
        <v>1420</v>
      </c>
      <c r="M383" s="12" t="s">
        <v>1420</v>
      </c>
      <c r="N383" s="12" t="s">
        <v>1420</v>
      </c>
      <c r="O383" s="12" t="s">
        <v>1420</v>
      </c>
      <c r="P383" s="12" t="s">
        <v>1420</v>
      </c>
      <c r="Q383" s="12" t="s">
        <v>1420</v>
      </c>
      <c r="R383" s="12" t="s">
        <v>1420</v>
      </c>
      <c r="S383" s="12" t="s">
        <v>1420</v>
      </c>
      <c r="T383" s="12" t="s">
        <v>1420</v>
      </c>
      <c r="U383" s="12" t="s">
        <v>1420</v>
      </c>
      <c r="V383" s="12" t="s">
        <v>1420</v>
      </c>
      <c r="W383" s="12" t="s">
        <v>1414</v>
      </c>
      <c r="X383" s="12" t="s">
        <v>1420</v>
      </c>
      <c r="Y383" s="12" t="s">
        <v>1420</v>
      </c>
      <c r="Z383" s="12" t="s">
        <v>1420</v>
      </c>
      <c r="AA383" s="12" t="s">
        <v>1420</v>
      </c>
      <c r="AB383" s="12" t="s">
        <v>1420</v>
      </c>
      <c r="AC383" s="12" t="s">
        <v>1420</v>
      </c>
      <c r="AD383" s="12" t="s">
        <v>1420</v>
      </c>
      <c r="AE383" s="12" t="s">
        <v>1420</v>
      </c>
      <c r="AF383" s="12" t="s">
        <v>1420</v>
      </c>
      <c r="AG383" s="12" t="s">
        <v>1420</v>
      </c>
    </row>
    <row r="384" spans="1:33" ht="14.4" x14ac:dyDescent="0.3">
      <c r="A384" s="12" t="s">
        <v>133</v>
      </c>
      <c r="B384" s="12" t="s">
        <v>1103</v>
      </c>
      <c r="C384" s="12" t="s">
        <v>1102</v>
      </c>
      <c r="D384" s="12" t="s">
        <v>1410</v>
      </c>
      <c r="E384" s="12" t="s">
        <v>2981</v>
      </c>
      <c r="F384" s="12" t="s">
        <v>2982</v>
      </c>
      <c r="G384" s="12" t="s">
        <v>2239</v>
      </c>
      <c r="H384" s="12" t="s">
        <v>1452</v>
      </c>
      <c r="I384" s="12" t="s">
        <v>1420</v>
      </c>
      <c r="J384" s="12" t="s">
        <v>1420</v>
      </c>
      <c r="K384" s="12" t="s">
        <v>1420</v>
      </c>
      <c r="L384" s="12" t="s">
        <v>1420</v>
      </c>
      <c r="M384" s="12" t="s">
        <v>1420</v>
      </c>
      <c r="N384" s="12" t="s">
        <v>1420</v>
      </c>
      <c r="O384" s="12" t="s">
        <v>1420</v>
      </c>
      <c r="P384" s="12" t="s">
        <v>1420</v>
      </c>
      <c r="Q384" s="12" t="s">
        <v>1420</v>
      </c>
      <c r="R384" s="12" t="s">
        <v>1420</v>
      </c>
      <c r="S384" s="12" t="s">
        <v>1420</v>
      </c>
      <c r="T384" s="12" t="s">
        <v>1420</v>
      </c>
      <c r="U384" s="12" t="s">
        <v>1420</v>
      </c>
      <c r="V384" s="12" t="s">
        <v>1420</v>
      </c>
      <c r="W384" s="12" t="s">
        <v>1420</v>
      </c>
      <c r="X384" s="12" t="s">
        <v>1420</v>
      </c>
      <c r="Y384" s="12" t="s">
        <v>1420</v>
      </c>
      <c r="Z384" s="12" t="s">
        <v>1420</v>
      </c>
      <c r="AA384" s="12" t="s">
        <v>1420</v>
      </c>
      <c r="AB384" s="12" t="s">
        <v>1420</v>
      </c>
      <c r="AC384" s="12" t="s">
        <v>1420</v>
      </c>
      <c r="AD384" s="12" t="s">
        <v>1414</v>
      </c>
      <c r="AE384" s="12" t="s">
        <v>1420</v>
      </c>
      <c r="AF384" s="12" t="s">
        <v>1420</v>
      </c>
      <c r="AG384" s="12" t="s">
        <v>1420</v>
      </c>
    </row>
    <row r="385" spans="1:33" ht="14.4" x14ac:dyDescent="0.3">
      <c r="A385" s="12" t="s">
        <v>42</v>
      </c>
      <c r="B385" s="12" t="s">
        <v>1204</v>
      </c>
      <c r="C385" s="12" t="s">
        <v>1203</v>
      </c>
      <c r="D385" s="12" t="s">
        <v>1410</v>
      </c>
      <c r="E385" s="12" t="s">
        <v>3098</v>
      </c>
      <c r="F385" s="12" t="s">
        <v>3099</v>
      </c>
      <c r="G385" s="12" t="s">
        <v>2178</v>
      </c>
      <c r="H385" s="12" t="s">
        <v>1452</v>
      </c>
      <c r="I385" s="12" t="s">
        <v>1420</v>
      </c>
      <c r="J385" s="12" t="s">
        <v>1420</v>
      </c>
      <c r="K385" s="12" t="s">
        <v>1420</v>
      </c>
      <c r="L385" s="12" t="s">
        <v>1420</v>
      </c>
      <c r="M385" s="12" t="s">
        <v>1420</v>
      </c>
      <c r="N385" s="12" t="s">
        <v>1420</v>
      </c>
      <c r="O385" s="12" t="s">
        <v>1420</v>
      </c>
      <c r="P385" s="12" t="s">
        <v>1420</v>
      </c>
      <c r="Q385" s="12" t="s">
        <v>1420</v>
      </c>
      <c r="R385" s="12" t="s">
        <v>1420</v>
      </c>
      <c r="S385" s="12" t="s">
        <v>1420</v>
      </c>
      <c r="T385" s="12" t="s">
        <v>1420</v>
      </c>
      <c r="U385" s="12" t="s">
        <v>1420</v>
      </c>
      <c r="V385" s="12" t="s">
        <v>1415</v>
      </c>
      <c r="W385" s="12" t="s">
        <v>1420</v>
      </c>
      <c r="X385" s="12" t="s">
        <v>1420</v>
      </c>
      <c r="Y385" s="12" t="s">
        <v>1420</v>
      </c>
      <c r="Z385" s="12" t="s">
        <v>1420</v>
      </c>
      <c r="AA385" s="12" t="s">
        <v>1420</v>
      </c>
      <c r="AB385" s="12" t="s">
        <v>1420</v>
      </c>
      <c r="AC385" s="12" t="s">
        <v>1420</v>
      </c>
      <c r="AD385" s="12" t="s">
        <v>1420</v>
      </c>
      <c r="AE385" s="12" t="s">
        <v>1420</v>
      </c>
      <c r="AF385" s="12" t="s">
        <v>1420</v>
      </c>
      <c r="AG385" s="12" t="s">
        <v>1420</v>
      </c>
    </row>
    <row r="386" spans="1:33" ht="14.4" x14ac:dyDescent="0.3">
      <c r="A386" s="12" t="s">
        <v>8</v>
      </c>
      <c r="B386" s="12" t="s">
        <v>558</v>
      </c>
      <c r="C386" s="12" t="s">
        <v>557</v>
      </c>
      <c r="D386" s="12" t="s">
        <v>1410</v>
      </c>
      <c r="E386" s="12" t="s">
        <v>1709</v>
      </c>
      <c r="F386" s="12" t="s">
        <v>1710</v>
      </c>
      <c r="G386" s="12" t="s">
        <v>1711</v>
      </c>
      <c r="H386" s="12" t="s">
        <v>1452</v>
      </c>
      <c r="I386" s="12" t="s">
        <v>1420</v>
      </c>
      <c r="J386" s="12" t="s">
        <v>1420</v>
      </c>
      <c r="K386" s="12" t="s">
        <v>1420</v>
      </c>
      <c r="L386" s="12" t="s">
        <v>1420</v>
      </c>
      <c r="M386" s="12" t="s">
        <v>1420</v>
      </c>
      <c r="N386" s="12" t="s">
        <v>1420</v>
      </c>
      <c r="O386" s="12" t="s">
        <v>1420</v>
      </c>
      <c r="P386" s="12" t="s">
        <v>1420</v>
      </c>
      <c r="Q386" s="12" t="s">
        <v>1420</v>
      </c>
      <c r="R386" s="12" t="s">
        <v>1420</v>
      </c>
      <c r="S386" s="12" t="s">
        <v>1420</v>
      </c>
      <c r="T386" s="12" t="s">
        <v>1420</v>
      </c>
      <c r="U386" s="12" t="s">
        <v>1420</v>
      </c>
      <c r="V386" s="12" t="s">
        <v>1420</v>
      </c>
      <c r="W386" s="12" t="s">
        <v>1420</v>
      </c>
      <c r="X386" s="12" t="s">
        <v>1420</v>
      </c>
      <c r="Y386" s="12" t="s">
        <v>1420</v>
      </c>
      <c r="Z386" s="12" t="s">
        <v>1420</v>
      </c>
      <c r="AA386" s="12" t="s">
        <v>1420</v>
      </c>
      <c r="AB386" s="12" t="s">
        <v>1420</v>
      </c>
      <c r="AC386" s="12" t="s">
        <v>1420</v>
      </c>
      <c r="AD386" s="12" t="s">
        <v>1414</v>
      </c>
      <c r="AE386" s="12" t="s">
        <v>1420</v>
      </c>
      <c r="AF386" s="12" t="s">
        <v>1420</v>
      </c>
      <c r="AG386" s="12" t="s">
        <v>1420</v>
      </c>
    </row>
    <row r="387" spans="1:33" ht="14.4" x14ac:dyDescent="0.3">
      <c r="A387" s="12" t="s">
        <v>8</v>
      </c>
      <c r="B387" s="12" t="s">
        <v>558</v>
      </c>
      <c r="C387" s="12" t="s">
        <v>557</v>
      </c>
      <c r="D387" s="12" t="s">
        <v>1410</v>
      </c>
      <c r="E387" s="12" t="s">
        <v>1715</v>
      </c>
      <c r="F387" s="12" t="s">
        <v>1716</v>
      </c>
      <c r="G387" s="12" t="s">
        <v>1717</v>
      </c>
      <c r="H387" s="12" t="s">
        <v>1464</v>
      </c>
      <c r="I387" s="12" t="s">
        <v>1420</v>
      </c>
      <c r="J387" s="12" t="s">
        <v>1420</v>
      </c>
      <c r="K387" s="12" t="s">
        <v>1420</v>
      </c>
      <c r="L387" s="12" t="s">
        <v>1420</v>
      </c>
      <c r="M387" s="12" t="s">
        <v>1420</v>
      </c>
      <c r="N387" s="12" t="s">
        <v>1420</v>
      </c>
      <c r="O387" s="12" t="s">
        <v>1420</v>
      </c>
      <c r="P387" s="12" t="s">
        <v>1420</v>
      </c>
      <c r="Q387" s="12" t="s">
        <v>1420</v>
      </c>
      <c r="R387" s="12" t="s">
        <v>1420</v>
      </c>
      <c r="S387" s="12" t="s">
        <v>1420</v>
      </c>
      <c r="T387" s="12" t="s">
        <v>1420</v>
      </c>
      <c r="U387" s="12" t="s">
        <v>1420</v>
      </c>
      <c r="V387" s="12" t="s">
        <v>1420</v>
      </c>
      <c r="W387" s="12" t="s">
        <v>1420</v>
      </c>
      <c r="X387" s="12" t="s">
        <v>1420</v>
      </c>
      <c r="Y387" s="12" t="s">
        <v>1420</v>
      </c>
      <c r="Z387" s="12" t="s">
        <v>1420</v>
      </c>
      <c r="AA387" s="12" t="s">
        <v>1420</v>
      </c>
      <c r="AB387" s="12" t="s">
        <v>1420</v>
      </c>
      <c r="AC387" s="12" t="s">
        <v>1420</v>
      </c>
      <c r="AD387" s="12" t="s">
        <v>1420</v>
      </c>
      <c r="AE387" s="12" t="s">
        <v>1420</v>
      </c>
      <c r="AF387" s="12" t="s">
        <v>1420</v>
      </c>
      <c r="AG387" s="12" t="s">
        <v>1420</v>
      </c>
    </row>
    <row r="388" spans="1:33" ht="14.4" x14ac:dyDescent="0.3">
      <c r="A388" s="12" t="s">
        <v>8</v>
      </c>
      <c r="B388" s="12" t="s">
        <v>560</v>
      </c>
      <c r="C388" s="12" t="s">
        <v>559</v>
      </c>
      <c r="D388" s="12" t="s">
        <v>1410</v>
      </c>
      <c r="E388" s="12" t="s">
        <v>1546</v>
      </c>
      <c r="F388" s="12" t="s">
        <v>1549</v>
      </c>
      <c r="G388" s="12" t="s">
        <v>1550</v>
      </c>
      <c r="H388" s="12" t="s">
        <v>1551</v>
      </c>
      <c r="I388" s="12" t="s">
        <v>1420</v>
      </c>
      <c r="J388" s="12" t="s">
        <v>1414</v>
      </c>
      <c r="K388" s="12" t="s">
        <v>1420</v>
      </c>
      <c r="L388" s="12" t="s">
        <v>1420</v>
      </c>
      <c r="M388" s="12" t="s">
        <v>1420</v>
      </c>
      <c r="N388" s="12" t="s">
        <v>1420</v>
      </c>
      <c r="O388" s="12" t="s">
        <v>1414</v>
      </c>
      <c r="P388" s="12" t="s">
        <v>1414</v>
      </c>
      <c r="Q388" s="12" t="s">
        <v>1414</v>
      </c>
      <c r="R388" s="12" t="s">
        <v>1414</v>
      </c>
      <c r="S388" s="12" t="s">
        <v>1414</v>
      </c>
      <c r="T388" s="12" t="s">
        <v>1420</v>
      </c>
      <c r="U388" s="12" t="s">
        <v>1414</v>
      </c>
      <c r="V388" s="12" t="s">
        <v>1414</v>
      </c>
      <c r="W388" s="12" t="s">
        <v>1420</v>
      </c>
      <c r="X388" s="12" t="s">
        <v>1414</v>
      </c>
      <c r="Y388" s="12" t="s">
        <v>1414</v>
      </c>
      <c r="Z388" s="12" t="s">
        <v>1420</v>
      </c>
      <c r="AA388" s="12" t="s">
        <v>1414</v>
      </c>
      <c r="AB388" s="12" t="s">
        <v>1414</v>
      </c>
      <c r="AC388" s="12" t="s">
        <v>1414</v>
      </c>
      <c r="AD388" s="12" t="s">
        <v>1420</v>
      </c>
      <c r="AE388" s="12" t="s">
        <v>1414</v>
      </c>
      <c r="AF388" s="12" t="s">
        <v>1414</v>
      </c>
      <c r="AG388" s="12" t="s">
        <v>1414</v>
      </c>
    </row>
    <row r="389" spans="1:33" ht="14.4" x14ac:dyDescent="0.3">
      <c r="A389" s="12" t="s">
        <v>8</v>
      </c>
      <c r="B389" s="12" t="s">
        <v>560</v>
      </c>
      <c r="C389" s="12" t="s">
        <v>559</v>
      </c>
      <c r="D389" s="12" t="s">
        <v>1410</v>
      </c>
      <c r="E389" s="12" t="s">
        <v>2664</v>
      </c>
      <c r="F389" s="12" t="s">
        <v>2665</v>
      </c>
      <c r="G389" s="12" t="s">
        <v>2666</v>
      </c>
      <c r="H389" s="12" t="s">
        <v>1452</v>
      </c>
      <c r="I389" s="12" t="s">
        <v>1420</v>
      </c>
      <c r="J389" s="12" t="s">
        <v>1420</v>
      </c>
      <c r="K389" s="12" t="s">
        <v>1420</v>
      </c>
      <c r="L389" s="12" t="s">
        <v>1420</v>
      </c>
      <c r="M389" s="12" t="s">
        <v>1420</v>
      </c>
      <c r="N389" s="12" t="s">
        <v>1420</v>
      </c>
      <c r="O389" s="12" t="s">
        <v>1420</v>
      </c>
      <c r="P389" s="12" t="s">
        <v>1420</v>
      </c>
      <c r="Q389" s="12" t="s">
        <v>1420</v>
      </c>
      <c r="R389" s="12" t="s">
        <v>1420</v>
      </c>
      <c r="S389" s="12" t="s">
        <v>1420</v>
      </c>
      <c r="T389" s="12" t="s">
        <v>1420</v>
      </c>
      <c r="U389" s="12" t="s">
        <v>1420</v>
      </c>
      <c r="V389" s="12" t="s">
        <v>1420</v>
      </c>
      <c r="W389" s="12" t="s">
        <v>1420</v>
      </c>
      <c r="X389" s="12" t="s">
        <v>1420</v>
      </c>
      <c r="Y389" s="12" t="s">
        <v>1420</v>
      </c>
      <c r="Z389" s="12" t="s">
        <v>1414</v>
      </c>
      <c r="AA389" s="12" t="s">
        <v>1420</v>
      </c>
      <c r="AB389" s="12" t="s">
        <v>1420</v>
      </c>
      <c r="AC389" s="12" t="s">
        <v>1420</v>
      </c>
      <c r="AD389" s="12" t="s">
        <v>1420</v>
      </c>
      <c r="AE389" s="12" t="s">
        <v>1420</v>
      </c>
      <c r="AF389" s="12" t="s">
        <v>1420</v>
      </c>
      <c r="AG389" s="12" t="s">
        <v>1420</v>
      </c>
    </row>
    <row r="390" spans="1:33" ht="14.4" x14ac:dyDescent="0.3">
      <c r="A390" s="12" t="s">
        <v>31</v>
      </c>
      <c r="B390" s="12" t="s">
        <v>5715</v>
      </c>
      <c r="C390" s="12" t="s">
        <v>5716</v>
      </c>
      <c r="D390" s="12" t="s">
        <v>1410</v>
      </c>
      <c r="E390" s="12" t="s">
        <v>5717</v>
      </c>
      <c r="F390" s="12" t="s">
        <v>5718</v>
      </c>
      <c r="G390" s="12" t="s">
        <v>1478</v>
      </c>
      <c r="H390" s="12" t="s">
        <v>1424</v>
      </c>
      <c r="I390" s="12" t="s">
        <v>1420</v>
      </c>
      <c r="J390" s="12" t="s">
        <v>1420</v>
      </c>
      <c r="K390" s="12" t="s">
        <v>1420</v>
      </c>
      <c r="L390" s="12" t="s">
        <v>1420</v>
      </c>
      <c r="M390" s="12" t="s">
        <v>1420</v>
      </c>
      <c r="N390" s="12" t="s">
        <v>1414</v>
      </c>
      <c r="O390" s="12" t="s">
        <v>1420</v>
      </c>
      <c r="P390" s="12" t="s">
        <v>1414</v>
      </c>
      <c r="Q390" s="12" t="s">
        <v>1420</v>
      </c>
      <c r="R390" s="12" t="s">
        <v>1420</v>
      </c>
      <c r="S390" s="12" t="s">
        <v>1420</v>
      </c>
      <c r="T390" s="12" t="s">
        <v>1420</v>
      </c>
      <c r="U390" s="12" t="s">
        <v>1420</v>
      </c>
      <c r="V390" s="12" t="s">
        <v>1420</v>
      </c>
      <c r="W390" s="12" t="s">
        <v>1420</v>
      </c>
      <c r="X390" s="12" t="s">
        <v>1414</v>
      </c>
      <c r="Y390" s="12" t="s">
        <v>1420</v>
      </c>
      <c r="Z390" s="12" t="s">
        <v>1420</v>
      </c>
      <c r="AA390" s="12" t="s">
        <v>1420</v>
      </c>
      <c r="AB390" s="12" t="s">
        <v>1420</v>
      </c>
      <c r="AC390" s="12" t="s">
        <v>1420</v>
      </c>
      <c r="AD390" s="12" t="s">
        <v>1420</v>
      </c>
      <c r="AE390" s="12" t="s">
        <v>1420</v>
      </c>
      <c r="AF390" s="12" t="s">
        <v>1420</v>
      </c>
      <c r="AG390" s="12" t="s">
        <v>1420</v>
      </c>
    </row>
    <row r="391" spans="1:33" ht="14.4" x14ac:dyDescent="0.3">
      <c r="A391" s="12" t="s">
        <v>31</v>
      </c>
      <c r="B391" s="12" t="s">
        <v>1350</v>
      </c>
      <c r="C391" s="12" t="s">
        <v>1349</v>
      </c>
      <c r="D391" s="12" t="s">
        <v>1410</v>
      </c>
      <c r="E391" s="12" t="s">
        <v>2079</v>
      </c>
      <c r="F391" s="12" t="s">
        <v>2080</v>
      </c>
      <c r="G391" s="12" t="s">
        <v>2081</v>
      </c>
      <c r="H391" s="12" t="s">
        <v>1488</v>
      </c>
      <c r="I391" s="12" t="s">
        <v>1420</v>
      </c>
      <c r="J391" s="12" t="s">
        <v>1420</v>
      </c>
      <c r="K391" s="12" t="s">
        <v>1420</v>
      </c>
      <c r="L391" s="12" t="s">
        <v>1420</v>
      </c>
      <c r="M391" s="12" t="s">
        <v>1420</v>
      </c>
      <c r="N391" s="12" t="s">
        <v>1420</v>
      </c>
      <c r="O391" s="12" t="s">
        <v>1420</v>
      </c>
      <c r="P391" s="12" t="s">
        <v>1420</v>
      </c>
      <c r="Q391" s="12" t="s">
        <v>1420</v>
      </c>
      <c r="R391" s="12" t="s">
        <v>1420</v>
      </c>
      <c r="S391" s="12" t="s">
        <v>1420</v>
      </c>
      <c r="T391" s="12" t="s">
        <v>1420</v>
      </c>
      <c r="U391" s="12" t="s">
        <v>1420</v>
      </c>
      <c r="V391" s="12" t="s">
        <v>1414</v>
      </c>
      <c r="W391" s="12" t="s">
        <v>1414</v>
      </c>
      <c r="X391" s="12" t="s">
        <v>1420</v>
      </c>
      <c r="Y391" s="12" t="s">
        <v>1414</v>
      </c>
      <c r="Z391" s="12" t="s">
        <v>1420</v>
      </c>
      <c r="AA391" s="12" t="s">
        <v>1420</v>
      </c>
      <c r="AB391" s="12" t="s">
        <v>1420</v>
      </c>
      <c r="AC391" s="12" t="s">
        <v>1414</v>
      </c>
      <c r="AD391" s="12" t="s">
        <v>1420</v>
      </c>
      <c r="AE391" s="12" t="s">
        <v>1420</v>
      </c>
      <c r="AF391" s="12" t="s">
        <v>1420</v>
      </c>
      <c r="AG391" s="12" t="s">
        <v>1420</v>
      </c>
    </row>
    <row r="392" spans="1:33" ht="14.4" x14ac:dyDescent="0.3">
      <c r="A392" s="12" t="s">
        <v>31</v>
      </c>
      <c r="B392" s="12" t="s">
        <v>1350</v>
      </c>
      <c r="C392" s="12" t="s">
        <v>1349</v>
      </c>
      <c r="D392" s="12" t="s">
        <v>1410</v>
      </c>
      <c r="E392" s="12" t="s">
        <v>3177</v>
      </c>
      <c r="F392" s="12" t="s">
        <v>3178</v>
      </c>
      <c r="G392" s="12" t="s">
        <v>1855</v>
      </c>
      <c r="H392" s="12" t="s">
        <v>1438</v>
      </c>
      <c r="I392" s="12" t="s">
        <v>1420</v>
      </c>
      <c r="J392" s="12" t="s">
        <v>1414</v>
      </c>
      <c r="K392" s="12" t="s">
        <v>1420</v>
      </c>
      <c r="L392" s="12" t="s">
        <v>1420</v>
      </c>
      <c r="M392" s="12" t="s">
        <v>1420</v>
      </c>
      <c r="N392" s="12" t="s">
        <v>1414</v>
      </c>
      <c r="O392" s="12" t="s">
        <v>1420</v>
      </c>
      <c r="P392" s="12" t="s">
        <v>1420</v>
      </c>
      <c r="Q392" s="12" t="s">
        <v>1420</v>
      </c>
      <c r="R392" s="12" t="s">
        <v>1420</v>
      </c>
      <c r="S392" s="12" t="s">
        <v>1420</v>
      </c>
      <c r="T392" s="12" t="s">
        <v>1420</v>
      </c>
      <c r="U392" s="12" t="s">
        <v>1420</v>
      </c>
      <c r="V392" s="12" t="s">
        <v>1420</v>
      </c>
      <c r="W392" s="12" t="s">
        <v>1420</v>
      </c>
      <c r="X392" s="12" t="s">
        <v>1420</v>
      </c>
      <c r="Y392" s="12" t="s">
        <v>1420</v>
      </c>
      <c r="Z392" s="12" t="s">
        <v>1420</v>
      </c>
      <c r="AA392" s="12" t="s">
        <v>1420</v>
      </c>
      <c r="AB392" s="12" t="s">
        <v>1414</v>
      </c>
      <c r="AC392" s="12" t="s">
        <v>1414</v>
      </c>
      <c r="AD392" s="12" t="s">
        <v>1420</v>
      </c>
      <c r="AE392" s="12" t="s">
        <v>1414</v>
      </c>
      <c r="AF392" s="12" t="s">
        <v>1414</v>
      </c>
      <c r="AG392" s="12" t="s">
        <v>1420</v>
      </c>
    </row>
    <row r="393" spans="1:33" ht="14.4" x14ac:dyDescent="0.3">
      <c r="A393" s="12" t="s">
        <v>22</v>
      </c>
      <c r="B393" s="12" t="s">
        <v>1206</v>
      </c>
      <c r="C393" s="12" t="s">
        <v>1205</v>
      </c>
      <c r="D393" s="12" t="s">
        <v>1410</v>
      </c>
      <c r="E393" s="12" t="s">
        <v>2361</v>
      </c>
      <c r="F393" s="12" t="s">
        <v>2362</v>
      </c>
      <c r="G393" s="12" t="s">
        <v>1754</v>
      </c>
      <c r="H393" s="12" t="s">
        <v>1424</v>
      </c>
      <c r="I393" s="12" t="s">
        <v>1420</v>
      </c>
      <c r="J393" s="12" t="s">
        <v>1420</v>
      </c>
      <c r="K393" s="12" t="s">
        <v>1420</v>
      </c>
      <c r="L393" s="12" t="s">
        <v>1420</v>
      </c>
      <c r="M393" s="12" t="s">
        <v>1420</v>
      </c>
      <c r="N393" s="12" t="s">
        <v>1420</v>
      </c>
      <c r="O393" s="12" t="s">
        <v>1420</v>
      </c>
      <c r="P393" s="12" t="s">
        <v>1414</v>
      </c>
      <c r="Q393" s="12" t="s">
        <v>1420</v>
      </c>
      <c r="R393" s="12" t="s">
        <v>1420</v>
      </c>
      <c r="S393" s="12" t="s">
        <v>1414</v>
      </c>
      <c r="T393" s="12" t="s">
        <v>1420</v>
      </c>
      <c r="U393" s="12" t="s">
        <v>1420</v>
      </c>
      <c r="V393" s="12" t="s">
        <v>1420</v>
      </c>
      <c r="W393" s="12" t="s">
        <v>1420</v>
      </c>
      <c r="X393" s="12" t="s">
        <v>1414</v>
      </c>
      <c r="Y393" s="12" t="s">
        <v>1420</v>
      </c>
      <c r="Z393" s="12" t="s">
        <v>1420</v>
      </c>
      <c r="AA393" s="12" t="s">
        <v>1420</v>
      </c>
      <c r="AB393" s="12" t="s">
        <v>1420</v>
      </c>
      <c r="AC393" s="12" t="s">
        <v>1420</v>
      </c>
      <c r="AD393" s="12" t="s">
        <v>1420</v>
      </c>
      <c r="AE393" s="12" t="s">
        <v>1420</v>
      </c>
      <c r="AF393" s="12" t="s">
        <v>1420</v>
      </c>
      <c r="AG393" s="12" t="s">
        <v>1420</v>
      </c>
    </row>
    <row r="394" spans="1:33" ht="14.4" x14ac:dyDescent="0.3">
      <c r="A394" s="12" t="s">
        <v>8</v>
      </c>
      <c r="B394" s="12" t="s">
        <v>5719</v>
      </c>
      <c r="C394" s="12" t="s">
        <v>5720</v>
      </c>
      <c r="D394" s="12" t="s">
        <v>1410</v>
      </c>
      <c r="E394" s="12" t="s">
        <v>5514</v>
      </c>
      <c r="F394" s="12" t="s">
        <v>5721</v>
      </c>
      <c r="G394" s="12" t="s">
        <v>3173</v>
      </c>
      <c r="H394" s="12" t="s">
        <v>1488</v>
      </c>
      <c r="I394" s="12" t="s">
        <v>1420</v>
      </c>
      <c r="J394" s="12" t="s">
        <v>1420</v>
      </c>
      <c r="K394" s="12" t="s">
        <v>1420</v>
      </c>
      <c r="L394" s="12" t="s">
        <v>1420</v>
      </c>
      <c r="M394" s="12" t="s">
        <v>1420</v>
      </c>
      <c r="N394" s="12" t="s">
        <v>1420</v>
      </c>
      <c r="O394" s="12" t="s">
        <v>1420</v>
      </c>
      <c r="P394" s="12" t="s">
        <v>1420</v>
      </c>
      <c r="Q394" s="12" t="s">
        <v>1420</v>
      </c>
      <c r="R394" s="12" t="s">
        <v>1420</v>
      </c>
      <c r="S394" s="12" t="s">
        <v>1414</v>
      </c>
      <c r="T394" s="12" t="s">
        <v>1420</v>
      </c>
      <c r="U394" s="12" t="s">
        <v>1420</v>
      </c>
      <c r="V394" s="12" t="s">
        <v>1420</v>
      </c>
      <c r="W394" s="12" t="s">
        <v>1420</v>
      </c>
      <c r="X394" s="12" t="s">
        <v>1414</v>
      </c>
      <c r="Y394" s="12" t="s">
        <v>1420</v>
      </c>
      <c r="Z394" s="12" t="s">
        <v>1420</v>
      </c>
      <c r="AA394" s="12" t="s">
        <v>1420</v>
      </c>
      <c r="AB394" s="12" t="s">
        <v>1420</v>
      </c>
      <c r="AC394" s="12" t="s">
        <v>1420</v>
      </c>
      <c r="AD394" s="12" t="s">
        <v>1414</v>
      </c>
      <c r="AE394" s="12" t="s">
        <v>1414</v>
      </c>
      <c r="AF394" s="12" t="s">
        <v>1420</v>
      </c>
      <c r="AG394" s="12" t="s">
        <v>1420</v>
      </c>
    </row>
    <row r="395" spans="1:33" ht="14.4" x14ac:dyDescent="0.3">
      <c r="A395" s="12" t="s">
        <v>133</v>
      </c>
      <c r="B395" s="12" t="s">
        <v>1208</v>
      </c>
      <c r="C395" s="12" t="s">
        <v>1207</v>
      </c>
      <c r="D395" s="12" t="s">
        <v>1410</v>
      </c>
      <c r="E395" s="12" t="s">
        <v>5722</v>
      </c>
      <c r="F395" s="12" t="s">
        <v>5723</v>
      </c>
      <c r="G395" s="12" t="s">
        <v>5724</v>
      </c>
      <c r="H395" s="12" t="s">
        <v>1424</v>
      </c>
      <c r="I395" s="12" t="s">
        <v>1414</v>
      </c>
      <c r="J395" s="12" t="s">
        <v>1420</v>
      </c>
      <c r="K395" s="12" t="s">
        <v>1420</v>
      </c>
      <c r="L395" s="12" t="s">
        <v>1420</v>
      </c>
      <c r="M395" s="12" t="s">
        <v>1420</v>
      </c>
      <c r="N395" s="12" t="s">
        <v>1420</v>
      </c>
      <c r="O395" s="12" t="s">
        <v>1420</v>
      </c>
      <c r="P395" s="12" t="s">
        <v>1414</v>
      </c>
      <c r="Q395" s="12" t="s">
        <v>1420</v>
      </c>
      <c r="R395" s="12" t="s">
        <v>1420</v>
      </c>
      <c r="S395" s="12" t="s">
        <v>1420</v>
      </c>
      <c r="T395" s="12" t="s">
        <v>1414</v>
      </c>
      <c r="U395" s="12" t="s">
        <v>1420</v>
      </c>
      <c r="V395" s="12" t="s">
        <v>1420</v>
      </c>
      <c r="W395" s="12" t="s">
        <v>1420</v>
      </c>
      <c r="X395" s="12" t="s">
        <v>1420</v>
      </c>
      <c r="Y395" s="12" t="s">
        <v>1420</v>
      </c>
      <c r="Z395" s="12" t="s">
        <v>1420</v>
      </c>
      <c r="AA395" s="12" t="s">
        <v>1420</v>
      </c>
      <c r="AB395" s="12" t="s">
        <v>1420</v>
      </c>
      <c r="AC395" s="12" t="s">
        <v>1420</v>
      </c>
      <c r="AD395" s="12" t="s">
        <v>1420</v>
      </c>
      <c r="AE395" s="12" t="s">
        <v>1420</v>
      </c>
      <c r="AF395" s="12" t="s">
        <v>1420</v>
      </c>
      <c r="AG395" s="12" t="s">
        <v>1420</v>
      </c>
    </row>
    <row r="396" spans="1:33" ht="14.4" x14ac:dyDescent="0.3">
      <c r="A396" s="12" t="s">
        <v>25</v>
      </c>
      <c r="B396" s="12" t="s">
        <v>108</v>
      </c>
      <c r="C396" s="12" t="s">
        <v>107</v>
      </c>
      <c r="D396" s="12" t="s">
        <v>1410</v>
      </c>
      <c r="E396" s="12" t="s">
        <v>2122</v>
      </c>
      <c r="F396" s="12" t="s">
        <v>2124</v>
      </c>
      <c r="G396" s="12" t="s">
        <v>2125</v>
      </c>
      <c r="H396" s="12" t="s">
        <v>1464</v>
      </c>
      <c r="I396" s="12" t="s">
        <v>1420</v>
      </c>
      <c r="J396" s="12" t="s">
        <v>1420</v>
      </c>
      <c r="K396" s="12" t="s">
        <v>1420</v>
      </c>
      <c r="L396" s="12" t="s">
        <v>1420</v>
      </c>
      <c r="M396" s="12" t="s">
        <v>1420</v>
      </c>
      <c r="N396" s="12" t="s">
        <v>1420</v>
      </c>
      <c r="O396" s="12" t="s">
        <v>1420</v>
      </c>
      <c r="P396" s="12" t="s">
        <v>1420</v>
      </c>
      <c r="Q396" s="12" t="s">
        <v>1420</v>
      </c>
      <c r="R396" s="12" t="s">
        <v>1420</v>
      </c>
      <c r="S396" s="12" t="s">
        <v>1420</v>
      </c>
      <c r="T396" s="12" t="s">
        <v>1420</v>
      </c>
      <c r="U396" s="12" t="s">
        <v>1420</v>
      </c>
      <c r="V396" s="12" t="s">
        <v>1420</v>
      </c>
      <c r="W396" s="12" t="s">
        <v>1420</v>
      </c>
      <c r="X396" s="12" t="s">
        <v>1420</v>
      </c>
      <c r="Y396" s="12" t="s">
        <v>1420</v>
      </c>
      <c r="Z396" s="12" t="s">
        <v>1420</v>
      </c>
      <c r="AA396" s="12" t="s">
        <v>1420</v>
      </c>
      <c r="AB396" s="12" t="s">
        <v>1420</v>
      </c>
      <c r="AC396" s="12" t="s">
        <v>1420</v>
      </c>
      <c r="AD396" s="12" t="s">
        <v>1420</v>
      </c>
      <c r="AE396" s="12" t="s">
        <v>1420</v>
      </c>
      <c r="AF396" s="12" t="s">
        <v>1420</v>
      </c>
      <c r="AG396" s="12" t="s">
        <v>1420</v>
      </c>
    </row>
    <row r="397" spans="1:33" ht="14.4" x14ac:dyDescent="0.3">
      <c r="A397" s="12" t="s">
        <v>563</v>
      </c>
      <c r="B397" s="12" t="s">
        <v>562</v>
      </c>
      <c r="C397" s="12" t="s">
        <v>561</v>
      </c>
      <c r="D397" s="12" t="s">
        <v>1410</v>
      </c>
      <c r="E397" s="12" t="s">
        <v>1625</v>
      </c>
      <c r="F397" s="12" t="s">
        <v>1626</v>
      </c>
      <c r="G397" s="12" t="s">
        <v>1627</v>
      </c>
      <c r="H397" s="12" t="s">
        <v>1438</v>
      </c>
      <c r="I397" s="12" t="s">
        <v>1420</v>
      </c>
      <c r="J397" s="12" t="s">
        <v>1420</v>
      </c>
      <c r="K397" s="12" t="s">
        <v>1420</v>
      </c>
      <c r="L397" s="12" t="s">
        <v>1420</v>
      </c>
      <c r="M397" s="12" t="s">
        <v>1420</v>
      </c>
      <c r="N397" s="12" t="s">
        <v>1414</v>
      </c>
      <c r="O397" s="12" t="s">
        <v>1414</v>
      </c>
      <c r="P397" s="12" t="s">
        <v>1414</v>
      </c>
      <c r="Q397" s="12" t="s">
        <v>1420</v>
      </c>
      <c r="R397" s="12" t="s">
        <v>1420</v>
      </c>
      <c r="S397" s="12" t="s">
        <v>1420</v>
      </c>
      <c r="T397" s="12" t="s">
        <v>1420</v>
      </c>
      <c r="U397" s="12" t="s">
        <v>1420</v>
      </c>
      <c r="V397" s="12" t="s">
        <v>1420</v>
      </c>
      <c r="W397" s="12" t="s">
        <v>1420</v>
      </c>
      <c r="X397" s="12" t="s">
        <v>1420</v>
      </c>
      <c r="Y397" s="12" t="s">
        <v>1420</v>
      </c>
      <c r="Z397" s="12" t="s">
        <v>1414</v>
      </c>
      <c r="AA397" s="12" t="s">
        <v>1414</v>
      </c>
      <c r="AB397" s="12" t="s">
        <v>1420</v>
      </c>
      <c r="AC397" s="12" t="s">
        <v>1414</v>
      </c>
      <c r="AD397" s="12" t="s">
        <v>1420</v>
      </c>
      <c r="AE397" s="12" t="s">
        <v>1420</v>
      </c>
      <c r="AF397" s="12" t="s">
        <v>1420</v>
      </c>
      <c r="AG397" s="12" t="s">
        <v>1420</v>
      </c>
    </row>
    <row r="398" spans="1:33" ht="14.4" x14ac:dyDescent="0.3">
      <c r="A398" s="12" t="s">
        <v>8</v>
      </c>
      <c r="B398" s="12" t="s">
        <v>870</v>
      </c>
      <c r="C398" s="12" t="s">
        <v>869</v>
      </c>
      <c r="D398" s="12" t="s">
        <v>1410</v>
      </c>
      <c r="E398" s="12" t="s">
        <v>2699</v>
      </c>
      <c r="F398" s="12" t="s">
        <v>2700</v>
      </c>
      <c r="G398" s="12" t="s">
        <v>2701</v>
      </c>
      <c r="H398" s="12" t="s">
        <v>1464</v>
      </c>
      <c r="I398" s="12" t="s">
        <v>1420</v>
      </c>
      <c r="J398" s="12" t="s">
        <v>1420</v>
      </c>
      <c r="K398" s="12" t="s">
        <v>1420</v>
      </c>
      <c r="L398" s="12" t="s">
        <v>1420</v>
      </c>
      <c r="M398" s="12" t="s">
        <v>1420</v>
      </c>
      <c r="N398" s="12" t="s">
        <v>1420</v>
      </c>
      <c r="O398" s="12" t="s">
        <v>1420</v>
      </c>
      <c r="P398" s="12" t="s">
        <v>1420</v>
      </c>
      <c r="Q398" s="12" t="s">
        <v>1420</v>
      </c>
      <c r="R398" s="12" t="s">
        <v>1420</v>
      </c>
      <c r="S398" s="12" t="s">
        <v>1420</v>
      </c>
      <c r="T398" s="12" t="s">
        <v>1420</v>
      </c>
      <c r="U398" s="12" t="s">
        <v>1420</v>
      </c>
      <c r="V398" s="12" t="s">
        <v>1420</v>
      </c>
      <c r="W398" s="12" t="s">
        <v>1420</v>
      </c>
      <c r="X398" s="12" t="s">
        <v>1420</v>
      </c>
      <c r="Y398" s="12" t="s">
        <v>1420</v>
      </c>
      <c r="Z398" s="12" t="s">
        <v>1420</v>
      </c>
      <c r="AA398" s="12" t="s">
        <v>1420</v>
      </c>
      <c r="AB398" s="12" t="s">
        <v>1420</v>
      </c>
      <c r="AC398" s="12" t="s">
        <v>1420</v>
      </c>
      <c r="AD398" s="12" t="s">
        <v>1420</v>
      </c>
      <c r="AE398" s="12" t="s">
        <v>1420</v>
      </c>
      <c r="AF398" s="12" t="s">
        <v>1420</v>
      </c>
      <c r="AG398" s="12" t="s">
        <v>1420</v>
      </c>
    </row>
    <row r="399" spans="1:33" ht="14.4" x14ac:dyDescent="0.3">
      <c r="A399" s="12" t="s">
        <v>42</v>
      </c>
      <c r="B399" s="12" t="s">
        <v>110</v>
      </c>
      <c r="C399" s="12" t="s">
        <v>109</v>
      </c>
      <c r="D399" s="12" t="s">
        <v>1410</v>
      </c>
      <c r="E399" s="12" t="s">
        <v>2864</v>
      </c>
      <c r="F399" s="12" t="s">
        <v>2865</v>
      </c>
      <c r="G399" s="12" t="s">
        <v>1766</v>
      </c>
      <c r="H399" s="12" t="s">
        <v>1419</v>
      </c>
      <c r="I399" s="12" t="s">
        <v>1420</v>
      </c>
      <c r="J399" s="12" t="s">
        <v>1420</v>
      </c>
      <c r="K399" s="12" t="s">
        <v>1420</v>
      </c>
      <c r="L399" s="12" t="s">
        <v>1420</v>
      </c>
      <c r="M399" s="12" t="s">
        <v>1420</v>
      </c>
      <c r="N399" s="12" t="s">
        <v>1420</v>
      </c>
      <c r="O399" s="12" t="s">
        <v>1414</v>
      </c>
      <c r="P399" s="12" t="s">
        <v>1420</v>
      </c>
      <c r="Q399" s="12" t="s">
        <v>1420</v>
      </c>
      <c r="R399" s="12" t="s">
        <v>1420</v>
      </c>
      <c r="S399" s="12" t="s">
        <v>1414</v>
      </c>
      <c r="T399" s="12" t="s">
        <v>1420</v>
      </c>
      <c r="U399" s="12" t="s">
        <v>1420</v>
      </c>
      <c r="V399" s="12" t="s">
        <v>1420</v>
      </c>
      <c r="W399" s="12" t="s">
        <v>1420</v>
      </c>
      <c r="X399" s="12" t="s">
        <v>1420</v>
      </c>
      <c r="Y399" s="12" t="s">
        <v>1420</v>
      </c>
      <c r="Z399" s="12" t="s">
        <v>1420</v>
      </c>
      <c r="AA399" s="12" t="s">
        <v>1420</v>
      </c>
      <c r="AB399" s="12" t="s">
        <v>1420</v>
      </c>
      <c r="AC399" s="12" t="s">
        <v>1420</v>
      </c>
      <c r="AD399" s="12" t="s">
        <v>1420</v>
      </c>
      <c r="AE399" s="12" t="s">
        <v>1420</v>
      </c>
      <c r="AF399" s="12" t="s">
        <v>1420</v>
      </c>
      <c r="AG399" s="12" t="s">
        <v>1420</v>
      </c>
    </row>
    <row r="400" spans="1:33" ht="14.4" x14ac:dyDescent="0.3">
      <c r="A400" s="12" t="s">
        <v>31</v>
      </c>
      <c r="B400" s="12" t="s">
        <v>5725</v>
      </c>
      <c r="C400" s="12" t="s">
        <v>5726</v>
      </c>
      <c r="D400" s="12" t="s">
        <v>1410</v>
      </c>
      <c r="E400" s="12" t="s">
        <v>5727</v>
      </c>
      <c r="F400" s="12" t="s">
        <v>5728</v>
      </c>
      <c r="G400" s="12" t="s">
        <v>3796</v>
      </c>
      <c r="H400" s="12" t="s">
        <v>1419</v>
      </c>
      <c r="I400" s="12" t="s">
        <v>1420</v>
      </c>
      <c r="J400" s="12" t="s">
        <v>1420</v>
      </c>
      <c r="K400" s="12" t="s">
        <v>1420</v>
      </c>
      <c r="L400" s="12" t="s">
        <v>1420</v>
      </c>
      <c r="M400" s="12" t="s">
        <v>1420</v>
      </c>
      <c r="N400" s="12" t="s">
        <v>1420</v>
      </c>
      <c r="O400" s="12" t="s">
        <v>1420</v>
      </c>
      <c r="P400" s="12" t="s">
        <v>1420</v>
      </c>
      <c r="Q400" s="12" t="s">
        <v>1420</v>
      </c>
      <c r="R400" s="12" t="s">
        <v>1420</v>
      </c>
      <c r="S400" s="12" t="s">
        <v>1420</v>
      </c>
      <c r="T400" s="12" t="s">
        <v>1420</v>
      </c>
      <c r="U400" s="12" t="s">
        <v>1420</v>
      </c>
      <c r="V400" s="12" t="s">
        <v>1420</v>
      </c>
      <c r="W400" s="12" t="s">
        <v>1420</v>
      </c>
      <c r="X400" s="12" t="s">
        <v>1414</v>
      </c>
      <c r="Y400" s="12" t="s">
        <v>1420</v>
      </c>
      <c r="Z400" s="12" t="s">
        <v>1420</v>
      </c>
      <c r="AA400" s="12" t="s">
        <v>1420</v>
      </c>
      <c r="AB400" s="12" t="s">
        <v>1420</v>
      </c>
      <c r="AC400" s="12" t="s">
        <v>1420</v>
      </c>
      <c r="AD400" s="12" t="s">
        <v>1414</v>
      </c>
      <c r="AE400" s="12" t="s">
        <v>1420</v>
      </c>
      <c r="AF400" s="12" t="s">
        <v>1420</v>
      </c>
      <c r="AG400" s="12" t="s">
        <v>1420</v>
      </c>
    </row>
    <row r="401" spans="1:33" ht="14.4" x14ac:dyDescent="0.3">
      <c r="A401" s="12" t="s">
        <v>8</v>
      </c>
      <c r="B401" s="12" t="s">
        <v>112</v>
      </c>
      <c r="C401" s="12" t="s">
        <v>111</v>
      </c>
      <c r="D401" s="12" t="s">
        <v>1410</v>
      </c>
      <c r="E401" s="12" t="s">
        <v>2150</v>
      </c>
      <c r="F401" s="12" t="s">
        <v>2151</v>
      </c>
      <c r="G401" s="12" t="s">
        <v>2152</v>
      </c>
      <c r="H401" s="12" t="s">
        <v>1464</v>
      </c>
      <c r="I401" s="12" t="s">
        <v>1420</v>
      </c>
      <c r="J401" s="12" t="s">
        <v>1420</v>
      </c>
      <c r="K401" s="12" t="s">
        <v>1420</v>
      </c>
      <c r="L401" s="12" t="s">
        <v>1420</v>
      </c>
      <c r="M401" s="12" t="s">
        <v>1420</v>
      </c>
      <c r="N401" s="12" t="s">
        <v>1420</v>
      </c>
      <c r="O401" s="12" t="s">
        <v>1420</v>
      </c>
      <c r="P401" s="12" t="s">
        <v>1420</v>
      </c>
      <c r="Q401" s="12" t="s">
        <v>1420</v>
      </c>
      <c r="R401" s="12" t="s">
        <v>1420</v>
      </c>
      <c r="S401" s="12" t="s">
        <v>1420</v>
      </c>
      <c r="T401" s="12" t="s">
        <v>1420</v>
      </c>
      <c r="U401" s="12" t="s">
        <v>1420</v>
      </c>
      <c r="V401" s="12" t="s">
        <v>1420</v>
      </c>
      <c r="W401" s="12" t="s">
        <v>1420</v>
      </c>
      <c r="X401" s="12" t="s">
        <v>1420</v>
      </c>
      <c r="Y401" s="12" t="s">
        <v>1420</v>
      </c>
      <c r="Z401" s="12" t="s">
        <v>1420</v>
      </c>
      <c r="AA401" s="12" t="s">
        <v>1420</v>
      </c>
      <c r="AB401" s="12" t="s">
        <v>1420</v>
      </c>
      <c r="AC401" s="12" t="s">
        <v>1420</v>
      </c>
      <c r="AD401" s="12" t="s">
        <v>1420</v>
      </c>
      <c r="AE401" s="12" t="s">
        <v>1420</v>
      </c>
      <c r="AF401" s="12" t="s">
        <v>1420</v>
      </c>
      <c r="AG401" s="12" t="s">
        <v>1420</v>
      </c>
    </row>
    <row r="402" spans="1:33" ht="14.4" x14ac:dyDescent="0.3">
      <c r="A402" s="12" t="s">
        <v>5729</v>
      </c>
      <c r="B402" s="12" t="s">
        <v>5730</v>
      </c>
      <c r="C402" s="12" t="s">
        <v>5731</v>
      </c>
      <c r="D402" s="12" t="s">
        <v>1410</v>
      </c>
      <c r="E402" s="12" t="s">
        <v>5732</v>
      </c>
      <c r="F402" s="12" t="s">
        <v>5733</v>
      </c>
      <c r="G402" s="12" t="s">
        <v>3449</v>
      </c>
      <c r="H402" s="12" t="s">
        <v>1419</v>
      </c>
      <c r="I402" s="12" t="s">
        <v>1420</v>
      </c>
      <c r="J402" s="12" t="s">
        <v>1420</v>
      </c>
      <c r="K402" s="12" t="s">
        <v>1420</v>
      </c>
      <c r="L402" s="12" t="s">
        <v>1420</v>
      </c>
      <c r="M402" s="12" t="s">
        <v>1420</v>
      </c>
      <c r="N402" s="12" t="s">
        <v>1420</v>
      </c>
      <c r="O402" s="12" t="s">
        <v>1420</v>
      </c>
      <c r="P402" s="12" t="s">
        <v>1420</v>
      </c>
      <c r="Q402" s="12" t="s">
        <v>1414</v>
      </c>
      <c r="R402" s="12" t="s">
        <v>1420</v>
      </c>
      <c r="S402" s="12" t="s">
        <v>1420</v>
      </c>
      <c r="T402" s="12" t="s">
        <v>1420</v>
      </c>
      <c r="U402" s="12" t="s">
        <v>1420</v>
      </c>
      <c r="V402" s="12" t="s">
        <v>1420</v>
      </c>
      <c r="W402" s="12" t="s">
        <v>1420</v>
      </c>
      <c r="X402" s="12" t="s">
        <v>1414</v>
      </c>
      <c r="Y402" s="12" t="s">
        <v>1420</v>
      </c>
      <c r="Z402" s="12" t="s">
        <v>1420</v>
      </c>
      <c r="AA402" s="12" t="s">
        <v>1420</v>
      </c>
      <c r="AB402" s="12" t="s">
        <v>1420</v>
      </c>
      <c r="AC402" s="12" t="s">
        <v>1420</v>
      </c>
      <c r="AD402" s="12" t="s">
        <v>1420</v>
      </c>
      <c r="AE402" s="12" t="s">
        <v>1420</v>
      </c>
      <c r="AF402" s="12" t="s">
        <v>1420</v>
      </c>
      <c r="AG402" s="12" t="s">
        <v>1420</v>
      </c>
    </row>
    <row r="403" spans="1:33" ht="14.4" x14ac:dyDescent="0.3">
      <c r="A403" s="12" t="s">
        <v>340</v>
      </c>
      <c r="B403" s="12" t="s">
        <v>339</v>
      </c>
      <c r="C403" s="12" t="s">
        <v>338</v>
      </c>
      <c r="D403" s="12" t="s">
        <v>1410</v>
      </c>
      <c r="E403" s="12" t="s">
        <v>2019</v>
      </c>
      <c r="F403" s="12" t="s">
        <v>2020</v>
      </c>
      <c r="G403" s="12" t="s">
        <v>2021</v>
      </c>
      <c r="H403" s="12" t="s">
        <v>1908</v>
      </c>
      <c r="I403" s="12" t="s">
        <v>1420</v>
      </c>
      <c r="J403" s="12" t="s">
        <v>1420</v>
      </c>
      <c r="K403" s="12" t="s">
        <v>1420</v>
      </c>
      <c r="L403" s="12" t="s">
        <v>1420</v>
      </c>
      <c r="M403" s="12" t="s">
        <v>1420</v>
      </c>
      <c r="N403" s="12" t="s">
        <v>1414</v>
      </c>
      <c r="O403" s="12" t="s">
        <v>1414</v>
      </c>
      <c r="P403" s="12" t="s">
        <v>1420</v>
      </c>
      <c r="Q403" s="12" t="s">
        <v>1420</v>
      </c>
      <c r="R403" s="12" t="s">
        <v>1420</v>
      </c>
      <c r="S403" s="12" t="s">
        <v>1420</v>
      </c>
      <c r="T403" s="12" t="s">
        <v>1414</v>
      </c>
      <c r="U403" s="12" t="s">
        <v>1414</v>
      </c>
      <c r="V403" s="12" t="s">
        <v>1420</v>
      </c>
      <c r="W403" s="12" t="s">
        <v>1414</v>
      </c>
      <c r="X403" s="12" t="s">
        <v>1414</v>
      </c>
      <c r="Y403" s="12" t="s">
        <v>1414</v>
      </c>
      <c r="Z403" s="12" t="s">
        <v>1420</v>
      </c>
      <c r="AA403" s="12" t="s">
        <v>1420</v>
      </c>
      <c r="AB403" s="12" t="s">
        <v>1420</v>
      </c>
      <c r="AC403" s="12" t="s">
        <v>1414</v>
      </c>
      <c r="AD403" s="12" t="s">
        <v>1420</v>
      </c>
      <c r="AE403" s="12" t="s">
        <v>1414</v>
      </c>
      <c r="AF403" s="12" t="s">
        <v>1420</v>
      </c>
      <c r="AG403" s="12" t="s">
        <v>1420</v>
      </c>
    </row>
    <row r="404" spans="1:33" ht="14.4" x14ac:dyDescent="0.3">
      <c r="A404" s="12" t="s">
        <v>8</v>
      </c>
      <c r="B404" s="12" t="s">
        <v>339</v>
      </c>
      <c r="C404" s="12" t="s">
        <v>871</v>
      </c>
      <c r="D404" s="12" t="s">
        <v>1410</v>
      </c>
      <c r="E404" s="12" t="s">
        <v>2778</v>
      </c>
      <c r="F404" s="12" t="s">
        <v>2779</v>
      </c>
      <c r="G404" s="12" t="s">
        <v>2780</v>
      </c>
      <c r="H404" s="12" t="s">
        <v>1464</v>
      </c>
      <c r="I404" s="12" t="s">
        <v>1420</v>
      </c>
      <c r="J404" s="12" t="s">
        <v>1420</v>
      </c>
      <c r="K404" s="12" t="s">
        <v>1420</v>
      </c>
      <c r="L404" s="12" t="s">
        <v>1420</v>
      </c>
      <c r="M404" s="12" t="s">
        <v>1420</v>
      </c>
      <c r="N404" s="12" t="s">
        <v>1420</v>
      </c>
      <c r="O404" s="12" t="s">
        <v>1420</v>
      </c>
      <c r="P404" s="12" t="s">
        <v>1420</v>
      </c>
      <c r="Q404" s="12" t="s">
        <v>1420</v>
      </c>
      <c r="R404" s="12" t="s">
        <v>1420</v>
      </c>
      <c r="S404" s="12" t="s">
        <v>1420</v>
      </c>
      <c r="T404" s="12" t="s">
        <v>1420</v>
      </c>
      <c r="U404" s="12" t="s">
        <v>1420</v>
      </c>
      <c r="V404" s="12" t="s">
        <v>1420</v>
      </c>
      <c r="W404" s="12" t="s">
        <v>1420</v>
      </c>
      <c r="X404" s="12" t="s">
        <v>1420</v>
      </c>
      <c r="Y404" s="12" t="s">
        <v>1420</v>
      </c>
      <c r="Z404" s="12" t="s">
        <v>1420</v>
      </c>
      <c r="AA404" s="12" t="s">
        <v>1420</v>
      </c>
      <c r="AB404" s="12" t="s">
        <v>1420</v>
      </c>
      <c r="AC404" s="12" t="s">
        <v>1420</v>
      </c>
      <c r="AD404" s="12" t="s">
        <v>1420</v>
      </c>
      <c r="AE404" s="12" t="s">
        <v>1420</v>
      </c>
      <c r="AF404" s="12" t="s">
        <v>1420</v>
      </c>
      <c r="AG404" s="12" t="s">
        <v>1420</v>
      </c>
    </row>
    <row r="405" spans="1:33" ht="14.4" x14ac:dyDescent="0.3">
      <c r="A405" s="12" t="s">
        <v>11</v>
      </c>
      <c r="B405" s="12" t="s">
        <v>286</v>
      </c>
      <c r="C405" s="12" t="s">
        <v>285</v>
      </c>
      <c r="D405" s="12" t="s">
        <v>1410</v>
      </c>
      <c r="E405" s="12" t="s">
        <v>2786</v>
      </c>
      <c r="F405" s="12" t="s">
        <v>2787</v>
      </c>
      <c r="G405" s="12" t="s">
        <v>2788</v>
      </c>
      <c r="H405" s="12" t="s">
        <v>1785</v>
      </c>
      <c r="I405" s="12" t="s">
        <v>1420</v>
      </c>
      <c r="J405" s="12" t="s">
        <v>1420</v>
      </c>
      <c r="K405" s="12" t="s">
        <v>1420</v>
      </c>
      <c r="L405" s="12" t="s">
        <v>1414</v>
      </c>
      <c r="M405" s="12" t="s">
        <v>1414</v>
      </c>
      <c r="N405" s="12" t="s">
        <v>1414</v>
      </c>
      <c r="O405" s="12" t="s">
        <v>1420</v>
      </c>
      <c r="P405" s="12" t="s">
        <v>1414</v>
      </c>
      <c r="Q405" s="12" t="s">
        <v>1420</v>
      </c>
      <c r="R405" s="12" t="s">
        <v>1414</v>
      </c>
      <c r="S405" s="12" t="s">
        <v>1414</v>
      </c>
      <c r="T405" s="12" t="s">
        <v>1420</v>
      </c>
      <c r="U405" s="12" t="s">
        <v>1414</v>
      </c>
      <c r="V405" s="12" t="s">
        <v>1414</v>
      </c>
      <c r="W405" s="12" t="s">
        <v>1420</v>
      </c>
      <c r="X405" s="12" t="s">
        <v>1420</v>
      </c>
      <c r="Y405" s="12" t="s">
        <v>1420</v>
      </c>
      <c r="Z405" s="12" t="s">
        <v>1420</v>
      </c>
      <c r="AA405" s="12" t="s">
        <v>1414</v>
      </c>
      <c r="AB405" s="12" t="s">
        <v>1420</v>
      </c>
      <c r="AC405" s="12" t="s">
        <v>1420</v>
      </c>
      <c r="AD405" s="12" t="s">
        <v>1414</v>
      </c>
      <c r="AE405" s="12" t="s">
        <v>1414</v>
      </c>
      <c r="AF405" s="12" t="s">
        <v>1414</v>
      </c>
      <c r="AG405" s="12" t="s">
        <v>1420</v>
      </c>
    </row>
    <row r="406" spans="1:33" ht="14.4" x14ac:dyDescent="0.3">
      <c r="A406" s="12" t="s">
        <v>133</v>
      </c>
      <c r="B406" s="12" t="s">
        <v>873</v>
      </c>
      <c r="C406" s="12" t="s">
        <v>872</v>
      </c>
      <c r="D406" s="12" t="s">
        <v>1410</v>
      </c>
      <c r="E406" s="12" t="s">
        <v>2670</v>
      </c>
      <c r="F406" s="12" t="s">
        <v>2673</v>
      </c>
      <c r="G406" s="12" t="s">
        <v>2674</v>
      </c>
      <c r="H406" s="12" t="s">
        <v>1419</v>
      </c>
      <c r="I406" s="12" t="s">
        <v>1420</v>
      </c>
      <c r="J406" s="12" t="s">
        <v>1420</v>
      </c>
      <c r="K406" s="12" t="s">
        <v>1420</v>
      </c>
      <c r="L406" s="12" t="s">
        <v>1420</v>
      </c>
      <c r="M406" s="12" t="s">
        <v>1420</v>
      </c>
      <c r="N406" s="12" t="s">
        <v>1420</v>
      </c>
      <c r="O406" s="12" t="s">
        <v>1420</v>
      </c>
      <c r="P406" s="12" t="s">
        <v>1414</v>
      </c>
      <c r="Q406" s="12" t="s">
        <v>1420</v>
      </c>
      <c r="R406" s="12" t="s">
        <v>1420</v>
      </c>
      <c r="S406" s="12" t="s">
        <v>1420</v>
      </c>
      <c r="T406" s="12" t="s">
        <v>1420</v>
      </c>
      <c r="U406" s="12" t="s">
        <v>1420</v>
      </c>
      <c r="V406" s="12" t="s">
        <v>1420</v>
      </c>
      <c r="W406" s="12" t="s">
        <v>1420</v>
      </c>
      <c r="X406" s="12" t="s">
        <v>1420</v>
      </c>
      <c r="Y406" s="12" t="s">
        <v>1420</v>
      </c>
      <c r="Z406" s="12" t="s">
        <v>1420</v>
      </c>
      <c r="AA406" s="12" t="s">
        <v>1420</v>
      </c>
      <c r="AB406" s="12" t="s">
        <v>1420</v>
      </c>
      <c r="AC406" s="12" t="s">
        <v>1420</v>
      </c>
      <c r="AD406" s="12" t="s">
        <v>1420</v>
      </c>
      <c r="AE406" s="12" t="s">
        <v>1414</v>
      </c>
      <c r="AF406" s="12" t="s">
        <v>1420</v>
      </c>
      <c r="AG406" s="12" t="s">
        <v>1420</v>
      </c>
    </row>
    <row r="407" spans="1:33" ht="14.4" x14ac:dyDescent="0.3">
      <c r="A407" s="12" t="s">
        <v>133</v>
      </c>
      <c r="B407" s="12" t="s">
        <v>873</v>
      </c>
      <c r="C407" s="12" t="s">
        <v>872</v>
      </c>
      <c r="D407" s="12" t="s">
        <v>1410</v>
      </c>
      <c r="E407" s="12" t="s">
        <v>2702</v>
      </c>
      <c r="F407" s="12" t="s">
        <v>2703</v>
      </c>
      <c r="G407" s="12" t="s">
        <v>2704</v>
      </c>
      <c r="H407" s="12" t="s">
        <v>1464</v>
      </c>
      <c r="I407" s="12" t="s">
        <v>1420</v>
      </c>
      <c r="J407" s="12" t="s">
        <v>1420</v>
      </c>
      <c r="K407" s="12" t="s">
        <v>1420</v>
      </c>
      <c r="L407" s="12" t="s">
        <v>1420</v>
      </c>
      <c r="M407" s="12" t="s">
        <v>1420</v>
      </c>
      <c r="N407" s="12" t="s">
        <v>1420</v>
      </c>
      <c r="O407" s="12" t="s">
        <v>1420</v>
      </c>
      <c r="P407" s="12" t="s">
        <v>1420</v>
      </c>
      <c r="Q407" s="12" t="s">
        <v>1420</v>
      </c>
      <c r="R407" s="12" t="s">
        <v>1420</v>
      </c>
      <c r="S407" s="12" t="s">
        <v>1420</v>
      </c>
      <c r="T407" s="12" t="s">
        <v>1420</v>
      </c>
      <c r="U407" s="12" t="s">
        <v>1420</v>
      </c>
      <c r="V407" s="12" t="s">
        <v>1420</v>
      </c>
      <c r="W407" s="12" t="s">
        <v>1420</v>
      </c>
      <c r="X407" s="12" t="s">
        <v>1420</v>
      </c>
      <c r="Y407" s="12" t="s">
        <v>1420</v>
      </c>
      <c r="Z407" s="12" t="s">
        <v>1420</v>
      </c>
      <c r="AA407" s="12" t="s">
        <v>1420</v>
      </c>
      <c r="AB407" s="12" t="s">
        <v>1420</v>
      </c>
      <c r="AC407" s="12" t="s">
        <v>1420</v>
      </c>
      <c r="AD407" s="12" t="s">
        <v>1420</v>
      </c>
      <c r="AE407" s="12" t="s">
        <v>1420</v>
      </c>
      <c r="AF407" s="12" t="s">
        <v>1420</v>
      </c>
      <c r="AG407" s="12" t="s">
        <v>1420</v>
      </c>
    </row>
    <row r="408" spans="1:33" ht="14.4" x14ac:dyDescent="0.3">
      <c r="A408" s="12" t="s">
        <v>42</v>
      </c>
      <c r="B408" s="12" t="s">
        <v>565</v>
      </c>
      <c r="C408" s="12" t="s">
        <v>564</v>
      </c>
      <c r="D408" s="12" t="s">
        <v>1410</v>
      </c>
      <c r="E408" s="12" t="s">
        <v>1735</v>
      </c>
      <c r="F408" s="12" t="s">
        <v>1736</v>
      </c>
      <c r="G408" s="12" t="s">
        <v>1737</v>
      </c>
      <c r="H408" s="12" t="s">
        <v>1452</v>
      </c>
      <c r="I408" s="12" t="s">
        <v>1420</v>
      </c>
      <c r="J408" s="12" t="s">
        <v>1420</v>
      </c>
      <c r="K408" s="12" t="s">
        <v>1420</v>
      </c>
      <c r="L408" s="12" t="s">
        <v>1420</v>
      </c>
      <c r="M408" s="12" t="s">
        <v>1420</v>
      </c>
      <c r="N408" s="12" t="s">
        <v>1420</v>
      </c>
      <c r="O408" s="12" t="s">
        <v>1414</v>
      </c>
      <c r="P408" s="12" t="s">
        <v>1420</v>
      </c>
      <c r="Q408" s="12" t="s">
        <v>1420</v>
      </c>
      <c r="R408" s="12" t="s">
        <v>1420</v>
      </c>
      <c r="S408" s="12" t="s">
        <v>1420</v>
      </c>
      <c r="T408" s="12" t="s">
        <v>1420</v>
      </c>
      <c r="U408" s="12" t="s">
        <v>1420</v>
      </c>
      <c r="V408" s="12" t="s">
        <v>1420</v>
      </c>
      <c r="W408" s="12" t="s">
        <v>1420</v>
      </c>
      <c r="X408" s="12" t="s">
        <v>1420</v>
      </c>
      <c r="Y408" s="12" t="s">
        <v>1420</v>
      </c>
      <c r="Z408" s="12" t="s">
        <v>1420</v>
      </c>
      <c r="AA408" s="12" t="s">
        <v>1420</v>
      </c>
      <c r="AB408" s="12" t="s">
        <v>1420</v>
      </c>
      <c r="AC408" s="12" t="s">
        <v>1420</v>
      </c>
      <c r="AD408" s="12" t="s">
        <v>1420</v>
      </c>
      <c r="AE408" s="12" t="s">
        <v>1420</v>
      </c>
      <c r="AF408" s="12" t="s">
        <v>1420</v>
      </c>
      <c r="AG408" s="12" t="s">
        <v>1420</v>
      </c>
    </row>
    <row r="409" spans="1:33" ht="14.4" x14ac:dyDescent="0.3">
      <c r="A409" s="12" t="s">
        <v>8</v>
      </c>
      <c r="B409" s="12" t="s">
        <v>875</v>
      </c>
      <c r="C409" s="12" t="s">
        <v>874</v>
      </c>
      <c r="D409" s="12" t="s">
        <v>1410</v>
      </c>
      <c r="E409" s="12" t="s">
        <v>1952</v>
      </c>
      <c r="F409" s="12" t="s">
        <v>1953</v>
      </c>
      <c r="G409" s="12" t="s">
        <v>1954</v>
      </c>
      <c r="H409" s="12" t="s">
        <v>1448</v>
      </c>
      <c r="I409" s="12" t="s">
        <v>1420</v>
      </c>
      <c r="J409" s="12" t="s">
        <v>1420</v>
      </c>
      <c r="K409" s="12" t="s">
        <v>1420</v>
      </c>
      <c r="L409" s="12" t="s">
        <v>1420</v>
      </c>
      <c r="M409" s="12" t="s">
        <v>1420</v>
      </c>
      <c r="N409" s="12" t="s">
        <v>1420</v>
      </c>
      <c r="O409" s="12" t="s">
        <v>1420</v>
      </c>
      <c r="P409" s="12" t="s">
        <v>1414</v>
      </c>
      <c r="Q409" s="12" t="s">
        <v>1420</v>
      </c>
      <c r="R409" s="12" t="s">
        <v>1420</v>
      </c>
      <c r="S409" s="12" t="s">
        <v>1420</v>
      </c>
      <c r="T409" s="12" t="s">
        <v>1420</v>
      </c>
      <c r="U409" s="12" t="s">
        <v>1420</v>
      </c>
      <c r="V409" s="12" t="s">
        <v>1414</v>
      </c>
      <c r="W409" s="12" t="s">
        <v>1420</v>
      </c>
      <c r="X409" s="12" t="s">
        <v>1414</v>
      </c>
      <c r="Y409" s="12" t="s">
        <v>1420</v>
      </c>
      <c r="Z409" s="12" t="s">
        <v>1420</v>
      </c>
      <c r="AA409" s="12" t="s">
        <v>1420</v>
      </c>
      <c r="AB409" s="12" t="s">
        <v>1420</v>
      </c>
      <c r="AC409" s="12" t="s">
        <v>1420</v>
      </c>
      <c r="AD409" s="12" t="s">
        <v>1414</v>
      </c>
      <c r="AE409" s="12" t="s">
        <v>1414</v>
      </c>
      <c r="AF409" s="12" t="s">
        <v>1420</v>
      </c>
      <c r="AG409" s="12" t="s">
        <v>1420</v>
      </c>
    </row>
    <row r="410" spans="1:33" ht="14.4" x14ac:dyDescent="0.3">
      <c r="A410" s="12" t="s">
        <v>8</v>
      </c>
      <c r="B410" s="12" t="s">
        <v>877</v>
      </c>
      <c r="C410" s="12" t="s">
        <v>876</v>
      </c>
      <c r="D410" s="12" t="s">
        <v>1410</v>
      </c>
      <c r="E410" s="12" t="s">
        <v>2745</v>
      </c>
      <c r="F410" s="12" t="s">
        <v>2748</v>
      </c>
      <c r="G410" s="12" t="s">
        <v>2749</v>
      </c>
      <c r="H410" s="12" t="s">
        <v>1438</v>
      </c>
      <c r="I410" s="12" t="s">
        <v>1420</v>
      </c>
      <c r="J410" s="12" t="s">
        <v>1420</v>
      </c>
      <c r="K410" s="12" t="s">
        <v>1420</v>
      </c>
      <c r="L410" s="12" t="s">
        <v>1420</v>
      </c>
      <c r="M410" s="12" t="s">
        <v>1420</v>
      </c>
      <c r="N410" s="12" t="s">
        <v>1420</v>
      </c>
      <c r="O410" s="12" t="s">
        <v>1414</v>
      </c>
      <c r="P410" s="12" t="s">
        <v>1420</v>
      </c>
      <c r="Q410" s="12" t="s">
        <v>1420</v>
      </c>
      <c r="R410" s="12" t="s">
        <v>1420</v>
      </c>
      <c r="S410" s="12" t="s">
        <v>1420</v>
      </c>
      <c r="T410" s="12" t="s">
        <v>1414</v>
      </c>
      <c r="U410" s="12" t="s">
        <v>1420</v>
      </c>
      <c r="V410" s="12" t="s">
        <v>1420</v>
      </c>
      <c r="W410" s="12" t="s">
        <v>1420</v>
      </c>
      <c r="X410" s="12" t="s">
        <v>1420</v>
      </c>
      <c r="Y410" s="12" t="s">
        <v>1420</v>
      </c>
      <c r="Z410" s="12" t="s">
        <v>1420</v>
      </c>
      <c r="AA410" s="12" t="s">
        <v>1414</v>
      </c>
      <c r="AB410" s="12" t="s">
        <v>1420</v>
      </c>
      <c r="AC410" s="12" t="s">
        <v>1414</v>
      </c>
      <c r="AD410" s="12" t="s">
        <v>1414</v>
      </c>
      <c r="AE410" s="12" t="s">
        <v>1414</v>
      </c>
      <c r="AF410" s="12" t="s">
        <v>1420</v>
      </c>
      <c r="AG410" s="12" t="s">
        <v>1420</v>
      </c>
    </row>
    <row r="411" spans="1:33" ht="14.4" x14ac:dyDescent="0.3">
      <c r="A411" s="12" t="s">
        <v>31</v>
      </c>
      <c r="B411" s="12" t="s">
        <v>1352</v>
      </c>
      <c r="C411" s="12" t="s">
        <v>1351</v>
      </c>
      <c r="D411" s="12" t="s">
        <v>1410</v>
      </c>
      <c r="E411" s="12" t="s">
        <v>1882</v>
      </c>
      <c r="F411" s="12" t="s">
        <v>1885</v>
      </c>
      <c r="G411" s="12" t="s">
        <v>1886</v>
      </c>
      <c r="H411" s="12" t="s">
        <v>1419</v>
      </c>
      <c r="I411" s="12" t="s">
        <v>1420</v>
      </c>
      <c r="J411" s="12" t="s">
        <v>1420</v>
      </c>
      <c r="K411" s="12" t="s">
        <v>1420</v>
      </c>
      <c r="L411" s="12" t="s">
        <v>1420</v>
      </c>
      <c r="M411" s="12" t="s">
        <v>1420</v>
      </c>
      <c r="N411" s="12" t="s">
        <v>1414</v>
      </c>
      <c r="O411" s="12" t="s">
        <v>1414</v>
      </c>
      <c r="P411" s="12" t="s">
        <v>1420</v>
      </c>
      <c r="Q411" s="12" t="s">
        <v>1420</v>
      </c>
      <c r="R411" s="12" t="s">
        <v>1420</v>
      </c>
      <c r="S411" s="12" t="s">
        <v>1420</v>
      </c>
      <c r="T411" s="12" t="s">
        <v>1420</v>
      </c>
      <c r="U411" s="12" t="s">
        <v>1420</v>
      </c>
      <c r="V411" s="12" t="s">
        <v>1420</v>
      </c>
      <c r="W411" s="12" t="s">
        <v>1420</v>
      </c>
      <c r="X411" s="12" t="s">
        <v>1420</v>
      </c>
      <c r="Y411" s="12" t="s">
        <v>1420</v>
      </c>
      <c r="Z411" s="12" t="s">
        <v>1420</v>
      </c>
      <c r="AA411" s="12" t="s">
        <v>1420</v>
      </c>
      <c r="AB411" s="12" t="s">
        <v>1420</v>
      </c>
      <c r="AC411" s="12" t="s">
        <v>1420</v>
      </c>
      <c r="AD411" s="12" t="s">
        <v>1420</v>
      </c>
      <c r="AE411" s="12" t="s">
        <v>1420</v>
      </c>
      <c r="AF411" s="12" t="s">
        <v>1420</v>
      </c>
      <c r="AG411" s="12" t="s">
        <v>1420</v>
      </c>
    </row>
    <row r="412" spans="1:33" ht="14.4" x14ac:dyDescent="0.3">
      <c r="A412" s="12" t="s">
        <v>11</v>
      </c>
      <c r="B412" s="12" t="s">
        <v>342</v>
      </c>
      <c r="C412" s="12" t="s">
        <v>341</v>
      </c>
      <c r="D412" s="12" t="s">
        <v>1410</v>
      </c>
      <c r="E412" s="12" t="s">
        <v>1686</v>
      </c>
      <c r="F412" s="12" t="s">
        <v>1687</v>
      </c>
      <c r="G412" s="12" t="s">
        <v>1688</v>
      </c>
      <c r="H412" s="12" t="s">
        <v>1424</v>
      </c>
      <c r="I412" s="12" t="s">
        <v>1420</v>
      </c>
      <c r="J412" s="12" t="s">
        <v>1420</v>
      </c>
      <c r="K412" s="12" t="s">
        <v>1420</v>
      </c>
      <c r="L412" s="12" t="s">
        <v>1420</v>
      </c>
      <c r="M412" s="12" t="s">
        <v>1420</v>
      </c>
      <c r="N412" s="12" t="s">
        <v>1420</v>
      </c>
      <c r="O412" s="12" t="s">
        <v>1420</v>
      </c>
      <c r="P412" s="12" t="s">
        <v>1420</v>
      </c>
      <c r="Q412" s="12" t="s">
        <v>1420</v>
      </c>
      <c r="R412" s="12" t="s">
        <v>1420</v>
      </c>
      <c r="S412" s="12" t="s">
        <v>1414</v>
      </c>
      <c r="T412" s="12" t="s">
        <v>1420</v>
      </c>
      <c r="U412" s="12" t="s">
        <v>1420</v>
      </c>
      <c r="V412" s="12" t="s">
        <v>1420</v>
      </c>
      <c r="W412" s="12" t="s">
        <v>1420</v>
      </c>
      <c r="X412" s="12" t="s">
        <v>1420</v>
      </c>
      <c r="Y412" s="12" t="s">
        <v>1420</v>
      </c>
      <c r="Z412" s="12" t="s">
        <v>1420</v>
      </c>
      <c r="AA412" s="12" t="s">
        <v>1420</v>
      </c>
      <c r="AB412" s="12" t="s">
        <v>1420</v>
      </c>
      <c r="AC412" s="12" t="s">
        <v>1420</v>
      </c>
      <c r="AD412" s="12" t="s">
        <v>1414</v>
      </c>
      <c r="AE412" s="12" t="s">
        <v>1414</v>
      </c>
      <c r="AF412" s="12" t="s">
        <v>1420</v>
      </c>
      <c r="AG412" s="12" t="s">
        <v>1420</v>
      </c>
    </row>
    <row r="413" spans="1:33" ht="14.4" x14ac:dyDescent="0.3">
      <c r="A413" s="12" t="s">
        <v>1059</v>
      </c>
      <c r="B413" s="12" t="s">
        <v>1058</v>
      </c>
      <c r="C413" s="12" t="s">
        <v>1057</v>
      </c>
      <c r="D413" s="12" t="s">
        <v>1410</v>
      </c>
      <c r="E413" s="12" t="s">
        <v>1642</v>
      </c>
      <c r="F413" s="12" t="s">
        <v>1643</v>
      </c>
      <c r="G413" s="12" t="s">
        <v>1413</v>
      </c>
      <c r="H413" s="12" t="s">
        <v>1420</v>
      </c>
      <c r="I413" s="12" t="s">
        <v>1420</v>
      </c>
      <c r="J413" s="12" t="s">
        <v>1415</v>
      </c>
      <c r="K413" s="12" t="s">
        <v>1415</v>
      </c>
      <c r="L413" s="12" t="s">
        <v>1415</v>
      </c>
      <c r="M413" s="12" t="s">
        <v>1415</v>
      </c>
      <c r="N413" s="12" t="s">
        <v>1415</v>
      </c>
      <c r="O413" s="12" t="s">
        <v>1415</v>
      </c>
      <c r="P413" s="12" t="s">
        <v>1415</v>
      </c>
      <c r="Q413" s="12" t="s">
        <v>1415</v>
      </c>
      <c r="R413" s="12" t="s">
        <v>1415</v>
      </c>
      <c r="S413" s="12" t="s">
        <v>1415</v>
      </c>
      <c r="T413" s="12" t="s">
        <v>1415</v>
      </c>
      <c r="U413" s="12" t="s">
        <v>1415</v>
      </c>
      <c r="V413" s="12" t="s">
        <v>1415</v>
      </c>
      <c r="W413" s="12" t="s">
        <v>1415</v>
      </c>
      <c r="X413" s="12" t="s">
        <v>1415</v>
      </c>
      <c r="Y413" s="12" t="s">
        <v>1415</v>
      </c>
      <c r="Z413" s="12" t="s">
        <v>1415</v>
      </c>
      <c r="AA413" s="12" t="s">
        <v>1415</v>
      </c>
      <c r="AB413" s="12" t="s">
        <v>1415</v>
      </c>
      <c r="AC413" s="12" t="s">
        <v>1415</v>
      </c>
      <c r="AD413" s="12" t="s">
        <v>1415</v>
      </c>
      <c r="AE413" s="12" t="s">
        <v>1415</v>
      </c>
      <c r="AF413" s="12" t="s">
        <v>1415</v>
      </c>
      <c r="AG413" s="12" t="s">
        <v>1415</v>
      </c>
    </row>
    <row r="414" spans="1:33" ht="14.4" x14ac:dyDescent="0.3">
      <c r="A414" s="12" t="s">
        <v>1059</v>
      </c>
      <c r="B414" s="12" t="s">
        <v>1058</v>
      </c>
      <c r="C414" s="12" t="s">
        <v>1057</v>
      </c>
      <c r="D414" s="12" t="s">
        <v>1410</v>
      </c>
      <c r="E414" s="12" t="s">
        <v>1859</v>
      </c>
      <c r="F414" s="12" t="s">
        <v>1860</v>
      </c>
      <c r="G414" s="12" t="s">
        <v>1861</v>
      </c>
      <c r="H414" s="12" t="s">
        <v>1448</v>
      </c>
      <c r="I414" s="12" t="s">
        <v>1420</v>
      </c>
      <c r="J414" s="12" t="s">
        <v>1414</v>
      </c>
      <c r="K414" s="12" t="s">
        <v>1420</v>
      </c>
      <c r="L414" s="12" t="s">
        <v>1420</v>
      </c>
      <c r="M414" s="12" t="s">
        <v>1414</v>
      </c>
      <c r="N414" s="12" t="s">
        <v>1420</v>
      </c>
      <c r="O414" s="12" t="s">
        <v>1420</v>
      </c>
      <c r="P414" s="12" t="s">
        <v>1420</v>
      </c>
      <c r="Q414" s="12" t="s">
        <v>1420</v>
      </c>
      <c r="R414" s="12" t="s">
        <v>1420</v>
      </c>
      <c r="S414" s="12" t="s">
        <v>1420</v>
      </c>
      <c r="T414" s="12" t="s">
        <v>1420</v>
      </c>
      <c r="U414" s="12" t="s">
        <v>1420</v>
      </c>
      <c r="V414" s="12" t="s">
        <v>1420</v>
      </c>
      <c r="W414" s="12" t="s">
        <v>1420</v>
      </c>
      <c r="X414" s="12" t="s">
        <v>1420</v>
      </c>
      <c r="Y414" s="12" t="s">
        <v>1414</v>
      </c>
      <c r="Z414" s="12" t="s">
        <v>1420</v>
      </c>
      <c r="AA414" s="12" t="s">
        <v>1420</v>
      </c>
      <c r="AB414" s="12" t="s">
        <v>1420</v>
      </c>
      <c r="AC414" s="12" t="s">
        <v>1420</v>
      </c>
      <c r="AD414" s="12" t="s">
        <v>1414</v>
      </c>
      <c r="AE414" s="12" t="s">
        <v>1420</v>
      </c>
      <c r="AF414" s="12" t="s">
        <v>1420</v>
      </c>
      <c r="AG414" s="12" t="s">
        <v>1414</v>
      </c>
    </row>
    <row r="415" spans="1:33" ht="14.4" x14ac:dyDescent="0.3">
      <c r="A415" s="12" t="s">
        <v>31</v>
      </c>
      <c r="B415" s="12" t="s">
        <v>1354</v>
      </c>
      <c r="C415" s="12" t="s">
        <v>1353</v>
      </c>
      <c r="D415" s="12" t="s">
        <v>1410</v>
      </c>
      <c r="E415" s="12" t="s">
        <v>2071</v>
      </c>
      <c r="F415" s="12" t="s">
        <v>2072</v>
      </c>
      <c r="G415" s="12" t="s">
        <v>2073</v>
      </c>
      <c r="H415" s="12" t="s">
        <v>1488</v>
      </c>
      <c r="I415" s="12" t="s">
        <v>1420</v>
      </c>
      <c r="J415" s="12" t="s">
        <v>1420</v>
      </c>
      <c r="K415" s="12" t="s">
        <v>1420</v>
      </c>
      <c r="L415" s="12" t="s">
        <v>1420</v>
      </c>
      <c r="M415" s="12" t="s">
        <v>1420</v>
      </c>
      <c r="N415" s="12" t="s">
        <v>1420</v>
      </c>
      <c r="O415" s="12" t="s">
        <v>1420</v>
      </c>
      <c r="P415" s="12" t="s">
        <v>1420</v>
      </c>
      <c r="Q415" s="12" t="s">
        <v>1420</v>
      </c>
      <c r="R415" s="12" t="s">
        <v>1414</v>
      </c>
      <c r="S415" s="12" t="s">
        <v>1420</v>
      </c>
      <c r="T415" s="12" t="s">
        <v>1414</v>
      </c>
      <c r="U415" s="12" t="s">
        <v>1420</v>
      </c>
      <c r="V415" s="12" t="s">
        <v>1414</v>
      </c>
      <c r="W415" s="12" t="s">
        <v>1420</v>
      </c>
      <c r="X415" s="12" t="s">
        <v>1420</v>
      </c>
      <c r="Y415" s="12" t="s">
        <v>1420</v>
      </c>
      <c r="Z415" s="12" t="s">
        <v>1420</v>
      </c>
      <c r="AA415" s="12" t="s">
        <v>1420</v>
      </c>
      <c r="AB415" s="12" t="s">
        <v>1420</v>
      </c>
      <c r="AC415" s="12" t="s">
        <v>1414</v>
      </c>
      <c r="AD415" s="12" t="s">
        <v>1420</v>
      </c>
      <c r="AE415" s="12" t="s">
        <v>1420</v>
      </c>
      <c r="AF415" s="12" t="s">
        <v>1420</v>
      </c>
      <c r="AG415" s="12" t="s">
        <v>1420</v>
      </c>
    </row>
    <row r="416" spans="1:33" ht="14.4" x14ac:dyDescent="0.3">
      <c r="A416" s="12" t="s">
        <v>1106</v>
      </c>
      <c r="B416" s="12" t="s">
        <v>1105</v>
      </c>
      <c r="C416" s="12" t="s">
        <v>1104</v>
      </c>
      <c r="D416" s="12" t="s">
        <v>1410</v>
      </c>
      <c r="E416" s="12" t="s">
        <v>3083</v>
      </c>
      <c r="F416" s="12" t="s">
        <v>3084</v>
      </c>
      <c r="G416" s="12" t="s">
        <v>1866</v>
      </c>
      <c r="H416" s="12" t="s">
        <v>1419</v>
      </c>
      <c r="I416" s="12" t="s">
        <v>1420</v>
      </c>
      <c r="J416" s="12" t="s">
        <v>1420</v>
      </c>
      <c r="K416" s="12" t="s">
        <v>1420</v>
      </c>
      <c r="L416" s="12" t="s">
        <v>1420</v>
      </c>
      <c r="M416" s="12" t="s">
        <v>1420</v>
      </c>
      <c r="N416" s="12" t="s">
        <v>1420</v>
      </c>
      <c r="O416" s="12" t="s">
        <v>1420</v>
      </c>
      <c r="P416" s="12" t="s">
        <v>1414</v>
      </c>
      <c r="Q416" s="12" t="s">
        <v>1420</v>
      </c>
      <c r="R416" s="12" t="s">
        <v>1420</v>
      </c>
      <c r="S416" s="12" t="s">
        <v>1414</v>
      </c>
      <c r="T416" s="12" t="s">
        <v>1420</v>
      </c>
      <c r="U416" s="12" t="s">
        <v>1420</v>
      </c>
      <c r="V416" s="12" t="s">
        <v>1420</v>
      </c>
      <c r="W416" s="12" t="s">
        <v>1420</v>
      </c>
      <c r="X416" s="12" t="s">
        <v>1420</v>
      </c>
      <c r="Y416" s="12" t="s">
        <v>1420</v>
      </c>
      <c r="Z416" s="12" t="s">
        <v>1420</v>
      </c>
      <c r="AA416" s="12" t="s">
        <v>1420</v>
      </c>
      <c r="AB416" s="12" t="s">
        <v>1420</v>
      </c>
      <c r="AC416" s="12" t="s">
        <v>1420</v>
      </c>
      <c r="AD416" s="12" t="s">
        <v>1420</v>
      </c>
      <c r="AE416" s="12" t="s">
        <v>1420</v>
      </c>
      <c r="AF416" s="12" t="s">
        <v>1420</v>
      </c>
      <c r="AG416" s="12" t="s">
        <v>1420</v>
      </c>
    </row>
    <row r="417" spans="1:33" ht="14.4" x14ac:dyDescent="0.3">
      <c r="A417" s="12" t="s">
        <v>49</v>
      </c>
      <c r="B417" s="12" t="s">
        <v>567</v>
      </c>
      <c r="C417" s="12" t="s">
        <v>566</v>
      </c>
      <c r="D417" s="12" t="s">
        <v>1410</v>
      </c>
      <c r="E417" s="12" t="s">
        <v>2620</v>
      </c>
      <c r="F417" s="12" t="s">
        <v>2621</v>
      </c>
      <c r="G417" s="12" t="s">
        <v>2622</v>
      </c>
      <c r="H417" s="12" t="s">
        <v>1464</v>
      </c>
      <c r="I417" s="12" t="s">
        <v>1420</v>
      </c>
      <c r="J417" s="12" t="s">
        <v>1420</v>
      </c>
      <c r="K417" s="12" t="s">
        <v>1420</v>
      </c>
      <c r="L417" s="12" t="s">
        <v>1420</v>
      </c>
      <c r="M417" s="12" t="s">
        <v>1420</v>
      </c>
      <c r="N417" s="12" t="s">
        <v>1420</v>
      </c>
      <c r="O417" s="12" t="s">
        <v>1420</v>
      </c>
      <c r="P417" s="12" t="s">
        <v>1420</v>
      </c>
      <c r="Q417" s="12" t="s">
        <v>1420</v>
      </c>
      <c r="R417" s="12" t="s">
        <v>1420</v>
      </c>
      <c r="S417" s="12" t="s">
        <v>1420</v>
      </c>
      <c r="T417" s="12" t="s">
        <v>1420</v>
      </c>
      <c r="U417" s="12" t="s">
        <v>1420</v>
      </c>
      <c r="V417" s="12" t="s">
        <v>1420</v>
      </c>
      <c r="W417" s="12" t="s">
        <v>1420</v>
      </c>
      <c r="X417" s="12" t="s">
        <v>1420</v>
      </c>
      <c r="Y417" s="12" t="s">
        <v>1420</v>
      </c>
      <c r="Z417" s="12" t="s">
        <v>1420</v>
      </c>
      <c r="AA417" s="12" t="s">
        <v>1420</v>
      </c>
      <c r="AB417" s="12" t="s">
        <v>1420</v>
      </c>
      <c r="AC417" s="12" t="s">
        <v>1420</v>
      </c>
      <c r="AD417" s="12" t="s">
        <v>1420</v>
      </c>
      <c r="AE417" s="12" t="s">
        <v>1420</v>
      </c>
      <c r="AF417" s="12" t="s">
        <v>1420</v>
      </c>
      <c r="AG417" s="12" t="s">
        <v>1420</v>
      </c>
    </row>
    <row r="418" spans="1:33" ht="14.4" x14ac:dyDescent="0.3">
      <c r="A418" s="12" t="s">
        <v>8</v>
      </c>
      <c r="B418" s="12" t="s">
        <v>1210</v>
      </c>
      <c r="C418" s="12" t="s">
        <v>1209</v>
      </c>
      <c r="D418" s="12" t="s">
        <v>1410</v>
      </c>
      <c r="E418" s="12" t="s">
        <v>1429</v>
      </c>
      <c r="F418" s="12" t="s">
        <v>1430</v>
      </c>
      <c r="G418" s="12" t="s">
        <v>1431</v>
      </c>
      <c r="H418" s="12" t="s">
        <v>1419</v>
      </c>
      <c r="I418" s="12" t="s">
        <v>1420</v>
      </c>
      <c r="J418" s="12" t="s">
        <v>1414</v>
      </c>
      <c r="K418" s="12" t="s">
        <v>1420</v>
      </c>
      <c r="L418" s="12" t="s">
        <v>1420</v>
      </c>
      <c r="M418" s="12" t="s">
        <v>1420</v>
      </c>
      <c r="N418" s="12" t="s">
        <v>1414</v>
      </c>
      <c r="O418" s="12" t="s">
        <v>1420</v>
      </c>
      <c r="P418" s="12" t="s">
        <v>1420</v>
      </c>
      <c r="Q418" s="12" t="s">
        <v>1420</v>
      </c>
      <c r="R418" s="12" t="s">
        <v>1420</v>
      </c>
      <c r="S418" s="12" t="s">
        <v>1420</v>
      </c>
      <c r="T418" s="12" t="s">
        <v>1420</v>
      </c>
      <c r="U418" s="12" t="s">
        <v>1420</v>
      </c>
      <c r="V418" s="12" t="s">
        <v>1420</v>
      </c>
      <c r="W418" s="12" t="s">
        <v>1420</v>
      </c>
      <c r="X418" s="12" t="s">
        <v>1420</v>
      </c>
      <c r="Y418" s="12" t="s">
        <v>1420</v>
      </c>
      <c r="Z418" s="12" t="s">
        <v>1420</v>
      </c>
      <c r="AA418" s="12" t="s">
        <v>1420</v>
      </c>
      <c r="AB418" s="12" t="s">
        <v>1420</v>
      </c>
      <c r="AC418" s="12" t="s">
        <v>1420</v>
      </c>
      <c r="AD418" s="12" t="s">
        <v>1420</v>
      </c>
      <c r="AE418" s="12" t="s">
        <v>1420</v>
      </c>
      <c r="AF418" s="12" t="s">
        <v>1420</v>
      </c>
      <c r="AG418" s="12" t="s">
        <v>1420</v>
      </c>
    </row>
    <row r="419" spans="1:33" ht="14.4" x14ac:dyDescent="0.3">
      <c r="A419" s="12" t="s">
        <v>5734</v>
      </c>
      <c r="B419" s="12" t="s">
        <v>5735</v>
      </c>
      <c r="C419" s="12" t="s">
        <v>5736</v>
      </c>
      <c r="D419" s="12" t="s">
        <v>1410</v>
      </c>
      <c r="E419" s="12" t="s">
        <v>5737</v>
      </c>
      <c r="F419" s="12" t="s">
        <v>5738</v>
      </c>
      <c r="G419" s="12" t="s">
        <v>5739</v>
      </c>
      <c r="H419" s="12" t="s">
        <v>1452</v>
      </c>
      <c r="I419" s="12" t="s">
        <v>1420</v>
      </c>
      <c r="J419" s="12" t="s">
        <v>1420</v>
      </c>
      <c r="K419" s="12" t="s">
        <v>1420</v>
      </c>
      <c r="L419" s="12" t="s">
        <v>1420</v>
      </c>
      <c r="M419" s="12" t="s">
        <v>1420</v>
      </c>
      <c r="N419" s="12" t="s">
        <v>1420</v>
      </c>
      <c r="O419" s="12" t="s">
        <v>1420</v>
      </c>
      <c r="P419" s="12" t="s">
        <v>1420</v>
      </c>
      <c r="Q419" s="12" t="s">
        <v>1420</v>
      </c>
      <c r="R419" s="12" t="s">
        <v>1420</v>
      </c>
      <c r="S419" s="12" t="s">
        <v>1414</v>
      </c>
      <c r="T419" s="12" t="s">
        <v>1420</v>
      </c>
      <c r="U419" s="12" t="s">
        <v>1420</v>
      </c>
      <c r="V419" s="12" t="s">
        <v>1420</v>
      </c>
      <c r="W419" s="12" t="s">
        <v>1420</v>
      </c>
      <c r="X419" s="12" t="s">
        <v>1420</v>
      </c>
      <c r="Y419" s="12" t="s">
        <v>1420</v>
      </c>
      <c r="Z419" s="12" t="s">
        <v>1420</v>
      </c>
      <c r="AA419" s="12" t="s">
        <v>1420</v>
      </c>
      <c r="AB419" s="12" t="s">
        <v>1420</v>
      </c>
      <c r="AC419" s="12" t="s">
        <v>1420</v>
      </c>
      <c r="AD419" s="12" t="s">
        <v>1420</v>
      </c>
      <c r="AE419" s="12" t="s">
        <v>1420</v>
      </c>
      <c r="AF419" s="12" t="s">
        <v>1420</v>
      </c>
      <c r="AG419" s="12" t="s">
        <v>1420</v>
      </c>
    </row>
    <row r="420" spans="1:33" ht="14.4" x14ac:dyDescent="0.3">
      <c r="A420" s="12" t="s">
        <v>115</v>
      </c>
      <c r="B420" s="12" t="s">
        <v>114</v>
      </c>
      <c r="C420" s="12" t="s">
        <v>113</v>
      </c>
      <c r="D420" s="12" t="s">
        <v>1410</v>
      </c>
      <c r="E420" s="12" t="s">
        <v>2122</v>
      </c>
      <c r="F420" s="12" t="s">
        <v>2105</v>
      </c>
      <c r="G420" s="12" t="s">
        <v>2123</v>
      </c>
      <c r="H420" s="12" t="s">
        <v>1419</v>
      </c>
      <c r="I420" s="12" t="s">
        <v>1420</v>
      </c>
      <c r="J420" s="12" t="s">
        <v>1414</v>
      </c>
      <c r="K420" s="12" t="s">
        <v>1420</v>
      </c>
      <c r="L420" s="12" t="s">
        <v>1420</v>
      </c>
      <c r="M420" s="12" t="s">
        <v>1420</v>
      </c>
      <c r="N420" s="12" t="s">
        <v>1420</v>
      </c>
      <c r="O420" s="12" t="s">
        <v>1420</v>
      </c>
      <c r="P420" s="12" t="s">
        <v>1420</v>
      </c>
      <c r="Q420" s="12" t="s">
        <v>1420</v>
      </c>
      <c r="R420" s="12" t="s">
        <v>1420</v>
      </c>
      <c r="S420" s="12" t="s">
        <v>1420</v>
      </c>
      <c r="T420" s="12" t="s">
        <v>1420</v>
      </c>
      <c r="U420" s="12" t="s">
        <v>1420</v>
      </c>
      <c r="V420" s="12" t="s">
        <v>1420</v>
      </c>
      <c r="W420" s="12" t="s">
        <v>1420</v>
      </c>
      <c r="X420" s="12" t="s">
        <v>1420</v>
      </c>
      <c r="Y420" s="12" t="s">
        <v>1420</v>
      </c>
      <c r="Z420" s="12" t="s">
        <v>1420</v>
      </c>
      <c r="AA420" s="12" t="s">
        <v>1420</v>
      </c>
      <c r="AB420" s="12" t="s">
        <v>1420</v>
      </c>
      <c r="AC420" s="12" t="s">
        <v>1420</v>
      </c>
      <c r="AD420" s="12" t="s">
        <v>1420</v>
      </c>
      <c r="AE420" s="12" t="s">
        <v>1420</v>
      </c>
      <c r="AF420" s="12" t="s">
        <v>1414</v>
      </c>
      <c r="AG420" s="12" t="s">
        <v>1420</v>
      </c>
    </row>
    <row r="421" spans="1:33" ht="14.4" x14ac:dyDescent="0.3">
      <c r="A421" s="12" t="s">
        <v>28</v>
      </c>
      <c r="B421" s="12" t="s">
        <v>5740</v>
      </c>
      <c r="C421" s="12" t="s">
        <v>5741</v>
      </c>
      <c r="D421" s="12" t="s">
        <v>1410</v>
      </c>
      <c r="E421" s="12" t="s">
        <v>5587</v>
      </c>
      <c r="F421" s="12" t="s">
        <v>5742</v>
      </c>
      <c r="G421" s="12" t="s">
        <v>5743</v>
      </c>
      <c r="H421" s="12" t="s">
        <v>1428</v>
      </c>
      <c r="I421" s="12" t="s">
        <v>1420</v>
      </c>
      <c r="J421" s="12" t="s">
        <v>1414</v>
      </c>
      <c r="K421" s="12" t="s">
        <v>1420</v>
      </c>
      <c r="L421" s="12" t="s">
        <v>1420</v>
      </c>
      <c r="M421" s="12" t="s">
        <v>1420</v>
      </c>
      <c r="N421" s="12" t="s">
        <v>1414</v>
      </c>
      <c r="O421" s="12" t="s">
        <v>1420</v>
      </c>
      <c r="P421" s="12" t="s">
        <v>1414</v>
      </c>
      <c r="Q421" s="12" t="s">
        <v>1420</v>
      </c>
      <c r="R421" s="12" t="s">
        <v>1420</v>
      </c>
      <c r="S421" s="12" t="s">
        <v>1414</v>
      </c>
      <c r="T421" s="12" t="s">
        <v>1414</v>
      </c>
      <c r="U421" s="12" t="s">
        <v>1420</v>
      </c>
      <c r="V421" s="12" t="s">
        <v>1420</v>
      </c>
      <c r="W421" s="12" t="s">
        <v>1414</v>
      </c>
      <c r="X421" s="12" t="s">
        <v>1420</v>
      </c>
      <c r="Y421" s="12" t="s">
        <v>1420</v>
      </c>
      <c r="Z421" s="12" t="s">
        <v>1420</v>
      </c>
      <c r="AA421" s="12" t="s">
        <v>1420</v>
      </c>
      <c r="AB421" s="12" t="s">
        <v>1420</v>
      </c>
      <c r="AC421" s="12" t="s">
        <v>1420</v>
      </c>
      <c r="AD421" s="12" t="s">
        <v>1420</v>
      </c>
      <c r="AE421" s="12" t="s">
        <v>1414</v>
      </c>
      <c r="AF421" s="12" t="s">
        <v>1420</v>
      </c>
      <c r="AG421" s="12" t="s">
        <v>1420</v>
      </c>
    </row>
    <row r="422" spans="1:33" ht="14.4" x14ac:dyDescent="0.3">
      <c r="A422" s="12" t="s">
        <v>11</v>
      </c>
      <c r="B422" s="12" t="s">
        <v>569</v>
      </c>
      <c r="C422" s="12" t="s">
        <v>568</v>
      </c>
      <c r="D422" s="12" t="s">
        <v>1410</v>
      </c>
      <c r="E422" s="12" t="s">
        <v>2655</v>
      </c>
      <c r="F422" s="12" t="s">
        <v>2656</v>
      </c>
      <c r="G422" s="12" t="s">
        <v>2657</v>
      </c>
      <c r="H422" s="12" t="s">
        <v>1464</v>
      </c>
      <c r="I422" s="12" t="s">
        <v>1420</v>
      </c>
      <c r="J422" s="12" t="s">
        <v>1420</v>
      </c>
      <c r="K422" s="12" t="s">
        <v>1420</v>
      </c>
      <c r="L422" s="12" t="s">
        <v>1420</v>
      </c>
      <c r="M422" s="12" t="s">
        <v>1420</v>
      </c>
      <c r="N422" s="12" t="s">
        <v>1420</v>
      </c>
      <c r="O422" s="12" t="s">
        <v>1420</v>
      </c>
      <c r="P422" s="12" t="s">
        <v>1420</v>
      </c>
      <c r="Q422" s="12" t="s">
        <v>1420</v>
      </c>
      <c r="R422" s="12" t="s">
        <v>1420</v>
      </c>
      <c r="S422" s="12" t="s">
        <v>1420</v>
      </c>
      <c r="T422" s="12" t="s">
        <v>1420</v>
      </c>
      <c r="U422" s="12" t="s">
        <v>1420</v>
      </c>
      <c r="V422" s="12" t="s">
        <v>1420</v>
      </c>
      <c r="W422" s="12" t="s">
        <v>1420</v>
      </c>
      <c r="X422" s="12" t="s">
        <v>1420</v>
      </c>
      <c r="Y422" s="12" t="s">
        <v>1420</v>
      </c>
      <c r="Z422" s="12" t="s">
        <v>1420</v>
      </c>
      <c r="AA422" s="12" t="s">
        <v>1420</v>
      </c>
      <c r="AB422" s="12" t="s">
        <v>1420</v>
      </c>
      <c r="AC422" s="12" t="s">
        <v>1420</v>
      </c>
      <c r="AD422" s="12" t="s">
        <v>1420</v>
      </c>
      <c r="AE422" s="12" t="s">
        <v>1420</v>
      </c>
      <c r="AF422" s="12" t="s">
        <v>1420</v>
      </c>
      <c r="AG422" s="12" t="s">
        <v>1420</v>
      </c>
    </row>
    <row r="423" spans="1:33" ht="14.4" x14ac:dyDescent="0.3">
      <c r="A423" s="12" t="s">
        <v>55</v>
      </c>
      <c r="B423" s="12" t="s">
        <v>569</v>
      </c>
      <c r="C423" s="12" t="s">
        <v>570</v>
      </c>
      <c r="D423" s="12" t="s">
        <v>1410</v>
      </c>
      <c r="E423" s="12" t="s">
        <v>2629</v>
      </c>
      <c r="F423" s="12" t="s">
        <v>2630</v>
      </c>
      <c r="G423" s="12" t="s">
        <v>2631</v>
      </c>
      <c r="H423" s="12" t="s">
        <v>1464</v>
      </c>
      <c r="I423" s="12" t="s">
        <v>1420</v>
      </c>
      <c r="J423" s="12" t="s">
        <v>1420</v>
      </c>
      <c r="K423" s="12" t="s">
        <v>1420</v>
      </c>
      <c r="L423" s="12" t="s">
        <v>1420</v>
      </c>
      <c r="M423" s="12" t="s">
        <v>1420</v>
      </c>
      <c r="N423" s="12" t="s">
        <v>1420</v>
      </c>
      <c r="O423" s="12" t="s">
        <v>1420</v>
      </c>
      <c r="P423" s="12" t="s">
        <v>1420</v>
      </c>
      <c r="Q423" s="12" t="s">
        <v>1420</v>
      </c>
      <c r="R423" s="12" t="s">
        <v>1420</v>
      </c>
      <c r="S423" s="12" t="s">
        <v>1420</v>
      </c>
      <c r="T423" s="12" t="s">
        <v>1420</v>
      </c>
      <c r="U423" s="12" t="s">
        <v>1420</v>
      </c>
      <c r="V423" s="12" t="s">
        <v>1420</v>
      </c>
      <c r="W423" s="12" t="s">
        <v>1420</v>
      </c>
      <c r="X423" s="12" t="s">
        <v>1420</v>
      </c>
      <c r="Y423" s="12" t="s">
        <v>1420</v>
      </c>
      <c r="Z423" s="12" t="s">
        <v>1420</v>
      </c>
      <c r="AA423" s="12" t="s">
        <v>1420</v>
      </c>
      <c r="AB423" s="12" t="s">
        <v>1420</v>
      </c>
      <c r="AC423" s="12" t="s">
        <v>1420</v>
      </c>
      <c r="AD423" s="12" t="s">
        <v>1420</v>
      </c>
      <c r="AE423" s="12" t="s">
        <v>1420</v>
      </c>
      <c r="AF423" s="12" t="s">
        <v>1420</v>
      </c>
      <c r="AG423" s="12" t="s">
        <v>1420</v>
      </c>
    </row>
    <row r="424" spans="1:33" ht="14.4" x14ac:dyDescent="0.3">
      <c r="A424" s="12" t="s">
        <v>25</v>
      </c>
      <c r="B424" s="12" t="s">
        <v>569</v>
      </c>
      <c r="C424" s="12" t="s">
        <v>5744</v>
      </c>
      <c r="D424" s="12" t="s">
        <v>1410</v>
      </c>
      <c r="E424" s="12" t="s">
        <v>5709</v>
      </c>
      <c r="F424" s="12" t="s">
        <v>5745</v>
      </c>
      <c r="G424" s="12" t="s">
        <v>1780</v>
      </c>
      <c r="H424" s="12" t="s">
        <v>1464</v>
      </c>
      <c r="I424" s="12" t="s">
        <v>1420</v>
      </c>
      <c r="J424" s="12" t="s">
        <v>1420</v>
      </c>
      <c r="K424" s="12" t="s">
        <v>1420</v>
      </c>
      <c r="L424" s="12" t="s">
        <v>1420</v>
      </c>
      <c r="M424" s="12" t="s">
        <v>1420</v>
      </c>
      <c r="N424" s="12" t="s">
        <v>1420</v>
      </c>
      <c r="O424" s="12" t="s">
        <v>1420</v>
      </c>
      <c r="P424" s="12" t="s">
        <v>1420</v>
      </c>
      <c r="Q424" s="12" t="s">
        <v>1420</v>
      </c>
      <c r="R424" s="12" t="s">
        <v>1420</v>
      </c>
      <c r="S424" s="12" t="s">
        <v>1420</v>
      </c>
      <c r="T424" s="12" t="s">
        <v>1420</v>
      </c>
      <c r="U424" s="12" t="s">
        <v>1420</v>
      </c>
      <c r="V424" s="12" t="s">
        <v>1420</v>
      </c>
      <c r="W424" s="12" t="s">
        <v>1420</v>
      </c>
      <c r="X424" s="12" t="s">
        <v>1420</v>
      </c>
      <c r="Y424" s="12" t="s">
        <v>1420</v>
      </c>
      <c r="Z424" s="12" t="s">
        <v>1420</v>
      </c>
      <c r="AA424" s="12" t="s">
        <v>1420</v>
      </c>
      <c r="AB424" s="12" t="s">
        <v>1420</v>
      </c>
      <c r="AC424" s="12" t="s">
        <v>1420</v>
      </c>
      <c r="AD424" s="12" t="s">
        <v>1420</v>
      </c>
      <c r="AE424" s="12" t="s">
        <v>1420</v>
      </c>
      <c r="AF424" s="12" t="s">
        <v>1420</v>
      </c>
      <c r="AG424" s="12" t="s">
        <v>1420</v>
      </c>
    </row>
    <row r="425" spans="1:33" ht="14.4" x14ac:dyDescent="0.3">
      <c r="A425" s="12" t="s">
        <v>55</v>
      </c>
      <c r="B425" s="12" t="s">
        <v>347</v>
      </c>
      <c r="C425" s="12" t="s">
        <v>346</v>
      </c>
      <c r="D425" s="12" t="s">
        <v>1410</v>
      </c>
      <c r="E425" s="12" t="s">
        <v>1811</v>
      </c>
      <c r="F425" s="12" t="s">
        <v>1812</v>
      </c>
      <c r="G425" s="12" t="s">
        <v>1813</v>
      </c>
      <c r="H425" s="12" t="s">
        <v>1438</v>
      </c>
      <c r="I425" s="12" t="s">
        <v>1420</v>
      </c>
      <c r="J425" s="12" t="s">
        <v>1420</v>
      </c>
      <c r="K425" s="12" t="s">
        <v>1420</v>
      </c>
      <c r="L425" s="12" t="s">
        <v>1420</v>
      </c>
      <c r="M425" s="12" t="s">
        <v>1420</v>
      </c>
      <c r="N425" s="12" t="s">
        <v>1420</v>
      </c>
      <c r="O425" s="12" t="s">
        <v>1420</v>
      </c>
      <c r="P425" s="12" t="s">
        <v>1420</v>
      </c>
      <c r="Q425" s="12" t="s">
        <v>1420</v>
      </c>
      <c r="R425" s="12" t="s">
        <v>1420</v>
      </c>
      <c r="S425" s="12" t="s">
        <v>1420</v>
      </c>
      <c r="T425" s="12" t="s">
        <v>1420</v>
      </c>
      <c r="U425" s="12" t="s">
        <v>1420</v>
      </c>
      <c r="V425" s="12" t="s">
        <v>1414</v>
      </c>
      <c r="W425" s="12" t="s">
        <v>1420</v>
      </c>
      <c r="X425" s="12" t="s">
        <v>1414</v>
      </c>
      <c r="Y425" s="12" t="s">
        <v>1420</v>
      </c>
      <c r="Z425" s="12" t="s">
        <v>1420</v>
      </c>
      <c r="AA425" s="12" t="s">
        <v>1414</v>
      </c>
      <c r="AB425" s="12" t="s">
        <v>1420</v>
      </c>
      <c r="AC425" s="12" t="s">
        <v>1414</v>
      </c>
      <c r="AD425" s="12" t="s">
        <v>1420</v>
      </c>
      <c r="AE425" s="12" t="s">
        <v>1420</v>
      </c>
      <c r="AF425" s="12" t="s">
        <v>1414</v>
      </c>
      <c r="AG425" s="12" t="s">
        <v>1414</v>
      </c>
    </row>
    <row r="426" spans="1:33" ht="14.4" x14ac:dyDescent="0.3">
      <c r="A426" s="12" t="s">
        <v>345</v>
      </c>
      <c r="B426" s="12" t="s">
        <v>344</v>
      </c>
      <c r="C426" s="12" t="s">
        <v>343</v>
      </c>
      <c r="D426" s="12" t="s">
        <v>1410</v>
      </c>
      <c r="E426" s="12" t="s">
        <v>1718</v>
      </c>
      <c r="F426" s="12" t="s">
        <v>1719</v>
      </c>
      <c r="G426" s="12" t="s">
        <v>1720</v>
      </c>
      <c r="H426" s="12" t="s">
        <v>1488</v>
      </c>
      <c r="I426" s="12" t="s">
        <v>1420</v>
      </c>
      <c r="J426" s="12" t="s">
        <v>1420</v>
      </c>
      <c r="K426" s="12" t="s">
        <v>1420</v>
      </c>
      <c r="L426" s="12" t="s">
        <v>1420</v>
      </c>
      <c r="M426" s="12" t="s">
        <v>1420</v>
      </c>
      <c r="N426" s="12" t="s">
        <v>1420</v>
      </c>
      <c r="O426" s="12" t="s">
        <v>1414</v>
      </c>
      <c r="P426" s="12" t="s">
        <v>1420</v>
      </c>
      <c r="Q426" s="12" t="s">
        <v>1420</v>
      </c>
      <c r="R426" s="12" t="s">
        <v>1420</v>
      </c>
      <c r="S426" s="12" t="s">
        <v>1420</v>
      </c>
      <c r="T426" s="12" t="s">
        <v>1420</v>
      </c>
      <c r="U426" s="12" t="s">
        <v>1414</v>
      </c>
      <c r="V426" s="12" t="s">
        <v>1420</v>
      </c>
      <c r="W426" s="12" t="s">
        <v>1414</v>
      </c>
      <c r="X426" s="12" t="s">
        <v>1420</v>
      </c>
      <c r="Y426" s="12" t="s">
        <v>1420</v>
      </c>
      <c r="Z426" s="12" t="s">
        <v>1420</v>
      </c>
      <c r="AA426" s="12" t="s">
        <v>1420</v>
      </c>
      <c r="AB426" s="12" t="s">
        <v>1420</v>
      </c>
      <c r="AC426" s="12" t="s">
        <v>1420</v>
      </c>
      <c r="AD426" s="12" t="s">
        <v>1420</v>
      </c>
      <c r="AE426" s="12" t="s">
        <v>1420</v>
      </c>
      <c r="AF426" s="12" t="s">
        <v>1420</v>
      </c>
      <c r="AG426" s="12" t="s">
        <v>1414</v>
      </c>
    </row>
    <row r="427" spans="1:33" ht="14.4" x14ac:dyDescent="0.3">
      <c r="A427" s="12" t="s">
        <v>794</v>
      </c>
      <c r="B427" s="12" t="s">
        <v>879</v>
      </c>
      <c r="C427" s="12" t="s">
        <v>878</v>
      </c>
      <c r="D427" s="12" t="s">
        <v>1410</v>
      </c>
      <c r="E427" s="12" t="s">
        <v>1932</v>
      </c>
      <c r="F427" s="12" t="s">
        <v>1933</v>
      </c>
      <c r="G427" s="12" t="s">
        <v>1934</v>
      </c>
      <c r="H427" s="12" t="s">
        <v>1452</v>
      </c>
      <c r="I427" s="12" t="s">
        <v>1420</v>
      </c>
      <c r="J427" s="12" t="s">
        <v>1420</v>
      </c>
      <c r="K427" s="12" t="s">
        <v>1420</v>
      </c>
      <c r="L427" s="12" t="s">
        <v>1420</v>
      </c>
      <c r="M427" s="12" t="s">
        <v>1420</v>
      </c>
      <c r="N427" s="12" t="s">
        <v>1420</v>
      </c>
      <c r="O427" s="12" t="s">
        <v>1420</v>
      </c>
      <c r="P427" s="12" t="s">
        <v>1414</v>
      </c>
      <c r="Q427" s="12" t="s">
        <v>1420</v>
      </c>
      <c r="R427" s="12" t="s">
        <v>1420</v>
      </c>
      <c r="S427" s="12" t="s">
        <v>1420</v>
      </c>
      <c r="T427" s="12" t="s">
        <v>1420</v>
      </c>
      <c r="U427" s="12" t="s">
        <v>1420</v>
      </c>
      <c r="V427" s="12" t="s">
        <v>1420</v>
      </c>
      <c r="W427" s="12" t="s">
        <v>1420</v>
      </c>
      <c r="X427" s="12" t="s">
        <v>1420</v>
      </c>
      <c r="Y427" s="12" t="s">
        <v>1420</v>
      </c>
      <c r="Z427" s="12" t="s">
        <v>1420</v>
      </c>
      <c r="AA427" s="12" t="s">
        <v>1420</v>
      </c>
      <c r="AB427" s="12" t="s">
        <v>1420</v>
      </c>
      <c r="AC427" s="12" t="s">
        <v>1420</v>
      </c>
      <c r="AD427" s="12" t="s">
        <v>1420</v>
      </c>
      <c r="AE427" s="12" t="s">
        <v>1420</v>
      </c>
      <c r="AF427" s="12" t="s">
        <v>1420</v>
      </c>
      <c r="AG427" s="12" t="s">
        <v>1420</v>
      </c>
    </row>
    <row r="428" spans="1:33" ht="14.4" x14ac:dyDescent="0.3">
      <c r="A428" s="12" t="s">
        <v>5746</v>
      </c>
      <c r="B428" s="12" t="s">
        <v>5747</v>
      </c>
      <c r="C428" s="12" t="s">
        <v>5748</v>
      </c>
      <c r="D428" s="12" t="s">
        <v>1410</v>
      </c>
      <c r="E428" s="12" t="s">
        <v>5749</v>
      </c>
      <c r="F428" s="12" t="s">
        <v>5657</v>
      </c>
      <c r="G428" s="12" t="s">
        <v>4075</v>
      </c>
      <c r="H428" s="12" t="s">
        <v>1419</v>
      </c>
      <c r="I428" s="12" t="s">
        <v>1420</v>
      </c>
      <c r="J428" s="12" t="s">
        <v>1420</v>
      </c>
      <c r="K428" s="12" t="s">
        <v>1420</v>
      </c>
      <c r="L428" s="12" t="s">
        <v>1420</v>
      </c>
      <c r="M428" s="12" t="s">
        <v>1420</v>
      </c>
      <c r="N428" s="12" t="s">
        <v>1420</v>
      </c>
      <c r="O428" s="12" t="s">
        <v>1420</v>
      </c>
      <c r="P428" s="12" t="s">
        <v>1420</v>
      </c>
      <c r="Q428" s="12" t="s">
        <v>1420</v>
      </c>
      <c r="R428" s="12" t="s">
        <v>1420</v>
      </c>
      <c r="S428" s="12" t="s">
        <v>1420</v>
      </c>
      <c r="T428" s="12" t="s">
        <v>1414</v>
      </c>
      <c r="U428" s="12" t="s">
        <v>1420</v>
      </c>
      <c r="V428" s="12" t="s">
        <v>1420</v>
      </c>
      <c r="W428" s="12" t="s">
        <v>1414</v>
      </c>
      <c r="X428" s="12" t="s">
        <v>1420</v>
      </c>
      <c r="Y428" s="12" t="s">
        <v>1420</v>
      </c>
      <c r="Z428" s="12" t="s">
        <v>1420</v>
      </c>
      <c r="AA428" s="12" t="s">
        <v>1420</v>
      </c>
      <c r="AB428" s="12" t="s">
        <v>1420</v>
      </c>
      <c r="AC428" s="12" t="s">
        <v>1420</v>
      </c>
      <c r="AD428" s="12" t="s">
        <v>1420</v>
      </c>
      <c r="AE428" s="12" t="s">
        <v>1420</v>
      </c>
      <c r="AF428" s="12" t="s">
        <v>1420</v>
      </c>
      <c r="AG428" s="12" t="s">
        <v>1420</v>
      </c>
    </row>
    <row r="429" spans="1:33" ht="14.4" x14ac:dyDescent="0.3">
      <c r="A429" s="12" t="s">
        <v>123</v>
      </c>
      <c r="B429" s="12" t="s">
        <v>881</v>
      </c>
      <c r="C429" s="12" t="s">
        <v>880</v>
      </c>
      <c r="D429" s="12" t="s">
        <v>1410</v>
      </c>
      <c r="E429" s="12" t="s">
        <v>3146</v>
      </c>
      <c r="F429" s="12" t="s">
        <v>3147</v>
      </c>
      <c r="G429" s="12" t="s">
        <v>3114</v>
      </c>
      <c r="H429" s="12" t="s">
        <v>1438</v>
      </c>
      <c r="I429" s="12" t="s">
        <v>1420</v>
      </c>
      <c r="J429" s="12" t="s">
        <v>1420</v>
      </c>
      <c r="K429" s="12" t="s">
        <v>1420</v>
      </c>
      <c r="L429" s="12" t="s">
        <v>1420</v>
      </c>
      <c r="M429" s="12" t="s">
        <v>1420</v>
      </c>
      <c r="N429" s="12" t="s">
        <v>1414</v>
      </c>
      <c r="O429" s="12" t="s">
        <v>1420</v>
      </c>
      <c r="P429" s="12" t="s">
        <v>1414</v>
      </c>
      <c r="Q429" s="12" t="s">
        <v>1420</v>
      </c>
      <c r="R429" s="12" t="s">
        <v>1420</v>
      </c>
      <c r="S429" s="12" t="s">
        <v>1420</v>
      </c>
      <c r="T429" s="12" t="s">
        <v>1414</v>
      </c>
      <c r="U429" s="12" t="s">
        <v>1420</v>
      </c>
      <c r="V429" s="12" t="s">
        <v>1420</v>
      </c>
      <c r="W429" s="12" t="s">
        <v>1420</v>
      </c>
      <c r="X429" s="12" t="s">
        <v>1414</v>
      </c>
      <c r="Y429" s="12" t="s">
        <v>1420</v>
      </c>
      <c r="Z429" s="12" t="s">
        <v>1420</v>
      </c>
      <c r="AA429" s="12" t="s">
        <v>1420</v>
      </c>
      <c r="AB429" s="12" t="s">
        <v>1414</v>
      </c>
      <c r="AC429" s="12" t="s">
        <v>1420</v>
      </c>
      <c r="AD429" s="12" t="s">
        <v>1414</v>
      </c>
      <c r="AE429" s="12" t="s">
        <v>1420</v>
      </c>
      <c r="AF429" s="12" t="s">
        <v>1420</v>
      </c>
      <c r="AG429" s="12" t="s">
        <v>1420</v>
      </c>
    </row>
    <row r="430" spans="1:33" ht="14.4" x14ac:dyDescent="0.3">
      <c r="A430" s="12" t="s">
        <v>49</v>
      </c>
      <c r="B430" s="12" t="s">
        <v>1356</v>
      </c>
      <c r="C430" s="12" t="s">
        <v>1355</v>
      </c>
      <c r="D430" s="12" t="s">
        <v>1410</v>
      </c>
      <c r="E430" s="12" t="s">
        <v>2074</v>
      </c>
      <c r="F430" s="12" t="s">
        <v>2075</v>
      </c>
      <c r="G430" s="12" t="s">
        <v>1413</v>
      </c>
      <c r="H430" s="12" t="s">
        <v>1414</v>
      </c>
      <c r="I430" s="12" t="s">
        <v>1415</v>
      </c>
      <c r="J430" s="12" t="s">
        <v>1415</v>
      </c>
      <c r="K430" s="12" t="s">
        <v>1415</v>
      </c>
      <c r="L430" s="12" t="s">
        <v>1415</v>
      </c>
      <c r="M430" s="12" t="s">
        <v>1415</v>
      </c>
      <c r="N430" s="12" t="s">
        <v>1415</v>
      </c>
      <c r="O430" s="12" t="s">
        <v>1415</v>
      </c>
      <c r="P430" s="12" t="s">
        <v>1415</v>
      </c>
      <c r="Q430" s="12" t="s">
        <v>1415</v>
      </c>
      <c r="R430" s="12" t="s">
        <v>1415</v>
      </c>
      <c r="S430" s="12" t="s">
        <v>1415</v>
      </c>
      <c r="T430" s="12" t="s">
        <v>1415</v>
      </c>
      <c r="U430" s="12" t="s">
        <v>1415</v>
      </c>
      <c r="V430" s="12" t="s">
        <v>1415</v>
      </c>
      <c r="W430" s="12" t="s">
        <v>1415</v>
      </c>
      <c r="X430" s="12" t="s">
        <v>1415</v>
      </c>
      <c r="Y430" s="12" t="s">
        <v>1415</v>
      </c>
      <c r="Z430" s="12" t="s">
        <v>1415</v>
      </c>
      <c r="AA430" s="12" t="s">
        <v>1415</v>
      </c>
      <c r="AB430" s="12" t="s">
        <v>1415</v>
      </c>
      <c r="AC430" s="12" t="s">
        <v>1415</v>
      </c>
      <c r="AD430" s="12" t="s">
        <v>1415</v>
      </c>
      <c r="AE430" s="12" t="s">
        <v>1415</v>
      </c>
      <c r="AF430" s="12" t="s">
        <v>1415</v>
      </c>
      <c r="AG430" s="12" t="s">
        <v>1415</v>
      </c>
    </row>
    <row r="431" spans="1:33" ht="14.4" x14ac:dyDescent="0.3">
      <c r="A431" s="12" t="s">
        <v>49</v>
      </c>
      <c r="B431" s="12" t="s">
        <v>1356</v>
      </c>
      <c r="C431" s="12" t="s">
        <v>1355</v>
      </c>
      <c r="D431" s="12" t="s">
        <v>1410</v>
      </c>
      <c r="E431" s="12" t="s">
        <v>2274</v>
      </c>
      <c r="F431" s="12" t="s">
        <v>2275</v>
      </c>
      <c r="G431" s="12" t="s">
        <v>2276</v>
      </c>
      <c r="H431" s="12" t="s">
        <v>1464</v>
      </c>
      <c r="I431" s="12" t="s">
        <v>1420</v>
      </c>
      <c r="J431" s="12" t="s">
        <v>1420</v>
      </c>
      <c r="K431" s="12" t="s">
        <v>1420</v>
      </c>
      <c r="L431" s="12" t="s">
        <v>1420</v>
      </c>
      <c r="M431" s="12" t="s">
        <v>1420</v>
      </c>
      <c r="N431" s="12" t="s">
        <v>1420</v>
      </c>
      <c r="O431" s="12" t="s">
        <v>1420</v>
      </c>
      <c r="P431" s="12" t="s">
        <v>1420</v>
      </c>
      <c r="Q431" s="12" t="s">
        <v>1420</v>
      </c>
      <c r="R431" s="12" t="s">
        <v>1420</v>
      </c>
      <c r="S431" s="12" t="s">
        <v>1420</v>
      </c>
      <c r="T431" s="12" t="s">
        <v>1420</v>
      </c>
      <c r="U431" s="12" t="s">
        <v>1420</v>
      </c>
      <c r="V431" s="12" t="s">
        <v>1420</v>
      </c>
      <c r="W431" s="12" t="s">
        <v>1420</v>
      </c>
      <c r="X431" s="12" t="s">
        <v>1420</v>
      </c>
      <c r="Y431" s="12" t="s">
        <v>1420</v>
      </c>
      <c r="Z431" s="12" t="s">
        <v>1420</v>
      </c>
      <c r="AA431" s="12" t="s">
        <v>1420</v>
      </c>
      <c r="AB431" s="12" t="s">
        <v>1420</v>
      </c>
      <c r="AC431" s="12" t="s">
        <v>1420</v>
      </c>
      <c r="AD431" s="12" t="s">
        <v>1420</v>
      </c>
      <c r="AE431" s="12" t="s">
        <v>1420</v>
      </c>
      <c r="AF431" s="12" t="s">
        <v>1420</v>
      </c>
      <c r="AG431" s="12" t="s">
        <v>1420</v>
      </c>
    </row>
    <row r="432" spans="1:33" ht="14.4" x14ac:dyDescent="0.3">
      <c r="A432" s="12" t="s">
        <v>133</v>
      </c>
      <c r="B432" s="12" t="s">
        <v>883</v>
      </c>
      <c r="C432" s="12" t="s">
        <v>882</v>
      </c>
      <c r="D432" s="12" t="s">
        <v>1410</v>
      </c>
      <c r="E432" s="12" t="s">
        <v>3163</v>
      </c>
      <c r="F432" s="12" t="s">
        <v>3164</v>
      </c>
      <c r="G432" s="12" t="s">
        <v>3165</v>
      </c>
      <c r="H432" s="12" t="s">
        <v>1464</v>
      </c>
      <c r="I432" s="12" t="s">
        <v>1420</v>
      </c>
      <c r="J432" s="12" t="s">
        <v>1420</v>
      </c>
      <c r="K432" s="12" t="s">
        <v>1420</v>
      </c>
      <c r="L432" s="12" t="s">
        <v>1420</v>
      </c>
      <c r="M432" s="12" t="s">
        <v>1420</v>
      </c>
      <c r="N432" s="12" t="s">
        <v>1420</v>
      </c>
      <c r="O432" s="12" t="s">
        <v>1420</v>
      </c>
      <c r="P432" s="12" t="s">
        <v>1420</v>
      </c>
      <c r="Q432" s="12" t="s">
        <v>1420</v>
      </c>
      <c r="R432" s="12" t="s">
        <v>1420</v>
      </c>
      <c r="S432" s="12" t="s">
        <v>1420</v>
      </c>
      <c r="T432" s="12" t="s">
        <v>1420</v>
      </c>
      <c r="U432" s="12" t="s">
        <v>1420</v>
      </c>
      <c r="V432" s="12" t="s">
        <v>1420</v>
      </c>
      <c r="W432" s="12" t="s">
        <v>1420</v>
      </c>
      <c r="X432" s="12" t="s">
        <v>1420</v>
      </c>
      <c r="Y432" s="12" t="s">
        <v>1420</v>
      </c>
      <c r="Z432" s="12" t="s">
        <v>1420</v>
      </c>
      <c r="AA432" s="12" t="s">
        <v>1420</v>
      </c>
      <c r="AB432" s="12" t="s">
        <v>1420</v>
      </c>
      <c r="AC432" s="12" t="s">
        <v>1420</v>
      </c>
      <c r="AD432" s="12" t="s">
        <v>1420</v>
      </c>
      <c r="AE432" s="12" t="s">
        <v>1420</v>
      </c>
      <c r="AF432" s="12" t="s">
        <v>1420</v>
      </c>
      <c r="AG432" s="12" t="s">
        <v>1420</v>
      </c>
    </row>
    <row r="433" spans="1:33" ht="14.4" x14ac:dyDescent="0.3">
      <c r="A433" s="12" t="s">
        <v>794</v>
      </c>
      <c r="B433" s="12" t="s">
        <v>5750</v>
      </c>
      <c r="C433" s="12" t="s">
        <v>5751</v>
      </c>
      <c r="D433" s="12" t="s">
        <v>1410</v>
      </c>
      <c r="E433" s="12" t="s">
        <v>5752</v>
      </c>
      <c r="F433" s="12" t="s">
        <v>5753</v>
      </c>
      <c r="G433" s="12" t="s">
        <v>2868</v>
      </c>
      <c r="H433" s="12" t="s">
        <v>1488</v>
      </c>
      <c r="I433" s="12" t="s">
        <v>1420</v>
      </c>
      <c r="J433" s="12" t="s">
        <v>1414</v>
      </c>
      <c r="K433" s="12" t="s">
        <v>1420</v>
      </c>
      <c r="L433" s="12" t="s">
        <v>1420</v>
      </c>
      <c r="M433" s="12" t="s">
        <v>1420</v>
      </c>
      <c r="N433" s="12" t="s">
        <v>1420</v>
      </c>
      <c r="O433" s="12" t="s">
        <v>1420</v>
      </c>
      <c r="P433" s="12" t="s">
        <v>1420</v>
      </c>
      <c r="Q433" s="12" t="s">
        <v>1420</v>
      </c>
      <c r="R433" s="12" t="s">
        <v>1420</v>
      </c>
      <c r="S433" s="12" t="s">
        <v>1420</v>
      </c>
      <c r="T433" s="12" t="s">
        <v>1414</v>
      </c>
      <c r="U433" s="12" t="s">
        <v>1414</v>
      </c>
      <c r="V433" s="12" t="s">
        <v>1420</v>
      </c>
      <c r="W433" s="12" t="s">
        <v>1420</v>
      </c>
      <c r="X433" s="12" t="s">
        <v>1420</v>
      </c>
      <c r="Y433" s="12" t="s">
        <v>1420</v>
      </c>
      <c r="Z433" s="12" t="s">
        <v>1420</v>
      </c>
      <c r="AA433" s="12" t="s">
        <v>1420</v>
      </c>
      <c r="AB433" s="12" t="s">
        <v>1420</v>
      </c>
      <c r="AC433" s="12" t="s">
        <v>1420</v>
      </c>
      <c r="AD433" s="12" t="s">
        <v>1414</v>
      </c>
      <c r="AE433" s="12" t="s">
        <v>1420</v>
      </c>
      <c r="AF433" s="12" t="s">
        <v>1420</v>
      </c>
      <c r="AG433" s="12" t="s">
        <v>1420</v>
      </c>
    </row>
    <row r="434" spans="1:33" ht="14.4" x14ac:dyDescent="0.3">
      <c r="A434" s="12" t="s">
        <v>8</v>
      </c>
      <c r="B434" s="12" t="s">
        <v>885</v>
      </c>
      <c r="C434" s="12" t="s">
        <v>884</v>
      </c>
      <c r="D434" s="12" t="s">
        <v>1410</v>
      </c>
      <c r="E434" s="12" t="s">
        <v>1723</v>
      </c>
      <c r="F434" s="12" t="s">
        <v>1724</v>
      </c>
      <c r="G434" s="12" t="s">
        <v>1725</v>
      </c>
      <c r="H434" s="12" t="s">
        <v>1464</v>
      </c>
      <c r="I434" s="12" t="s">
        <v>1420</v>
      </c>
      <c r="J434" s="12" t="s">
        <v>1420</v>
      </c>
      <c r="K434" s="12" t="s">
        <v>1420</v>
      </c>
      <c r="L434" s="12" t="s">
        <v>1420</v>
      </c>
      <c r="M434" s="12" t="s">
        <v>1420</v>
      </c>
      <c r="N434" s="12" t="s">
        <v>1420</v>
      </c>
      <c r="O434" s="12" t="s">
        <v>1420</v>
      </c>
      <c r="P434" s="12" t="s">
        <v>1420</v>
      </c>
      <c r="Q434" s="12" t="s">
        <v>1420</v>
      </c>
      <c r="R434" s="12" t="s">
        <v>1420</v>
      </c>
      <c r="S434" s="12" t="s">
        <v>1420</v>
      </c>
      <c r="T434" s="12" t="s">
        <v>1420</v>
      </c>
      <c r="U434" s="12" t="s">
        <v>1420</v>
      </c>
      <c r="V434" s="12" t="s">
        <v>1420</v>
      </c>
      <c r="W434" s="12" t="s">
        <v>1420</v>
      </c>
      <c r="X434" s="12" t="s">
        <v>1420</v>
      </c>
      <c r="Y434" s="12" t="s">
        <v>1420</v>
      </c>
      <c r="Z434" s="12" t="s">
        <v>1420</v>
      </c>
      <c r="AA434" s="12" t="s">
        <v>1420</v>
      </c>
      <c r="AB434" s="12" t="s">
        <v>1420</v>
      </c>
      <c r="AC434" s="12" t="s">
        <v>1420</v>
      </c>
      <c r="AD434" s="12" t="s">
        <v>1420</v>
      </c>
      <c r="AE434" s="12" t="s">
        <v>1420</v>
      </c>
      <c r="AF434" s="12" t="s">
        <v>1420</v>
      </c>
      <c r="AG434" s="12" t="s">
        <v>1420</v>
      </c>
    </row>
    <row r="435" spans="1:33" ht="14.4" x14ac:dyDescent="0.3">
      <c r="A435" s="12" t="s">
        <v>19</v>
      </c>
      <c r="B435" s="12" t="s">
        <v>5754</v>
      </c>
      <c r="C435" s="12" t="s">
        <v>5755</v>
      </c>
      <c r="D435" s="12" t="s">
        <v>1410</v>
      </c>
      <c r="E435" s="12" t="s">
        <v>5756</v>
      </c>
      <c r="F435" s="12" t="s">
        <v>5757</v>
      </c>
      <c r="G435" s="12" t="s">
        <v>4534</v>
      </c>
      <c r="H435" s="12" t="s">
        <v>1419</v>
      </c>
      <c r="I435" s="12" t="s">
        <v>1420</v>
      </c>
      <c r="J435" s="12" t="s">
        <v>1420</v>
      </c>
      <c r="K435" s="12" t="s">
        <v>1420</v>
      </c>
      <c r="L435" s="12" t="s">
        <v>1420</v>
      </c>
      <c r="M435" s="12" t="s">
        <v>1420</v>
      </c>
      <c r="N435" s="12" t="s">
        <v>1420</v>
      </c>
      <c r="O435" s="12" t="s">
        <v>1420</v>
      </c>
      <c r="P435" s="12" t="s">
        <v>1420</v>
      </c>
      <c r="Q435" s="12" t="s">
        <v>1420</v>
      </c>
      <c r="R435" s="12" t="s">
        <v>1420</v>
      </c>
      <c r="S435" s="12" t="s">
        <v>1420</v>
      </c>
      <c r="T435" s="12" t="s">
        <v>1420</v>
      </c>
      <c r="U435" s="12" t="s">
        <v>1420</v>
      </c>
      <c r="V435" s="12" t="s">
        <v>1420</v>
      </c>
      <c r="W435" s="12" t="s">
        <v>1420</v>
      </c>
      <c r="X435" s="12" t="s">
        <v>1414</v>
      </c>
      <c r="Y435" s="12" t="s">
        <v>1420</v>
      </c>
      <c r="Z435" s="12" t="s">
        <v>1420</v>
      </c>
      <c r="AA435" s="12" t="s">
        <v>1420</v>
      </c>
      <c r="AB435" s="12" t="s">
        <v>1420</v>
      </c>
      <c r="AC435" s="12" t="s">
        <v>1414</v>
      </c>
      <c r="AD435" s="12" t="s">
        <v>1420</v>
      </c>
      <c r="AE435" s="12" t="s">
        <v>1420</v>
      </c>
      <c r="AF435" s="12" t="s">
        <v>1420</v>
      </c>
      <c r="AG435" s="12" t="s">
        <v>1420</v>
      </c>
    </row>
    <row r="436" spans="1:33" ht="14.4" x14ac:dyDescent="0.3">
      <c r="A436" s="12" t="s">
        <v>8</v>
      </c>
      <c r="B436" s="12" t="s">
        <v>5758</v>
      </c>
      <c r="C436" s="12" t="s">
        <v>5759</v>
      </c>
      <c r="D436" s="12" t="s">
        <v>1410</v>
      </c>
      <c r="E436" s="12" t="s">
        <v>5760</v>
      </c>
      <c r="F436" s="12" t="s">
        <v>5761</v>
      </c>
      <c r="G436" s="12" t="s">
        <v>5241</v>
      </c>
      <c r="H436" s="12" t="s">
        <v>1464</v>
      </c>
      <c r="I436" s="12" t="s">
        <v>1420</v>
      </c>
      <c r="J436" s="12" t="s">
        <v>1420</v>
      </c>
      <c r="K436" s="12" t="s">
        <v>1420</v>
      </c>
      <c r="L436" s="12" t="s">
        <v>1420</v>
      </c>
      <c r="M436" s="12" t="s">
        <v>1420</v>
      </c>
      <c r="N436" s="12" t="s">
        <v>1420</v>
      </c>
      <c r="O436" s="12" t="s">
        <v>1420</v>
      </c>
      <c r="P436" s="12" t="s">
        <v>1420</v>
      </c>
      <c r="Q436" s="12" t="s">
        <v>1420</v>
      </c>
      <c r="R436" s="12" t="s">
        <v>1420</v>
      </c>
      <c r="S436" s="12" t="s">
        <v>1420</v>
      </c>
      <c r="T436" s="12" t="s">
        <v>1420</v>
      </c>
      <c r="U436" s="12" t="s">
        <v>1420</v>
      </c>
      <c r="V436" s="12" t="s">
        <v>1420</v>
      </c>
      <c r="W436" s="12" t="s">
        <v>1420</v>
      </c>
      <c r="X436" s="12" t="s">
        <v>1420</v>
      </c>
      <c r="Y436" s="12" t="s">
        <v>1420</v>
      </c>
      <c r="Z436" s="12" t="s">
        <v>1420</v>
      </c>
      <c r="AA436" s="12" t="s">
        <v>1420</v>
      </c>
      <c r="AB436" s="12" t="s">
        <v>1420</v>
      </c>
      <c r="AC436" s="12" t="s">
        <v>1420</v>
      </c>
      <c r="AD436" s="12" t="s">
        <v>1420</v>
      </c>
      <c r="AE436" s="12" t="s">
        <v>1420</v>
      </c>
      <c r="AF436" s="12" t="s">
        <v>1420</v>
      </c>
      <c r="AG436" s="12" t="s">
        <v>1420</v>
      </c>
    </row>
    <row r="437" spans="1:33" ht="14.4" x14ac:dyDescent="0.3">
      <c r="A437" s="12" t="s">
        <v>31</v>
      </c>
      <c r="B437" s="12" t="s">
        <v>117</v>
      </c>
      <c r="C437" s="12" t="s">
        <v>116</v>
      </c>
      <c r="D437" s="12" t="s">
        <v>1410</v>
      </c>
      <c r="E437" s="12" t="s">
        <v>2111</v>
      </c>
      <c r="F437" s="12" t="s">
        <v>2114</v>
      </c>
      <c r="G437" s="12" t="s">
        <v>2115</v>
      </c>
      <c r="H437" s="12" t="s">
        <v>1448</v>
      </c>
      <c r="I437" s="12" t="s">
        <v>1420</v>
      </c>
      <c r="J437" s="12" t="s">
        <v>1414</v>
      </c>
      <c r="K437" s="12" t="s">
        <v>1420</v>
      </c>
      <c r="L437" s="12" t="s">
        <v>1414</v>
      </c>
      <c r="M437" s="12" t="s">
        <v>1420</v>
      </c>
      <c r="N437" s="12" t="s">
        <v>1414</v>
      </c>
      <c r="O437" s="12" t="s">
        <v>1420</v>
      </c>
      <c r="P437" s="12" t="s">
        <v>1414</v>
      </c>
      <c r="Q437" s="12" t="s">
        <v>1420</v>
      </c>
      <c r="R437" s="12" t="s">
        <v>1420</v>
      </c>
      <c r="S437" s="12" t="s">
        <v>1420</v>
      </c>
      <c r="T437" s="12" t="s">
        <v>1420</v>
      </c>
      <c r="U437" s="12" t="s">
        <v>1420</v>
      </c>
      <c r="V437" s="12" t="s">
        <v>1414</v>
      </c>
      <c r="W437" s="12" t="s">
        <v>1420</v>
      </c>
      <c r="X437" s="12" t="s">
        <v>1420</v>
      </c>
      <c r="Y437" s="12" t="s">
        <v>1420</v>
      </c>
      <c r="Z437" s="12" t="s">
        <v>1420</v>
      </c>
      <c r="AA437" s="12" t="s">
        <v>1420</v>
      </c>
      <c r="AB437" s="12" t="s">
        <v>1420</v>
      </c>
      <c r="AC437" s="12" t="s">
        <v>1420</v>
      </c>
      <c r="AD437" s="12" t="s">
        <v>1420</v>
      </c>
      <c r="AE437" s="12" t="s">
        <v>1420</v>
      </c>
      <c r="AF437" s="12" t="s">
        <v>1420</v>
      </c>
      <c r="AG437" s="12" t="s">
        <v>1420</v>
      </c>
    </row>
    <row r="438" spans="1:33" ht="14.4" x14ac:dyDescent="0.3">
      <c r="A438" s="12" t="s">
        <v>350</v>
      </c>
      <c r="B438" s="12" t="s">
        <v>349</v>
      </c>
      <c r="C438" s="12" t="s">
        <v>348</v>
      </c>
      <c r="D438" s="12" t="s">
        <v>1410</v>
      </c>
      <c r="E438" s="12" t="s">
        <v>1787</v>
      </c>
      <c r="F438" s="12" t="s">
        <v>1807</v>
      </c>
      <c r="G438" s="12" t="s">
        <v>1555</v>
      </c>
      <c r="H438" s="12" t="s">
        <v>1424</v>
      </c>
      <c r="I438" s="12" t="s">
        <v>1420</v>
      </c>
      <c r="J438" s="12" t="s">
        <v>1414</v>
      </c>
      <c r="K438" s="12" t="s">
        <v>1420</v>
      </c>
      <c r="L438" s="12" t="s">
        <v>1420</v>
      </c>
      <c r="M438" s="12" t="s">
        <v>1420</v>
      </c>
      <c r="N438" s="12" t="s">
        <v>1414</v>
      </c>
      <c r="O438" s="12" t="s">
        <v>1420</v>
      </c>
      <c r="P438" s="12" t="s">
        <v>1420</v>
      </c>
      <c r="Q438" s="12" t="s">
        <v>1420</v>
      </c>
      <c r="R438" s="12" t="s">
        <v>1420</v>
      </c>
      <c r="S438" s="12" t="s">
        <v>1420</v>
      </c>
      <c r="T438" s="12" t="s">
        <v>1420</v>
      </c>
      <c r="U438" s="12" t="s">
        <v>1420</v>
      </c>
      <c r="V438" s="12" t="s">
        <v>1420</v>
      </c>
      <c r="W438" s="12" t="s">
        <v>1420</v>
      </c>
      <c r="X438" s="12" t="s">
        <v>1420</v>
      </c>
      <c r="Y438" s="12" t="s">
        <v>1420</v>
      </c>
      <c r="Z438" s="12" t="s">
        <v>1420</v>
      </c>
      <c r="AA438" s="12" t="s">
        <v>1420</v>
      </c>
      <c r="AB438" s="12" t="s">
        <v>1420</v>
      </c>
      <c r="AC438" s="12" t="s">
        <v>1420</v>
      </c>
      <c r="AD438" s="12" t="s">
        <v>1414</v>
      </c>
      <c r="AE438" s="12" t="s">
        <v>1420</v>
      </c>
      <c r="AF438" s="12" t="s">
        <v>1420</v>
      </c>
      <c r="AG438" s="12" t="s">
        <v>1420</v>
      </c>
    </row>
    <row r="439" spans="1:33" ht="14.4" x14ac:dyDescent="0.3">
      <c r="A439" s="12" t="s">
        <v>42</v>
      </c>
      <c r="B439" s="12" t="s">
        <v>1108</v>
      </c>
      <c r="C439" s="12" t="s">
        <v>1107</v>
      </c>
      <c r="D439" s="12" t="s">
        <v>1410</v>
      </c>
      <c r="E439" s="12" t="s">
        <v>3138</v>
      </c>
      <c r="F439" s="12" t="s">
        <v>3139</v>
      </c>
      <c r="G439" s="12" t="s">
        <v>3140</v>
      </c>
      <c r="H439" s="12" t="s">
        <v>1428</v>
      </c>
      <c r="I439" s="12" t="s">
        <v>1420</v>
      </c>
      <c r="J439" s="12" t="s">
        <v>1414</v>
      </c>
      <c r="K439" s="12" t="s">
        <v>1420</v>
      </c>
      <c r="L439" s="12" t="s">
        <v>1414</v>
      </c>
      <c r="M439" s="12" t="s">
        <v>1420</v>
      </c>
      <c r="N439" s="12" t="s">
        <v>1414</v>
      </c>
      <c r="O439" s="12" t="s">
        <v>1414</v>
      </c>
      <c r="P439" s="12" t="s">
        <v>1414</v>
      </c>
      <c r="Q439" s="12" t="s">
        <v>1420</v>
      </c>
      <c r="R439" s="12" t="s">
        <v>1420</v>
      </c>
      <c r="S439" s="12" t="s">
        <v>1414</v>
      </c>
      <c r="T439" s="12" t="s">
        <v>1420</v>
      </c>
      <c r="U439" s="12" t="s">
        <v>1420</v>
      </c>
      <c r="V439" s="12" t="s">
        <v>1420</v>
      </c>
      <c r="W439" s="12" t="s">
        <v>1420</v>
      </c>
      <c r="X439" s="12" t="s">
        <v>1420</v>
      </c>
      <c r="Y439" s="12" t="s">
        <v>1420</v>
      </c>
      <c r="Z439" s="12" t="s">
        <v>1414</v>
      </c>
      <c r="AA439" s="12" t="s">
        <v>1420</v>
      </c>
      <c r="AB439" s="12" t="s">
        <v>1420</v>
      </c>
      <c r="AC439" s="12" t="s">
        <v>1420</v>
      </c>
      <c r="AD439" s="12" t="s">
        <v>1420</v>
      </c>
      <c r="AE439" s="12" t="s">
        <v>1420</v>
      </c>
      <c r="AF439" s="12" t="s">
        <v>1420</v>
      </c>
      <c r="AG439" s="12" t="s">
        <v>1420</v>
      </c>
    </row>
    <row r="440" spans="1:33" ht="14.4" x14ac:dyDescent="0.3">
      <c r="A440" s="12" t="s">
        <v>49</v>
      </c>
      <c r="B440" s="12" t="s">
        <v>887</v>
      </c>
      <c r="C440" s="12" t="s">
        <v>886</v>
      </c>
      <c r="D440" s="12" t="s">
        <v>1410</v>
      </c>
      <c r="E440" s="12" t="s">
        <v>2874</v>
      </c>
      <c r="F440" s="12" t="s">
        <v>2875</v>
      </c>
      <c r="G440" s="12" t="s">
        <v>2876</v>
      </c>
      <c r="H440" s="12" t="s">
        <v>1424</v>
      </c>
      <c r="I440" s="12" t="s">
        <v>1420</v>
      </c>
      <c r="J440" s="12" t="s">
        <v>1420</v>
      </c>
      <c r="K440" s="12" t="s">
        <v>1420</v>
      </c>
      <c r="L440" s="12" t="s">
        <v>1420</v>
      </c>
      <c r="M440" s="12" t="s">
        <v>1420</v>
      </c>
      <c r="N440" s="12" t="s">
        <v>1420</v>
      </c>
      <c r="O440" s="12" t="s">
        <v>1420</v>
      </c>
      <c r="P440" s="12" t="s">
        <v>1414</v>
      </c>
      <c r="Q440" s="12" t="s">
        <v>1420</v>
      </c>
      <c r="R440" s="12" t="s">
        <v>1420</v>
      </c>
      <c r="S440" s="12" t="s">
        <v>1414</v>
      </c>
      <c r="T440" s="12" t="s">
        <v>1420</v>
      </c>
      <c r="U440" s="12" t="s">
        <v>1420</v>
      </c>
      <c r="V440" s="12" t="s">
        <v>1420</v>
      </c>
      <c r="W440" s="12" t="s">
        <v>1420</v>
      </c>
      <c r="X440" s="12" t="s">
        <v>1414</v>
      </c>
      <c r="Y440" s="12" t="s">
        <v>1420</v>
      </c>
      <c r="Z440" s="12" t="s">
        <v>1420</v>
      </c>
      <c r="AA440" s="12" t="s">
        <v>1420</v>
      </c>
      <c r="AB440" s="12" t="s">
        <v>1420</v>
      </c>
      <c r="AC440" s="12" t="s">
        <v>1420</v>
      </c>
      <c r="AD440" s="12" t="s">
        <v>1420</v>
      </c>
      <c r="AE440" s="12" t="s">
        <v>1420</v>
      </c>
      <c r="AF440" s="12" t="s">
        <v>1420</v>
      </c>
      <c r="AG440" s="12" t="s">
        <v>1420</v>
      </c>
    </row>
    <row r="441" spans="1:33" ht="14.4" x14ac:dyDescent="0.3">
      <c r="A441" s="12" t="s">
        <v>353</v>
      </c>
      <c r="B441" s="12" t="s">
        <v>352</v>
      </c>
      <c r="C441" s="12" t="s">
        <v>351</v>
      </c>
      <c r="D441" s="12" t="s">
        <v>1410</v>
      </c>
      <c r="E441" s="12" t="s">
        <v>1650</v>
      </c>
      <c r="F441" s="12" t="s">
        <v>1651</v>
      </c>
      <c r="G441" s="12" t="s">
        <v>1652</v>
      </c>
      <c r="H441" s="12" t="s">
        <v>1452</v>
      </c>
      <c r="I441" s="12" t="s">
        <v>1420</v>
      </c>
      <c r="J441" s="12" t="s">
        <v>1420</v>
      </c>
      <c r="K441" s="12" t="s">
        <v>1420</v>
      </c>
      <c r="L441" s="12" t="s">
        <v>1420</v>
      </c>
      <c r="M441" s="12" t="s">
        <v>1420</v>
      </c>
      <c r="N441" s="12" t="s">
        <v>1414</v>
      </c>
      <c r="O441" s="12" t="s">
        <v>1420</v>
      </c>
      <c r="P441" s="12" t="s">
        <v>1420</v>
      </c>
      <c r="Q441" s="12" t="s">
        <v>1420</v>
      </c>
      <c r="R441" s="12" t="s">
        <v>1420</v>
      </c>
      <c r="S441" s="12" t="s">
        <v>1420</v>
      </c>
      <c r="T441" s="12" t="s">
        <v>1420</v>
      </c>
      <c r="U441" s="12" t="s">
        <v>1420</v>
      </c>
      <c r="V441" s="12" t="s">
        <v>1420</v>
      </c>
      <c r="W441" s="12" t="s">
        <v>1420</v>
      </c>
      <c r="X441" s="12" t="s">
        <v>1420</v>
      </c>
      <c r="Y441" s="12" t="s">
        <v>1420</v>
      </c>
      <c r="Z441" s="12" t="s">
        <v>1420</v>
      </c>
      <c r="AA441" s="12" t="s">
        <v>1420</v>
      </c>
      <c r="AB441" s="12" t="s">
        <v>1420</v>
      </c>
      <c r="AC441" s="12" t="s">
        <v>1420</v>
      </c>
      <c r="AD441" s="12" t="s">
        <v>1420</v>
      </c>
      <c r="AE441" s="12" t="s">
        <v>1420</v>
      </c>
      <c r="AF441" s="12" t="s">
        <v>1420</v>
      </c>
      <c r="AG441" s="12" t="s">
        <v>1420</v>
      </c>
    </row>
    <row r="442" spans="1:33" ht="14.4" x14ac:dyDescent="0.3">
      <c r="A442" s="12" t="s">
        <v>71</v>
      </c>
      <c r="B442" s="12" t="s">
        <v>5762</v>
      </c>
      <c r="C442" s="12" t="s">
        <v>5763</v>
      </c>
      <c r="D442" s="12" t="s">
        <v>1410</v>
      </c>
      <c r="E442" s="12" t="s">
        <v>5764</v>
      </c>
      <c r="F442" s="12" t="s">
        <v>5765</v>
      </c>
      <c r="G442" s="12" t="s">
        <v>5766</v>
      </c>
      <c r="H442" s="12" t="s">
        <v>1488</v>
      </c>
      <c r="I442" s="12" t="s">
        <v>1420</v>
      </c>
      <c r="J442" s="12" t="s">
        <v>1420</v>
      </c>
      <c r="K442" s="12" t="s">
        <v>1420</v>
      </c>
      <c r="L442" s="12" t="s">
        <v>1420</v>
      </c>
      <c r="M442" s="12" t="s">
        <v>1420</v>
      </c>
      <c r="N442" s="12" t="s">
        <v>1420</v>
      </c>
      <c r="O442" s="12" t="s">
        <v>1420</v>
      </c>
      <c r="P442" s="12" t="s">
        <v>1420</v>
      </c>
      <c r="Q442" s="12" t="s">
        <v>1420</v>
      </c>
      <c r="R442" s="12" t="s">
        <v>1420</v>
      </c>
      <c r="S442" s="12" t="s">
        <v>1414</v>
      </c>
      <c r="T442" s="12" t="s">
        <v>1420</v>
      </c>
      <c r="U442" s="12" t="s">
        <v>1420</v>
      </c>
      <c r="V442" s="12" t="s">
        <v>1420</v>
      </c>
      <c r="W442" s="12" t="s">
        <v>1420</v>
      </c>
      <c r="X442" s="12" t="s">
        <v>1420</v>
      </c>
      <c r="Y442" s="12" t="s">
        <v>1420</v>
      </c>
      <c r="Z442" s="12" t="s">
        <v>1414</v>
      </c>
      <c r="AA442" s="12" t="s">
        <v>1420</v>
      </c>
      <c r="AB442" s="12" t="s">
        <v>1420</v>
      </c>
      <c r="AC442" s="12" t="s">
        <v>1420</v>
      </c>
      <c r="AD442" s="12" t="s">
        <v>1414</v>
      </c>
      <c r="AE442" s="12" t="s">
        <v>1414</v>
      </c>
      <c r="AF442" s="12" t="s">
        <v>1420</v>
      </c>
      <c r="AG442" s="12" t="s">
        <v>1420</v>
      </c>
    </row>
    <row r="443" spans="1:33" ht="14.4" x14ac:dyDescent="0.3">
      <c r="A443" s="12" t="s">
        <v>8</v>
      </c>
      <c r="B443" s="12" t="s">
        <v>5767</v>
      </c>
      <c r="C443" s="12" t="s">
        <v>5768</v>
      </c>
      <c r="D443" s="12" t="s">
        <v>1410</v>
      </c>
      <c r="E443" s="12" t="s">
        <v>5503</v>
      </c>
      <c r="F443" s="12" t="s">
        <v>5504</v>
      </c>
      <c r="G443" s="12" t="s">
        <v>2129</v>
      </c>
      <c r="H443" s="12" t="s">
        <v>1419</v>
      </c>
      <c r="I443" s="12" t="s">
        <v>1420</v>
      </c>
      <c r="J443" s="12" t="s">
        <v>1414</v>
      </c>
      <c r="K443" s="12" t="s">
        <v>1420</v>
      </c>
      <c r="L443" s="12" t="s">
        <v>1420</v>
      </c>
      <c r="M443" s="12" t="s">
        <v>1420</v>
      </c>
      <c r="N443" s="12" t="s">
        <v>1420</v>
      </c>
      <c r="O443" s="12" t="s">
        <v>1420</v>
      </c>
      <c r="P443" s="12" t="s">
        <v>1420</v>
      </c>
      <c r="Q443" s="12" t="s">
        <v>1420</v>
      </c>
      <c r="R443" s="12" t="s">
        <v>1420</v>
      </c>
      <c r="S443" s="12" t="s">
        <v>1420</v>
      </c>
      <c r="T443" s="12" t="s">
        <v>1414</v>
      </c>
      <c r="U443" s="12" t="s">
        <v>1420</v>
      </c>
      <c r="V443" s="12" t="s">
        <v>1420</v>
      </c>
      <c r="W443" s="12" t="s">
        <v>1420</v>
      </c>
      <c r="X443" s="12" t="s">
        <v>1420</v>
      </c>
      <c r="Y443" s="12" t="s">
        <v>1420</v>
      </c>
      <c r="Z443" s="12" t="s">
        <v>1420</v>
      </c>
      <c r="AA443" s="12" t="s">
        <v>1420</v>
      </c>
      <c r="AB443" s="12" t="s">
        <v>1420</v>
      </c>
      <c r="AC443" s="12" t="s">
        <v>1420</v>
      </c>
      <c r="AD443" s="12" t="s">
        <v>1420</v>
      </c>
      <c r="AE443" s="12" t="s">
        <v>1420</v>
      </c>
      <c r="AF443" s="12" t="s">
        <v>1420</v>
      </c>
      <c r="AG443" s="12" t="s">
        <v>1420</v>
      </c>
    </row>
    <row r="444" spans="1:33" ht="14.4" x14ac:dyDescent="0.3">
      <c r="A444" s="12" t="s">
        <v>723</v>
      </c>
      <c r="B444" s="12" t="s">
        <v>722</v>
      </c>
      <c r="C444" s="12" t="s">
        <v>721</v>
      </c>
      <c r="D444" s="12" t="s">
        <v>1410</v>
      </c>
      <c r="E444" s="12" t="s">
        <v>3034</v>
      </c>
      <c r="F444" s="12" t="s">
        <v>3055</v>
      </c>
      <c r="G444" s="12" t="s">
        <v>3056</v>
      </c>
      <c r="H444" s="12" t="s">
        <v>1452</v>
      </c>
      <c r="I444" s="12" t="s">
        <v>1420</v>
      </c>
      <c r="J444" s="12" t="s">
        <v>1420</v>
      </c>
      <c r="K444" s="12" t="s">
        <v>1420</v>
      </c>
      <c r="L444" s="12" t="s">
        <v>1420</v>
      </c>
      <c r="M444" s="12" t="s">
        <v>1420</v>
      </c>
      <c r="N444" s="12" t="s">
        <v>1420</v>
      </c>
      <c r="O444" s="12" t="s">
        <v>1414</v>
      </c>
      <c r="P444" s="12" t="s">
        <v>1420</v>
      </c>
      <c r="Q444" s="12" t="s">
        <v>1420</v>
      </c>
      <c r="R444" s="12" t="s">
        <v>1420</v>
      </c>
      <c r="S444" s="12" t="s">
        <v>1420</v>
      </c>
      <c r="T444" s="12" t="s">
        <v>1420</v>
      </c>
      <c r="U444" s="12" t="s">
        <v>1420</v>
      </c>
      <c r="V444" s="12" t="s">
        <v>1420</v>
      </c>
      <c r="W444" s="12" t="s">
        <v>1420</v>
      </c>
      <c r="X444" s="12" t="s">
        <v>1420</v>
      </c>
      <c r="Y444" s="12" t="s">
        <v>1420</v>
      </c>
      <c r="Z444" s="12" t="s">
        <v>1420</v>
      </c>
      <c r="AA444" s="12" t="s">
        <v>1420</v>
      </c>
      <c r="AB444" s="12" t="s">
        <v>1420</v>
      </c>
      <c r="AC444" s="12" t="s">
        <v>1420</v>
      </c>
      <c r="AD444" s="12" t="s">
        <v>1420</v>
      </c>
      <c r="AE444" s="12" t="s">
        <v>1420</v>
      </c>
      <c r="AF444" s="12" t="s">
        <v>1420</v>
      </c>
      <c r="AG444" s="12" t="s">
        <v>1420</v>
      </c>
    </row>
    <row r="445" spans="1:33" ht="14.4" x14ac:dyDescent="0.3">
      <c r="A445" s="12" t="s">
        <v>120</v>
      </c>
      <c r="B445" s="12" t="s">
        <v>119</v>
      </c>
      <c r="C445" s="12" t="s">
        <v>118</v>
      </c>
      <c r="D445" s="12" t="s">
        <v>1410</v>
      </c>
      <c r="E445" s="12" t="s">
        <v>2130</v>
      </c>
      <c r="F445" s="12" t="s">
        <v>2133</v>
      </c>
      <c r="G445" s="12" t="s">
        <v>2134</v>
      </c>
      <c r="H445" s="12" t="s">
        <v>1452</v>
      </c>
      <c r="I445" s="12" t="s">
        <v>1420</v>
      </c>
      <c r="J445" s="12" t="s">
        <v>1420</v>
      </c>
      <c r="K445" s="12" t="s">
        <v>1420</v>
      </c>
      <c r="L445" s="12" t="s">
        <v>1420</v>
      </c>
      <c r="M445" s="12" t="s">
        <v>1420</v>
      </c>
      <c r="N445" s="12" t="s">
        <v>1420</v>
      </c>
      <c r="O445" s="12" t="s">
        <v>1420</v>
      </c>
      <c r="P445" s="12" t="s">
        <v>1420</v>
      </c>
      <c r="Q445" s="12" t="s">
        <v>1420</v>
      </c>
      <c r="R445" s="12" t="s">
        <v>1420</v>
      </c>
      <c r="S445" s="12" t="s">
        <v>1420</v>
      </c>
      <c r="T445" s="12" t="s">
        <v>1420</v>
      </c>
      <c r="U445" s="12" t="s">
        <v>1420</v>
      </c>
      <c r="V445" s="12" t="s">
        <v>1420</v>
      </c>
      <c r="W445" s="12" t="s">
        <v>1420</v>
      </c>
      <c r="X445" s="12" t="s">
        <v>1420</v>
      </c>
      <c r="Y445" s="12" t="s">
        <v>1420</v>
      </c>
      <c r="Z445" s="12" t="s">
        <v>1420</v>
      </c>
      <c r="AA445" s="12" t="s">
        <v>1420</v>
      </c>
      <c r="AB445" s="12" t="s">
        <v>1414</v>
      </c>
      <c r="AC445" s="12" t="s">
        <v>1420</v>
      </c>
      <c r="AD445" s="12" t="s">
        <v>1420</v>
      </c>
      <c r="AE445" s="12" t="s">
        <v>1420</v>
      </c>
      <c r="AF445" s="12" t="s">
        <v>1420</v>
      </c>
      <c r="AG445" s="12" t="s">
        <v>1420</v>
      </c>
    </row>
    <row r="446" spans="1:33" ht="14.4" x14ac:dyDescent="0.3">
      <c r="A446" s="12" t="s">
        <v>31</v>
      </c>
      <c r="B446" s="12" t="s">
        <v>119</v>
      </c>
      <c r="C446" s="12" t="s">
        <v>888</v>
      </c>
      <c r="D446" s="12" t="s">
        <v>1410</v>
      </c>
      <c r="E446" s="12" t="s">
        <v>2707</v>
      </c>
      <c r="F446" s="12" t="s">
        <v>2708</v>
      </c>
      <c r="G446" s="12" t="s">
        <v>2709</v>
      </c>
      <c r="H446" s="12" t="s">
        <v>1419</v>
      </c>
      <c r="I446" s="12" t="s">
        <v>1420</v>
      </c>
      <c r="J446" s="12" t="s">
        <v>1420</v>
      </c>
      <c r="K446" s="12" t="s">
        <v>1420</v>
      </c>
      <c r="L446" s="12" t="s">
        <v>1420</v>
      </c>
      <c r="M446" s="12" t="s">
        <v>1420</v>
      </c>
      <c r="N446" s="12" t="s">
        <v>1420</v>
      </c>
      <c r="O446" s="12" t="s">
        <v>1420</v>
      </c>
      <c r="P446" s="12" t="s">
        <v>1420</v>
      </c>
      <c r="Q446" s="12" t="s">
        <v>1420</v>
      </c>
      <c r="R446" s="12" t="s">
        <v>1420</v>
      </c>
      <c r="S446" s="12" t="s">
        <v>1420</v>
      </c>
      <c r="T446" s="12" t="s">
        <v>1420</v>
      </c>
      <c r="U446" s="12" t="s">
        <v>1420</v>
      </c>
      <c r="V446" s="12" t="s">
        <v>1420</v>
      </c>
      <c r="W446" s="12" t="s">
        <v>1420</v>
      </c>
      <c r="X446" s="12" t="s">
        <v>1414</v>
      </c>
      <c r="Y446" s="12" t="s">
        <v>1420</v>
      </c>
      <c r="Z446" s="12" t="s">
        <v>1420</v>
      </c>
      <c r="AA446" s="12" t="s">
        <v>1420</v>
      </c>
      <c r="AB446" s="12" t="s">
        <v>1420</v>
      </c>
      <c r="AC446" s="12" t="s">
        <v>1420</v>
      </c>
      <c r="AD446" s="12" t="s">
        <v>1414</v>
      </c>
      <c r="AE446" s="12" t="s">
        <v>1420</v>
      </c>
      <c r="AF446" s="12" t="s">
        <v>1420</v>
      </c>
      <c r="AG446" s="12" t="s">
        <v>1420</v>
      </c>
    </row>
    <row r="447" spans="1:33" ht="14.4" x14ac:dyDescent="0.3">
      <c r="A447" s="12" t="s">
        <v>8</v>
      </c>
      <c r="B447" s="12" t="s">
        <v>119</v>
      </c>
      <c r="C447" s="12" t="s">
        <v>3035</v>
      </c>
      <c r="D447" s="12" t="s">
        <v>1410</v>
      </c>
      <c r="E447" s="12" t="s">
        <v>3036</v>
      </c>
      <c r="F447" s="12" t="s">
        <v>3033</v>
      </c>
      <c r="G447" s="12" t="s">
        <v>2070</v>
      </c>
      <c r="H447" s="12" t="s">
        <v>1452</v>
      </c>
      <c r="I447" s="12" t="s">
        <v>1420</v>
      </c>
      <c r="J447" s="12" t="s">
        <v>1420</v>
      </c>
      <c r="K447" s="12" t="s">
        <v>1420</v>
      </c>
      <c r="L447" s="12" t="s">
        <v>1420</v>
      </c>
      <c r="M447" s="12" t="s">
        <v>1420</v>
      </c>
      <c r="N447" s="12" t="s">
        <v>1420</v>
      </c>
      <c r="O447" s="12" t="s">
        <v>1420</v>
      </c>
      <c r="P447" s="12" t="s">
        <v>1420</v>
      </c>
      <c r="Q447" s="12" t="s">
        <v>1420</v>
      </c>
      <c r="R447" s="12" t="s">
        <v>1420</v>
      </c>
      <c r="S447" s="12" t="s">
        <v>1420</v>
      </c>
      <c r="T447" s="12" t="s">
        <v>1420</v>
      </c>
      <c r="U447" s="12" t="s">
        <v>1420</v>
      </c>
      <c r="V447" s="12" t="s">
        <v>1420</v>
      </c>
      <c r="W447" s="12" t="s">
        <v>1420</v>
      </c>
      <c r="X447" s="12" t="s">
        <v>1414</v>
      </c>
      <c r="Y447" s="12" t="s">
        <v>1420</v>
      </c>
      <c r="Z447" s="12" t="s">
        <v>1420</v>
      </c>
      <c r="AA447" s="12" t="s">
        <v>1420</v>
      </c>
      <c r="AB447" s="12" t="s">
        <v>1420</v>
      </c>
      <c r="AC447" s="12" t="s">
        <v>1420</v>
      </c>
      <c r="AD447" s="12" t="s">
        <v>1420</v>
      </c>
      <c r="AE447" s="12" t="s">
        <v>1420</v>
      </c>
      <c r="AF447" s="12" t="s">
        <v>1420</v>
      </c>
      <c r="AG447" s="12" t="s">
        <v>1420</v>
      </c>
    </row>
    <row r="448" spans="1:33" ht="14.4" x14ac:dyDescent="0.3">
      <c r="A448" s="12" t="s">
        <v>947</v>
      </c>
      <c r="B448" s="12" t="s">
        <v>1212</v>
      </c>
      <c r="C448" s="12" t="s">
        <v>1211</v>
      </c>
      <c r="D448" s="12" t="s">
        <v>1410</v>
      </c>
      <c r="E448" s="12" t="s">
        <v>1767</v>
      </c>
      <c r="F448" s="12" t="s">
        <v>1765</v>
      </c>
      <c r="G448" s="12" t="s">
        <v>1629</v>
      </c>
      <c r="H448" s="12" t="s">
        <v>1419</v>
      </c>
      <c r="I448" s="12" t="s">
        <v>1420</v>
      </c>
      <c r="J448" s="12" t="s">
        <v>1420</v>
      </c>
      <c r="K448" s="12" t="s">
        <v>1420</v>
      </c>
      <c r="L448" s="12" t="s">
        <v>1420</v>
      </c>
      <c r="M448" s="12" t="s">
        <v>1420</v>
      </c>
      <c r="N448" s="12" t="s">
        <v>1420</v>
      </c>
      <c r="O448" s="12" t="s">
        <v>1420</v>
      </c>
      <c r="P448" s="12" t="s">
        <v>1414</v>
      </c>
      <c r="Q448" s="12" t="s">
        <v>1414</v>
      </c>
      <c r="R448" s="12" t="s">
        <v>1420</v>
      </c>
      <c r="S448" s="12" t="s">
        <v>1420</v>
      </c>
      <c r="T448" s="12" t="s">
        <v>1420</v>
      </c>
      <c r="U448" s="12" t="s">
        <v>1420</v>
      </c>
      <c r="V448" s="12" t="s">
        <v>1420</v>
      </c>
      <c r="W448" s="12" t="s">
        <v>1420</v>
      </c>
      <c r="X448" s="12" t="s">
        <v>1420</v>
      </c>
      <c r="Y448" s="12" t="s">
        <v>1420</v>
      </c>
      <c r="Z448" s="12" t="s">
        <v>1420</v>
      </c>
      <c r="AA448" s="12" t="s">
        <v>1420</v>
      </c>
      <c r="AB448" s="12" t="s">
        <v>1420</v>
      </c>
      <c r="AC448" s="12" t="s">
        <v>1420</v>
      </c>
      <c r="AD448" s="12" t="s">
        <v>1420</v>
      </c>
      <c r="AE448" s="12" t="s">
        <v>1420</v>
      </c>
      <c r="AF448" s="12" t="s">
        <v>1420</v>
      </c>
      <c r="AG448" s="12" t="s">
        <v>1420</v>
      </c>
    </row>
    <row r="449" spans="1:33" ht="14.4" x14ac:dyDescent="0.3">
      <c r="A449" s="12" t="s">
        <v>123</v>
      </c>
      <c r="B449" s="12" t="s">
        <v>122</v>
      </c>
      <c r="C449" s="12" t="s">
        <v>121</v>
      </c>
      <c r="D449" s="12" t="s">
        <v>1410</v>
      </c>
      <c r="E449" s="12" t="s">
        <v>2842</v>
      </c>
      <c r="F449" s="12" t="s">
        <v>2843</v>
      </c>
      <c r="G449" s="12" t="s">
        <v>1925</v>
      </c>
      <c r="H449" s="12" t="s">
        <v>1452</v>
      </c>
      <c r="I449" s="12" t="s">
        <v>1420</v>
      </c>
      <c r="J449" s="12" t="s">
        <v>1420</v>
      </c>
      <c r="K449" s="12" t="s">
        <v>1420</v>
      </c>
      <c r="L449" s="12" t="s">
        <v>1420</v>
      </c>
      <c r="M449" s="12" t="s">
        <v>1420</v>
      </c>
      <c r="N449" s="12" t="s">
        <v>1420</v>
      </c>
      <c r="O449" s="12" t="s">
        <v>1420</v>
      </c>
      <c r="P449" s="12" t="s">
        <v>1420</v>
      </c>
      <c r="Q449" s="12" t="s">
        <v>1420</v>
      </c>
      <c r="R449" s="12" t="s">
        <v>1420</v>
      </c>
      <c r="S449" s="12" t="s">
        <v>1420</v>
      </c>
      <c r="T449" s="12" t="s">
        <v>1420</v>
      </c>
      <c r="U449" s="12" t="s">
        <v>1420</v>
      </c>
      <c r="V449" s="12" t="s">
        <v>1414</v>
      </c>
      <c r="W449" s="12" t="s">
        <v>1420</v>
      </c>
      <c r="X449" s="12" t="s">
        <v>1420</v>
      </c>
      <c r="Y449" s="12" t="s">
        <v>1420</v>
      </c>
      <c r="Z449" s="12" t="s">
        <v>1420</v>
      </c>
      <c r="AA449" s="12" t="s">
        <v>1420</v>
      </c>
      <c r="AB449" s="12" t="s">
        <v>1420</v>
      </c>
      <c r="AC449" s="12" t="s">
        <v>1420</v>
      </c>
      <c r="AD449" s="12" t="s">
        <v>1420</v>
      </c>
      <c r="AE449" s="12" t="s">
        <v>1420</v>
      </c>
      <c r="AF449" s="12" t="s">
        <v>1420</v>
      </c>
      <c r="AG449" s="12" t="s">
        <v>1420</v>
      </c>
    </row>
    <row r="450" spans="1:33" ht="14.4" x14ac:dyDescent="0.3">
      <c r="A450" s="12" t="s">
        <v>31</v>
      </c>
      <c r="B450" s="12" t="s">
        <v>1360</v>
      </c>
      <c r="C450" s="12" t="s">
        <v>1359</v>
      </c>
      <c r="D450" s="12" t="s">
        <v>1410</v>
      </c>
      <c r="E450" s="12" t="s">
        <v>2389</v>
      </c>
      <c r="F450" s="12" t="s">
        <v>2390</v>
      </c>
      <c r="G450" s="12" t="s">
        <v>2369</v>
      </c>
      <c r="H450" s="12" t="s">
        <v>1464</v>
      </c>
      <c r="I450" s="12" t="s">
        <v>1420</v>
      </c>
      <c r="J450" s="12" t="s">
        <v>1420</v>
      </c>
      <c r="K450" s="12" t="s">
        <v>1420</v>
      </c>
      <c r="L450" s="12" t="s">
        <v>1420</v>
      </c>
      <c r="M450" s="12" t="s">
        <v>1420</v>
      </c>
      <c r="N450" s="12" t="s">
        <v>1420</v>
      </c>
      <c r="O450" s="12" t="s">
        <v>1420</v>
      </c>
      <c r="P450" s="12" t="s">
        <v>1420</v>
      </c>
      <c r="Q450" s="12" t="s">
        <v>1420</v>
      </c>
      <c r="R450" s="12" t="s">
        <v>1420</v>
      </c>
      <c r="S450" s="12" t="s">
        <v>1420</v>
      </c>
      <c r="T450" s="12" t="s">
        <v>1420</v>
      </c>
      <c r="U450" s="12" t="s">
        <v>1420</v>
      </c>
      <c r="V450" s="12" t="s">
        <v>1420</v>
      </c>
      <c r="W450" s="12" t="s">
        <v>1420</v>
      </c>
      <c r="X450" s="12" t="s">
        <v>1420</v>
      </c>
      <c r="Y450" s="12" t="s">
        <v>1420</v>
      </c>
      <c r="Z450" s="12" t="s">
        <v>1420</v>
      </c>
      <c r="AA450" s="12" t="s">
        <v>1420</v>
      </c>
      <c r="AB450" s="12" t="s">
        <v>1420</v>
      </c>
      <c r="AC450" s="12" t="s">
        <v>1420</v>
      </c>
      <c r="AD450" s="12" t="s">
        <v>1420</v>
      </c>
      <c r="AE450" s="12" t="s">
        <v>1420</v>
      </c>
      <c r="AF450" s="12" t="s">
        <v>1420</v>
      </c>
      <c r="AG450" s="12" t="s">
        <v>1420</v>
      </c>
    </row>
    <row r="451" spans="1:33" ht="14.4" x14ac:dyDescent="0.3">
      <c r="A451" s="12" t="s">
        <v>120</v>
      </c>
      <c r="B451" s="12" t="s">
        <v>5769</v>
      </c>
      <c r="C451" s="12" t="s">
        <v>5770</v>
      </c>
      <c r="D451" s="12" t="s">
        <v>1410</v>
      </c>
      <c r="E451" s="12" t="s">
        <v>5771</v>
      </c>
      <c r="F451" s="12" t="s">
        <v>5772</v>
      </c>
      <c r="G451" s="12" t="s">
        <v>5773</v>
      </c>
      <c r="H451" s="12" t="s">
        <v>1419</v>
      </c>
      <c r="I451" s="12" t="s">
        <v>1420</v>
      </c>
      <c r="J451" s="12" t="s">
        <v>1420</v>
      </c>
      <c r="K451" s="12" t="s">
        <v>1420</v>
      </c>
      <c r="L451" s="12" t="s">
        <v>1420</v>
      </c>
      <c r="M451" s="12" t="s">
        <v>1420</v>
      </c>
      <c r="N451" s="12" t="s">
        <v>1420</v>
      </c>
      <c r="O451" s="12" t="s">
        <v>1420</v>
      </c>
      <c r="P451" s="12" t="s">
        <v>1420</v>
      </c>
      <c r="Q451" s="12" t="s">
        <v>1420</v>
      </c>
      <c r="R451" s="12" t="s">
        <v>1420</v>
      </c>
      <c r="S451" s="12" t="s">
        <v>1420</v>
      </c>
      <c r="T451" s="12" t="s">
        <v>1420</v>
      </c>
      <c r="U451" s="12" t="s">
        <v>1420</v>
      </c>
      <c r="V451" s="12" t="s">
        <v>1420</v>
      </c>
      <c r="W451" s="12" t="s">
        <v>1420</v>
      </c>
      <c r="X451" s="12" t="s">
        <v>1414</v>
      </c>
      <c r="Y451" s="12" t="s">
        <v>1420</v>
      </c>
      <c r="Z451" s="12" t="s">
        <v>1420</v>
      </c>
      <c r="AA451" s="12" t="s">
        <v>1420</v>
      </c>
      <c r="AB451" s="12" t="s">
        <v>1420</v>
      </c>
      <c r="AC451" s="12" t="s">
        <v>1420</v>
      </c>
      <c r="AD451" s="12" t="s">
        <v>1420</v>
      </c>
      <c r="AE451" s="12" t="s">
        <v>1414</v>
      </c>
      <c r="AF451" s="12" t="s">
        <v>1420</v>
      </c>
      <c r="AG451" s="12" t="s">
        <v>1420</v>
      </c>
    </row>
    <row r="452" spans="1:33" ht="14.4" x14ac:dyDescent="0.3">
      <c r="A452" s="12" t="s">
        <v>22</v>
      </c>
      <c r="B452" s="12" t="s">
        <v>729</v>
      </c>
      <c r="C452" s="12" t="s">
        <v>728</v>
      </c>
      <c r="D452" s="12" t="s">
        <v>1410</v>
      </c>
      <c r="E452" s="12" t="s">
        <v>2076</v>
      </c>
      <c r="F452" s="12" t="s">
        <v>2077</v>
      </c>
      <c r="G452" s="12" t="s">
        <v>2078</v>
      </c>
      <c r="H452" s="12" t="s">
        <v>1464</v>
      </c>
      <c r="I452" s="12" t="s">
        <v>1420</v>
      </c>
      <c r="J452" s="12" t="s">
        <v>1420</v>
      </c>
      <c r="K452" s="12" t="s">
        <v>1420</v>
      </c>
      <c r="L452" s="12" t="s">
        <v>1420</v>
      </c>
      <c r="M452" s="12" t="s">
        <v>1420</v>
      </c>
      <c r="N452" s="12" t="s">
        <v>1420</v>
      </c>
      <c r="O452" s="12" t="s">
        <v>1420</v>
      </c>
      <c r="P452" s="12" t="s">
        <v>1420</v>
      </c>
      <c r="Q452" s="12" t="s">
        <v>1420</v>
      </c>
      <c r="R452" s="12" t="s">
        <v>1420</v>
      </c>
      <c r="S452" s="12" t="s">
        <v>1420</v>
      </c>
      <c r="T452" s="12" t="s">
        <v>1420</v>
      </c>
      <c r="U452" s="12" t="s">
        <v>1420</v>
      </c>
      <c r="V452" s="12" t="s">
        <v>1420</v>
      </c>
      <c r="W452" s="12" t="s">
        <v>1420</v>
      </c>
      <c r="X452" s="12" t="s">
        <v>1420</v>
      </c>
      <c r="Y452" s="12" t="s">
        <v>1420</v>
      </c>
      <c r="Z452" s="12" t="s">
        <v>1420</v>
      </c>
      <c r="AA452" s="12" t="s">
        <v>1420</v>
      </c>
      <c r="AB452" s="12" t="s">
        <v>1420</v>
      </c>
      <c r="AC452" s="12" t="s">
        <v>1420</v>
      </c>
      <c r="AD452" s="12" t="s">
        <v>1420</v>
      </c>
      <c r="AE452" s="12" t="s">
        <v>1420</v>
      </c>
      <c r="AF452" s="12" t="s">
        <v>1420</v>
      </c>
      <c r="AG452" s="12" t="s">
        <v>1420</v>
      </c>
    </row>
    <row r="453" spans="1:33" ht="14.4" x14ac:dyDescent="0.3">
      <c r="A453" s="12" t="s">
        <v>55</v>
      </c>
      <c r="B453" s="12" t="s">
        <v>5774</v>
      </c>
      <c r="C453" s="12" t="s">
        <v>5775</v>
      </c>
      <c r="D453" s="12" t="s">
        <v>1410</v>
      </c>
      <c r="E453" s="12" t="s">
        <v>5776</v>
      </c>
      <c r="F453" s="12" t="s">
        <v>5777</v>
      </c>
      <c r="G453" s="12" t="s">
        <v>5778</v>
      </c>
      <c r="H453" s="12" t="s">
        <v>1464</v>
      </c>
      <c r="I453" s="12" t="s">
        <v>1420</v>
      </c>
      <c r="J453" s="12" t="s">
        <v>1420</v>
      </c>
      <c r="K453" s="12" t="s">
        <v>1420</v>
      </c>
      <c r="L453" s="12" t="s">
        <v>1420</v>
      </c>
      <c r="M453" s="12" t="s">
        <v>1420</v>
      </c>
      <c r="N453" s="12" t="s">
        <v>1420</v>
      </c>
      <c r="O453" s="12" t="s">
        <v>1420</v>
      </c>
      <c r="P453" s="12" t="s">
        <v>1420</v>
      </c>
      <c r="Q453" s="12" t="s">
        <v>1420</v>
      </c>
      <c r="R453" s="12" t="s">
        <v>1420</v>
      </c>
      <c r="S453" s="12" t="s">
        <v>1420</v>
      </c>
      <c r="T453" s="12" t="s">
        <v>1420</v>
      </c>
      <c r="U453" s="12" t="s">
        <v>1420</v>
      </c>
      <c r="V453" s="12" t="s">
        <v>1420</v>
      </c>
      <c r="W453" s="12" t="s">
        <v>1420</v>
      </c>
      <c r="X453" s="12" t="s">
        <v>1420</v>
      </c>
      <c r="Y453" s="12" t="s">
        <v>1420</v>
      </c>
      <c r="Z453" s="12" t="s">
        <v>1420</v>
      </c>
      <c r="AA453" s="12" t="s">
        <v>1420</v>
      </c>
      <c r="AB453" s="12" t="s">
        <v>1420</v>
      </c>
      <c r="AC453" s="12" t="s">
        <v>1420</v>
      </c>
      <c r="AD453" s="12" t="s">
        <v>1420</v>
      </c>
      <c r="AE453" s="12" t="s">
        <v>1420</v>
      </c>
      <c r="AF453" s="12" t="s">
        <v>1420</v>
      </c>
      <c r="AG453" s="12" t="s">
        <v>1420</v>
      </c>
    </row>
    <row r="454" spans="1:33" ht="14.4" x14ac:dyDescent="0.3">
      <c r="A454" s="12" t="s">
        <v>8</v>
      </c>
      <c r="B454" s="12" t="s">
        <v>890</v>
      </c>
      <c r="C454" s="12" t="s">
        <v>889</v>
      </c>
      <c r="D454" s="12" t="s">
        <v>1410</v>
      </c>
      <c r="E454" s="12" t="s">
        <v>3148</v>
      </c>
      <c r="F454" s="12" t="s">
        <v>3147</v>
      </c>
      <c r="G454" s="12" t="s">
        <v>1601</v>
      </c>
      <c r="H454" s="12" t="s">
        <v>1438</v>
      </c>
      <c r="I454" s="12" t="s">
        <v>1420</v>
      </c>
      <c r="J454" s="12" t="s">
        <v>1420</v>
      </c>
      <c r="K454" s="12" t="s">
        <v>1420</v>
      </c>
      <c r="L454" s="12" t="s">
        <v>1420</v>
      </c>
      <c r="M454" s="12" t="s">
        <v>1420</v>
      </c>
      <c r="N454" s="12" t="s">
        <v>1414</v>
      </c>
      <c r="O454" s="12" t="s">
        <v>1420</v>
      </c>
      <c r="P454" s="12" t="s">
        <v>1414</v>
      </c>
      <c r="Q454" s="12" t="s">
        <v>1420</v>
      </c>
      <c r="R454" s="12" t="s">
        <v>1420</v>
      </c>
      <c r="S454" s="12" t="s">
        <v>1420</v>
      </c>
      <c r="T454" s="12" t="s">
        <v>1414</v>
      </c>
      <c r="U454" s="12" t="s">
        <v>1420</v>
      </c>
      <c r="V454" s="12" t="s">
        <v>1420</v>
      </c>
      <c r="W454" s="12" t="s">
        <v>1420</v>
      </c>
      <c r="X454" s="12" t="s">
        <v>1414</v>
      </c>
      <c r="Y454" s="12" t="s">
        <v>1420</v>
      </c>
      <c r="Z454" s="12" t="s">
        <v>1420</v>
      </c>
      <c r="AA454" s="12" t="s">
        <v>1414</v>
      </c>
      <c r="AB454" s="12" t="s">
        <v>1414</v>
      </c>
      <c r="AC454" s="12" t="s">
        <v>1420</v>
      </c>
      <c r="AD454" s="12" t="s">
        <v>1420</v>
      </c>
      <c r="AE454" s="12" t="s">
        <v>1420</v>
      </c>
      <c r="AF454" s="12" t="s">
        <v>1420</v>
      </c>
      <c r="AG454" s="12" t="s">
        <v>1420</v>
      </c>
    </row>
    <row r="455" spans="1:33" ht="14.4" x14ac:dyDescent="0.3">
      <c r="A455" s="12" t="s">
        <v>893</v>
      </c>
      <c r="B455" s="12" t="s">
        <v>892</v>
      </c>
      <c r="C455" s="12" t="s">
        <v>891</v>
      </c>
      <c r="D455" s="12" t="s">
        <v>1410</v>
      </c>
      <c r="E455" s="12" t="s">
        <v>2379</v>
      </c>
      <c r="F455" s="12" t="s">
        <v>2380</v>
      </c>
      <c r="G455" s="12" t="s">
        <v>2381</v>
      </c>
      <c r="H455" s="12" t="s">
        <v>1438</v>
      </c>
      <c r="I455" s="12" t="s">
        <v>1420</v>
      </c>
      <c r="J455" s="12" t="s">
        <v>1414</v>
      </c>
      <c r="K455" s="12" t="s">
        <v>1420</v>
      </c>
      <c r="L455" s="12" t="s">
        <v>1420</v>
      </c>
      <c r="M455" s="12" t="s">
        <v>1420</v>
      </c>
      <c r="N455" s="12" t="s">
        <v>1420</v>
      </c>
      <c r="O455" s="12" t="s">
        <v>1420</v>
      </c>
      <c r="P455" s="12" t="s">
        <v>1414</v>
      </c>
      <c r="Q455" s="12" t="s">
        <v>1420</v>
      </c>
      <c r="R455" s="12" t="s">
        <v>1414</v>
      </c>
      <c r="S455" s="12" t="s">
        <v>1420</v>
      </c>
      <c r="T455" s="12" t="s">
        <v>1420</v>
      </c>
      <c r="U455" s="12" t="s">
        <v>1420</v>
      </c>
      <c r="V455" s="12" t="s">
        <v>1420</v>
      </c>
      <c r="W455" s="12" t="s">
        <v>1420</v>
      </c>
      <c r="X455" s="12" t="s">
        <v>1420</v>
      </c>
      <c r="Y455" s="12" t="s">
        <v>1414</v>
      </c>
      <c r="Z455" s="12" t="s">
        <v>1420</v>
      </c>
      <c r="AA455" s="12" t="s">
        <v>1420</v>
      </c>
      <c r="AB455" s="12" t="s">
        <v>1414</v>
      </c>
      <c r="AC455" s="12" t="s">
        <v>1420</v>
      </c>
      <c r="AD455" s="12" t="s">
        <v>1414</v>
      </c>
      <c r="AE455" s="12" t="s">
        <v>1420</v>
      </c>
      <c r="AF455" s="12" t="s">
        <v>1420</v>
      </c>
      <c r="AG455" s="12" t="s">
        <v>1420</v>
      </c>
    </row>
    <row r="456" spans="1:33" ht="14.4" x14ac:dyDescent="0.3">
      <c r="A456" s="12" t="s">
        <v>11</v>
      </c>
      <c r="B456" s="12" t="s">
        <v>895</v>
      </c>
      <c r="C456" s="12" t="s">
        <v>894</v>
      </c>
      <c r="D456" s="12" t="s">
        <v>1410</v>
      </c>
      <c r="E456" s="12" t="s">
        <v>3166</v>
      </c>
      <c r="F456" s="12" t="s">
        <v>3167</v>
      </c>
      <c r="G456" s="12" t="s">
        <v>3168</v>
      </c>
      <c r="H456" s="12" t="s">
        <v>1448</v>
      </c>
      <c r="I456" s="12" t="s">
        <v>1420</v>
      </c>
      <c r="J456" s="12" t="s">
        <v>1420</v>
      </c>
      <c r="K456" s="12" t="s">
        <v>1420</v>
      </c>
      <c r="L456" s="12" t="s">
        <v>1420</v>
      </c>
      <c r="M456" s="12" t="s">
        <v>1420</v>
      </c>
      <c r="N456" s="12" t="s">
        <v>1420</v>
      </c>
      <c r="O456" s="12" t="s">
        <v>1414</v>
      </c>
      <c r="P456" s="12" t="s">
        <v>1420</v>
      </c>
      <c r="Q456" s="12" t="s">
        <v>1420</v>
      </c>
      <c r="R456" s="12" t="s">
        <v>1420</v>
      </c>
      <c r="S456" s="12" t="s">
        <v>1414</v>
      </c>
      <c r="T456" s="12" t="s">
        <v>1415</v>
      </c>
      <c r="U456" s="12" t="s">
        <v>1420</v>
      </c>
      <c r="V456" s="12" t="s">
        <v>1420</v>
      </c>
      <c r="W456" s="12" t="s">
        <v>1420</v>
      </c>
      <c r="X456" s="12" t="s">
        <v>1420</v>
      </c>
      <c r="Y456" s="12" t="s">
        <v>1420</v>
      </c>
      <c r="Z456" s="12" t="s">
        <v>1420</v>
      </c>
      <c r="AA456" s="12" t="s">
        <v>1420</v>
      </c>
      <c r="AB456" s="12" t="s">
        <v>1420</v>
      </c>
      <c r="AC456" s="12" t="s">
        <v>1414</v>
      </c>
      <c r="AD456" s="12" t="s">
        <v>1420</v>
      </c>
      <c r="AE456" s="12" t="s">
        <v>1414</v>
      </c>
      <c r="AF456" s="12" t="s">
        <v>1420</v>
      </c>
      <c r="AG456" s="12" t="s">
        <v>1420</v>
      </c>
    </row>
    <row r="457" spans="1:33" ht="14.4" x14ac:dyDescent="0.3">
      <c r="A457" s="12" t="s">
        <v>42</v>
      </c>
      <c r="B457" s="12" t="s">
        <v>1214</v>
      </c>
      <c r="C457" s="12" t="s">
        <v>1213</v>
      </c>
      <c r="D457" s="12" t="s">
        <v>1410</v>
      </c>
      <c r="E457" s="12" t="s">
        <v>2903</v>
      </c>
      <c r="F457" s="12" t="s">
        <v>2904</v>
      </c>
      <c r="G457" s="12" t="s">
        <v>2896</v>
      </c>
      <c r="H457" s="12" t="s">
        <v>1488</v>
      </c>
      <c r="I457" s="12" t="s">
        <v>1420</v>
      </c>
      <c r="J457" s="12" t="s">
        <v>1420</v>
      </c>
      <c r="K457" s="12" t="s">
        <v>1420</v>
      </c>
      <c r="L457" s="12" t="s">
        <v>1420</v>
      </c>
      <c r="M457" s="12" t="s">
        <v>1420</v>
      </c>
      <c r="N457" s="12" t="s">
        <v>1420</v>
      </c>
      <c r="O457" s="12" t="s">
        <v>1420</v>
      </c>
      <c r="P457" s="12" t="s">
        <v>1414</v>
      </c>
      <c r="Q457" s="12" t="s">
        <v>1420</v>
      </c>
      <c r="R457" s="12" t="s">
        <v>1420</v>
      </c>
      <c r="S457" s="12" t="s">
        <v>1420</v>
      </c>
      <c r="T457" s="12" t="s">
        <v>1420</v>
      </c>
      <c r="U457" s="12" t="s">
        <v>1420</v>
      </c>
      <c r="V457" s="12" t="s">
        <v>1414</v>
      </c>
      <c r="W457" s="12" t="s">
        <v>1414</v>
      </c>
      <c r="X457" s="12" t="s">
        <v>1420</v>
      </c>
      <c r="Y457" s="12" t="s">
        <v>1420</v>
      </c>
      <c r="Z457" s="12" t="s">
        <v>1420</v>
      </c>
      <c r="AA457" s="12" t="s">
        <v>1414</v>
      </c>
      <c r="AB457" s="12" t="s">
        <v>1420</v>
      </c>
      <c r="AC457" s="12" t="s">
        <v>1420</v>
      </c>
      <c r="AD457" s="12" t="s">
        <v>1420</v>
      </c>
      <c r="AE457" s="12" t="s">
        <v>1420</v>
      </c>
      <c r="AF457" s="12" t="s">
        <v>1420</v>
      </c>
      <c r="AG457" s="12" t="s">
        <v>1420</v>
      </c>
    </row>
    <row r="458" spans="1:33" ht="14.4" x14ac:dyDescent="0.3">
      <c r="A458" s="12" t="s">
        <v>133</v>
      </c>
      <c r="B458" s="12" t="s">
        <v>1110</v>
      </c>
      <c r="C458" s="12" t="s">
        <v>1109</v>
      </c>
      <c r="D458" s="12" t="s">
        <v>1410</v>
      </c>
      <c r="E458" s="12" t="s">
        <v>2635</v>
      </c>
      <c r="F458" s="12" t="s">
        <v>2636</v>
      </c>
      <c r="G458" s="12" t="s">
        <v>2029</v>
      </c>
      <c r="H458" s="12" t="s">
        <v>1419</v>
      </c>
      <c r="I458" s="12" t="s">
        <v>1420</v>
      </c>
      <c r="J458" s="12" t="s">
        <v>1420</v>
      </c>
      <c r="K458" s="12" t="s">
        <v>1420</v>
      </c>
      <c r="L458" s="12" t="s">
        <v>1420</v>
      </c>
      <c r="M458" s="12" t="s">
        <v>1420</v>
      </c>
      <c r="N458" s="12" t="s">
        <v>1420</v>
      </c>
      <c r="O458" s="12" t="s">
        <v>1420</v>
      </c>
      <c r="P458" s="12" t="s">
        <v>1420</v>
      </c>
      <c r="Q458" s="12" t="s">
        <v>1420</v>
      </c>
      <c r="R458" s="12" t="s">
        <v>1420</v>
      </c>
      <c r="S458" s="12" t="s">
        <v>1420</v>
      </c>
      <c r="T458" s="12" t="s">
        <v>1420</v>
      </c>
      <c r="U458" s="12" t="s">
        <v>1420</v>
      </c>
      <c r="V458" s="12" t="s">
        <v>1420</v>
      </c>
      <c r="W458" s="12" t="s">
        <v>1420</v>
      </c>
      <c r="X458" s="12" t="s">
        <v>1420</v>
      </c>
      <c r="Y458" s="12" t="s">
        <v>1420</v>
      </c>
      <c r="Z458" s="12" t="s">
        <v>1420</v>
      </c>
      <c r="AA458" s="12" t="s">
        <v>1414</v>
      </c>
      <c r="AB458" s="12" t="s">
        <v>1420</v>
      </c>
      <c r="AC458" s="12" t="s">
        <v>1420</v>
      </c>
      <c r="AD458" s="12" t="s">
        <v>1414</v>
      </c>
      <c r="AE458" s="12" t="s">
        <v>1420</v>
      </c>
      <c r="AF458" s="12" t="s">
        <v>1420</v>
      </c>
      <c r="AG458" s="12" t="s">
        <v>1420</v>
      </c>
    </row>
    <row r="459" spans="1:33" ht="14.4" x14ac:dyDescent="0.3">
      <c r="A459" s="12" t="s">
        <v>8</v>
      </c>
      <c r="B459" s="12" t="s">
        <v>897</v>
      </c>
      <c r="C459" s="12" t="s">
        <v>896</v>
      </c>
      <c r="D459" s="12" t="s">
        <v>1410</v>
      </c>
      <c r="E459" s="12" t="s">
        <v>3149</v>
      </c>
      <c r="F459" s="12" t="s">
        <v>3150</v>
      </c>
      <c r="G459" s="12" t="s">
        <v>3151</v>
      </c>
      <c r="H459" s="12" t="s">
        <v>1424</v>
      </c>
      <c r="I459" s="12" t="s">
        <v>1420</v>
      </c>
      <c r="J459" s="12" t="s">
        <v>1420</v>
      </c>
      <c r="K459" s="12" t="s">
        <v>1420</v>
      </c>
      <c r="L459" s="12" t="s">
        <v>1420</v>
      </c>
      <c r="M459" s="12" t="s">
        <v>1420</v>
      </c>
      <c r="N459" s="12" t="s">
        <v>1420</v>
      </c>
      <c r="O459" s="12" t="s">
        <v>1414</v>
      </c>
      <c r="P459" s="12" t="s">
        <v>1414</v>
      </c>
      <c r="Q459" s="12" t="s">
        <v>1420</v>
      </c>
      <c r="R459" s="12" t="s">
        <v>1420</v>
      </c>
      <c r="S459" s="12" t="s">
        <v>1420</v>
      </c>
      <c r="T459" s="12" t="s">
        <v>1420</v>
      </c>
      <c r="U459" s="12" t="s">
        <v>1420</v>
      </c>
      <c r="V459" s="12" t="s">
        <v>1420</v>
      </c>
      <c r="W459" s="12" t="s">
        <v>1420</v>
      </c>
      <c r="X459" s="12" t="s">
        <v>1414</v>
      </c>
      <c r="Y459" s="12" t="s">
        <v>1420</v>
      </c>
      <c r="Z459" s="12" t="s">
        <v>1420</v>
      </c>
      <c r="AA459" s="12" t="s">
        <v>1420</v>
      </c>
      <c r="AB459" s="12" t="s">
        <v>1420</v>
      </c>
      <c r="AC459" s="12" t="s">
        <v>1420</v>
      </c>
      <c r="AD459" s="12" t="s">
        <v>1420</v>
      </c>
      <c r="AE459" s="12" t="s">
        <v>1420</v>
      </c>
      <c r="AF459" s="12" t="s">
        <v>1420</v>
      </c>
      <c r="AG459" s="12" t="s">
        <v>1420</v>
      </c>
    </row>
    <row r="460" spans="1:33" ht="14.4" x14ac:dyDescent="0.3">
      <c r="A460" s="12" t="s">
        <v>28</v>
      </c>
      <c r="B460" s="12" t="s">
        <v>1216</v>
      </c>
      <c r="C460" s="12" t="s">
        <v>1215</v>
      </c>
      <c r="D460" s="12" t="s">
        <v>1410</v>
      </c>
      <c r="E460" s="12" t="s">
        <v>3133</v>
      </c>
      <c r="F460" s="12" t="s">
        <v>3134</v>
      </c>
      <c r="G460" s="12" t="s">
        <v>3135</v>
      </c>
      <c r="H460" s="12" t="s">
        <v>1606</v>
      </c>
      <c r="I460" s="12" t="s">
        <v>1420</v>
      </c>
      <c r="J460" s="12" t="s">
        <v>1420</v>
      </c>
      <c r="K460" s="12" t="s">
        <v>1420</v>
      </c>
      <c r="L460" s="12" t="s">
        <v>1420</v>
      </c>
      <c r="M460" s="12" t="s">
        <v>1420</v>
      </c>
      <c r="N460" s="12" t="s">
        <v>1420</v>
      </c>
      <c r="O460" s="12" t="s">
        <v>1420</v>
      </c>
      <c r="P460" s="12" t="s">
        <v>1420</v>
      </c>
      <c r="Q460" s="12" t="s">
        <v>1420</v>
      </c>
      <c r="R460" s="12" t="s">
        <v>1420</v>
      </c>
      <c r="S460" s="12" t="s">
        <v>1414</v>
      </c>
      <c r="T460" s="12" t="s">
        <v>1420</v>
      </c>
      <c r="U460" s="12" t="s">
        <v>1420</v>
      </c>
      <c r="V460" s="12" t="s">
        <v>1420</v>
      </c>
      <c r="W460" s="12" t="s">
        <v>1414</v>
      </c>
      <c r="X460" s="12" t="s">
        <v>1414</v>
      </c>
      <c r="Y460" s="12" t="s">
        <v>1414</v>
      </c>
      <c r="Z460" s="12" t="s">
        <v>1420</v>
      </c>
      <c r="AA460" s="12" t="s">
        <v>1420</v>
      </c>
      <c r="AB460" s="12" t="s">
        <v>1420</v>
      </c>
      <c r="AC460" s="12" t="s">
        <v>1414</v>
      </c>
      <c r="AD460" s="12" t="s">
        <v>1414</v>
      </c>
      <c r="AE460" s="12" t="s">
        <v>1414</v>
      </c>
      <c r="AF460" s="12" t="s">
        <v>1414</v>
      </c>
      <c r="AG460" s="12" t="s">
        <v>1420</v>
      </c>
    </row>
    <row r="461" spans="1:33" ht="14.4" x14ac:dyDescent="0.3">
      <c r="A461" s="12" t="s">
        <v>126</v>
      </c>
      <c r="B461" s="12" t="s">
        <v>5779</v>
      </c>
      <c r="C461" s="12" t="s">
        <v>5780</v>
      </c>
      <c r="D461" s="12" t="s">
        <v>1410</v>
      </c>
      <c r="E461" s="12" t="s">
        <v>5781</v>
      </c>
      <c r="F461" s="12" t="s">
        <v>5555</v>
      </c>
      <c r="G461" s="12" t="s">
        <v>1912</v>
      </c>
      <c r="H461" s="12" t="s">
        <v>1419</v>
      </c>
      <c r="I461" s="12" t="s">
        <v>1420</v>
      </c>
      <c r="J461" s="12" t="s">
        <v>1420</v>
      </c>
      <c r="K461" s="12" t="s">
        <v>1420</v>
      </c>
      <c r="L461" s="12" t="s">
        <v>1420</v>
      </c>
      <c r="M461" s="12" t="s">
        <v>1420</v>
      </c>
      <c r="N461" s="12" t="s">
        <v>1414</v>
      </c>
      <c r="O461" s="12" t="s">
        <v>1420</v>
      </c>
      <c r="P461" s="12" t="s">
        <v>1420</v>
      </c>
      <c r="Q461" s="12" t="s">
        <v>1420</v>
      </c>
      <c r="R461" s="12" t="s">
        <v>1420</v>
      </c>
      <c r="S461" s="12" t="s">
        <v>1420</v>
      </c>
      <c r="T461" s="12" t="s">
        <v>1420</v>
      </c>
      <c r="U461" s="12" t="s">
        <v>1420</v>
      </c>
      <c r="V461" s="12" t="s">
        <v>1420</v>
      </c>
      <c r="W461" s="12" t="s">
        <v>1420</v>
      </c>
      <c r="X461" s="12" t="s">
        <v>1420</v>
      </c>
      <c r="Y461" s="12" t="s">
        <v>1420</v>
      </c>
      <c r="Z461" s="12" t="s">
        <v>1420</v>
      </c>
      <c r="AA461" s="12" t="s">
        <v>1420</v>
      </c>
      <c r="AB461" s="12" t="s">
        <v>1420</v>
      </c>
      <c r="AC461" s="12" t="s">
        <v>1420</v>
      </c>
      <c r="AD461" s="12" t="s">
        <v>1420</v>
      </c>
      <c r="AE461" s="12" t="s">
        <v>1414</v>
      </c>
      <c r="AF461" s="12" t="s">
        <v>1420</v>
      </c>
      <c r="AG461" s="12" t="s">
        <v>1420</v>
      </c>
    </row>
    <row r="462" spans="1:33" ht="14.4" x14ac:dyDescent="0.3">
      <c r="A462" s="12" t="s">
        <v>31</v>
      </c>
      <c r="B462" s="12" t="s">
        <v>5782</v>
      </c>
      <c r="C462" s="12" t="s">
        <v>5783</v>
      </c>
      <c r="D462" s="12" t="s">
        <v>1410</v>
      </c>
      <c r="E462" s="12" t="s">
        <v>5784</v>
      </c>
      <c r="F462" s="12" t="s">
        <v>5785</v>
      </c>
      <c r="G462" s="12" t="s">
        <v>2070</v>
      </c>
      <c r="H462" s="12" t="s">
        <v>1464</v>
      </c>
      <c r="I462" s="12" t="s">
        <v>1420</v>
      </c>
      <c r="J462" s="12" t="s">
        <v>1420</v>
      </c>
      <c r="K462" s="12" t="s">
        <v>1420</v>
      </c>
      <c r="L462" s="12" t="s">
        <v>1420</v>
      </c>
      <c r="M462" s="12" t="s">
        <v>1420</v>
      </c>
      <c r="N462" s="12" t="s">
        <v>1420</v>
      </c>
      <c r="O462" s="12" t="s">
        <v>1420</v>
      </c>
      <c r="P462" s="12" t="s">
        <v>1420</v>
      </c>
      <c r="Q462" s="12" t="s">
        <v>1420</v>
      </c>
      <c r="R462" s="12" t="s">
        <v>1420</v>
      </c>
      <c r="S462" s="12" t="s">
        <v>1420</v>
      </c>
      <c r="T462" s="12" t="s">
        <v>1420</v>
      </c>
      <c r="U462" s="12" t="s">
        <v>1420</v>
      </c>
      <c r="V462" s="12" t="s">
        <v>1420</v>
      </c>
      <c r="W462" s="12" t="s">
        <v>1420</v>
      </c>
      <c r="X462" s="12" t="s">
        <v>1420</v>
      </c>
      <c r="Y462" s="12" t="s">
        <v>1420</v>
      </c>
      <c r="Z462" s="12" t="s">
        <v>1420</v>
      </c>
      <c r="AA462" s="12" t="s">
        <v>1420</v>
      </c>
      <c r="AB462" s="12" t="s">
        <v>1420</v>
      </c>
      <c r="AC462" s="12" t="s">
        <v>1420</v>
      </c>
      <c r="AD462" s="12" t="s">
        <v>1420</v>
      </c>
      <c r="AE462" s="12" t="s">
        <v>1420</v>
      </c>
      <c r="AF462" s="12" t="s">
        <v>1420</v>
      </c>
      <c r="AG462" s="12" t="s">
        <v>1420</v>
      </c>
    </row>
    <row r="463" spans="1:33" ht="14.4" x14ac:dyDescent="0.3">
      <c r="A463" s="12" t="s">
        <v>55</v>
      </c>
      <c r="B463" s="12" t="s">
        <v>5786</v>
      </c>
      <c r="C463" s="12" t="s">
        <v>5787</v>
      </c>
      <c r="D463" s="12" t="s">
        <v>1410</v>
      </c>
      <c r="E463" s="12" t="s">
        <v>5788</v>
      </c>
      <c r="F463" s="12" t="s">
        <v>5789</v>
      </c>
      <c r="G463" s="12" t="s">
        <v>5790</v>
      </c>
      <c r="H463" s="12" t="s">
        <v>1464</v>
      </c>
      <c r="I463" s="12" t="s">
        <v>1420</v>
      </c>
      <c r="J463" s="12" t="s">
        <v>1420</v>
      </c>
      <c r="K463" s="12" t="s">
        <v>1420</v>
      </c>
      <c r="L463" s="12" t="s">
        <v>1420</v>
      </c>
      <c r="M463" s="12" t="s">
        <v>1420</v>
      </c>
      <c r="N463" s="12" t="s">
        <v>1420</v>
      </c>
      <c r="O463" s="12" t="s">
        <v>1420</v>
      </c>
      <c r="P463" s="12" t="s">
        <v>1420</v>
      </c>
      <c r="Q463" s="12" t="s">
        <v>1420</v>
      </c>
      <c r="R463" s="12" t="s">
        <v>1420</v>
      </c>
      <c r="S463" s="12" t="s">
        <v>1420</v>
      </c>
      <c r="T463" s="12" t="s">
        <v>1420</v>
      </c>
      <c r="U463" s="12" t="s">
        <v>1420</v>
      </c>
      <c r="V463" s="12" t="s">
        <v>1420</v>
      </c>
      <c r="W463" s="12" t="s">
        <v>1420</v>
      </c>
      <c r="X463" s="12" t="s">
        <v>1420</v>
      </c>
      <c r="Y463" s="12" t="s">
        <v>1420</v>
      </c>
      <c r="Z463" s="12" t="s">
        <v>1420</v>
      </c>
      <c r="AA463" s="12" t="s">
        <v>1420</v>
      </c>
      <c r="AB463" s="12" t="s">
        <v>1420</v>
      </c>
      <c r="AC463" s="12" t="s">
        <v>1420</v>
      </c>
      <c r="AD463" s="12" t="s">
        <v>1420</v>
      </c>
      <c r="AE463" s="12" t="s">
        <v>1420</v>
      </c>
      <c r="AF463" s="12" t="s">
        <v>1420</v>
      </c>
      <c r="AG463" s="12" t="s">
        <v>1420</v>
      </c>
    </row>
    <row r="464" spans="1:33" ht="14.4" x14ac:dyDescent="0.3">
      <c r="A464" s="12" t="s">
        <v>66</v>
      </c>
      <c r="B464" s="12" t="s">
        <v>1218</v>
      </c>
      <c r="C464" s="12" t="s">
        <v>1217</v>
      </c>
      <c r="D464" s="12" t="s">
        <v>1410</v>
      </c>
      <c r="E464" s="12" t="s">
        <v>2833</v>
      </c>
      <c r="F464" s="12" t="s">
        <v>2834</v>
      </c>
      <c r="G464" s="12" t="s">
        <v>2835</v>
      </c>
      <c r="H464" s="12" t="s">
        <v>1428</v>
      </c>
      <c r="I464" s="12" t="s">
        <v>1420</v>
      </c>
      <c r="J464" s="12" t="s">
        <v>1414</v>
      </c>
      <c r="K464" s="12" t="s">
        <v>1420</v>
      </c>
      <c r="L464" s="12" t="s">
        <v>1420</v>
      </c>
      <c r="M464" s="12" t="s">
        <v>1420</v>
      </c>
      <c r="N464" s="12" t="s">
        <v>1414</v>
      </c>
      <c r="O464" s="12" t="s">
        <v>1420</v>
      </c>
      <c r="P464" s="12" t="s">
        <v>1414</v>
      </c>
      <c r="Q464" s="12" t="s">
        <v>1420</v>
      </c>
      <c r="R464" s="12" t="s">
        <v>1420</v>
      </c>
      <c r="S464" s="12" t="s">
        <v>1420</v>
      </c>
      <c r="T464" s="12" t="s">
        <v>1420</v>
      </c>
      <c r="U464" s="12" t="s">
        <v>1420</v>
      </c>
      <c r="V464" s="12" t="s">
        <v>1420</v>
      </c>
      <c r="W464" s="12" t="s">
        <v>1420</v>
      </c>
      <c r="X464" s="12" t="s">
        <v>1414</v>
      </c>
      <c r="Y464" s="12" t="s">
        <v>1420</v>
      </c>
      <c r="Z464" s="12" t="s">
        <v>1420</v>
      </c>
      <c r="AA464" s="12" t="s">
        <v>1420</v>
      </c>
      <c r="AB464" s="12" t="s">
        <v>1420</v>
      </c>
      <c r="AC464" s="12" t="s">
        <v>1414</v>
      </c>
      <c r="AD464" s="12" t="s">
        <v>1414</v>
      </c>
      <c r="AE464" s="12" t="s">
        <v>1414</v>
      </c>
      <c r="AF464" s="12" t="s">
        <v>1420</v>
      </c>
      <c r="AG464" s="12" t="s">
        <v>1420</v>
      </c>
    </row>
    <row r="465" spans="1:33" ht="14.4" x14ac:dyDescent="0.3">
      <c r="A465" s="12" t="s">
        <v>5791</v>
      </c>
      <c r="B465" s="12" t="s">
        <v>5792</v>
      </c>
      <c r="C465" s="12" t="s">
        <v>5793</v>
      </c>
      <c r="D465" s="12" t="s">
        <v>1410</v>
      </c>
      <c r="E465" s="12" t="s">
        <v>5543</v>
      </c>
      <c r="F465" s="12" t="s">
        <v>5594</v>
      </c>
      <c r="G465" s="12" t="s">
        <v>5794</v>
      </c>
      <c r="H465" s="12" t="s">
        <v>1448</v>
      </c>
      <c r="I465" s="12" t="s">
        <v>1420</v>
      </c>
      <c r="J465" s="12" t="s">
        <v>1420</v>
      </c>
      <c r="K465" s="12" t="s">
        <v>1420</v>
      </c>
      <c r="L465" s="12" t="s">
        <v>1420</v>
      </c>
      <c r="M465" s="12" t="s">
        <v>1420</v>
      </c>
      <c r="N465" s="12" t="s">
        <v>1420</v>
      </c>
      <c r="O465" s="12" t="s">
        <v>1420</v>
      </c>
      <c r="P465" s="12" t="s">
        <v>1420</v>
      </c>
      <c r="Q465" s="12" t="s">
        <v>1420</v>
      </c>
      <c r="R465" s="12" t="s">
        <v>1420</v>
      </c>
      <c r="S465" s="12" t="s">
        <v>1420</v>
      </c>
      <c r="T465" s="12" t="s">
        <v>1420</v>
      </c>
      <c r="U465" s="12" t="s">
        <v>1420</v>
      </c>
      <c r="V465" s="12" t="s">
        <v>1420</v>
      </c>
      <c r="W465" s="12" t="s">
        <v>1420</v>
      </c>
      <c r="X465" s="12" t="s">
        <v>1420</v>
      </c>
      <c r="Y465" s="12" t="s">
        <v>1414</v>
      </c>
      <c r="Z465" s="12" t="s">
        <v>1420</v>
      </c>
      <c r="AA465" s="12" t="s">
        <v>1420</v>
      </c>
      <c r="AB465" s="12" t="s">
        <v>1420</v>
      </c>
      <c r="AC465" s="12" t="s">
        <v>1414</v>
      </c>
      <c r="AD465" s="12" t="s">
        <v>1420</v>
      </c>
      <c r="AE465" s="12" t="s">
        <v>1414</v>
      </c>
      <c r="AF465" s="12" t="s">
        <v>1414</v>
      </c>
      <c r="AG465" s="12" t="s">
        <v>1414</v>
      </c>
    </row>
    <row r="466" spans="1:33" ht="14.4" x14ac:dyDescent="0.3">
      <c r="A466" s="12" t="s">
        <v>31</v>
      </c>
      <c r="B466" s="12" t="s">
        <v>5795</v>
      </c>
      <c r="C466" s="12" t="s">
        <v>5796</v>
      </c>
      <c r="D466" s="12" t="s">
        <v>1410</v>
      </c>
      <c r="E466" s="12" t="s">
        <v>5797</v>
      </c>
      <c r="F466" s="12" t="s">
        <v>5798</v>
      </c>
      <c r="G466" s="12" t="s">
        <v>1836</v>
      </c>
      <c r="H466" s="12" t="s">
        <v>1452</v>
      </c>
      <c r="I466" s="12" t="s">
        <v>1420</v>
      </c>
      <c r="J466" s="12" t="s">
        <v>1420</v>
      </c>
      <c r="K466" s="12" t="s">
        <v>1420</v>
      </c>
      <c r="L466" s="12" t="s">
        <v>1420</v>
      </c>
      <c r="M466" s="12" t="s">
        <v>1420</v>
      </c>
      <c r="N466" s="12" t="s">
        <v>1420</v>
      </c>
      <c r="O466" s="12" t="s">
        <v>1414</v>
      </c>
      <c r="P466" s="12" t="s">
        <v>1420</v>
      </c>
      <c r="Q466" s="12" t="s">
        <v>1420</v>
      </c>
      <c r="R466" s="12" t="s">
        <v>1420</v>
      </c>
      <c r="S466" s="12" t="s">
        <v>1420</v>
      </c>
      <c r="T466" s="12" t="s">
        <v>1420</v>
      </c>
      <c r="U466" s="12" t="s">
        <v>1420</v>
      </c>
      <c r="V466" s="12" t="s">
        <v>1420</v>
      </c>
      <c r="W466" s="12" t="s">
        <v>1420</v>
      </c>
      <c r="X466" s="12" t="s">
        <v>1420</v>
      </c>
      <c r="Y466" s="12" t="s">
        <v>1420</v>
      </c>
      <c r="Z466" s="12" t="s">
        <v>1420</v>
      </c>
      <c r="AA466" s="12" t="s">
        <v>1420</v>
      </c>
      <c r="AB466" s="12" t="s">
        <v>1420</v>
      </c>
      <c r="AC466" s="12" t="s">
        <v>1420</v>
      </c>
      <c r="AD466" s="12" t="s">
        <v>1420</v>
      </c>
      <c r="AE466" s="12" t="s">
        <v>1420</v>
      </c>
      <c r="AF466" s="12" t="s">
        <v>1420</v>
      </c>
      <c r="AG466" s="12" t="s">
        <v>1420</v>
      </c>
    </row>
    <row r="467" spans="1:33" ht="14.4" x14ac:dyDescent="0.3">
      <c r="A467" s="12" t="s">
        <v>126</v>
      </c>
      <c r="B467" s="12" t="s">
        <v>125</v>
      </c>
      <c r="C467" s="12" t="s">
        <v>124</v>
      </c>
      <c r="D467" s="12" t="s">
        <v>1410</v>
      </c>
      <c r="E467" s="12" t="s">
        <v>2098</v>
      </c>
      <c r="F467" s="12" t="s">
        <v>2099</v>
      </c>
      <c r="G467" s="12" t="s">
        <v>2101</v>
      </c>
      <c r="H467" s="12" t="s">
        <v>1464</v>
      </c>
      <c r="I467" s="12" t="s">
        <v>1420</v>
      </c>
      <c r="J467" s="12" t="s">
        <v>1420</v>
      </c>
      <c r="K467" s="12" t="s">
        <v>1420</v>
      </c>
      <c r="L467" s="12" t="s">
        <v>1420</v>
      </c>
      <c r="M467" s="12" t="s">
        <v>1420</v>
      </c>
      <c r="N467" s="12" t="s">
        <v>1420</v>
      </c>
      <c r="O467" s="12" t="s">
        <v>1420</v>
      </c>
      <c r="P467" s="12" t="s">
        <v>1420</v>
      </c>
      <c r="Q467" s="12" t="s">
        <v>1420</v>
      </c>
      <c r="R467" s="12" t="s">
        <v>1420</v>
      </c>
      <c r="S467" s="12" t="s">
        <v>1420</v>
      </c>
      <c r="T467" s="12" t="s">
        <v>1420</v>
      </c>
      <c r="U467" s="12" t="s">
        <v>1420</v>
      </c>
      <c r="V467" s="12" t="s">
        <v>1420</v>
      </c>
      <c r="W467" s="12" t="s">
        <v>1420</v>
      </c>
      <c r="X467" s="12" t="s">
        <v>1420</v>
      </c>
      <c r="Y467" s="12" t="s">
        <v>1420</v>
      </c>
      <c r="Z467" s="12" t="s">
        <v>1420</v>
      </c>
      <c r="AA467" s="12" t="s">
        <v>1420</v>
      </c>
      <c r="AB467" s="12" t="s">
        <v>1420</v>
      </c>
      <c r="AC467" s="12" t="s">
        <v>1420</v>
      </c>
      <c r="AD467" s="12" t="s">
        <v>1420</v>
      </c>
      <c r="AE467" s="12" t="s">
        <v>1420</v>
      </c>
      <c r="AF467" s="12" t="s">
        <v>1420</v>
      </c>
      <c r="AG467" s="12" t="s">
        <v>1420</v>
      </c>
    </row>
    <row r="468" spans="1:33" ht="14.4" x14ac:dyDescent="0.3">
      <c r="A468" s="12" t="s">
        <v>19</v>
      </c>
      <c r="B468" s="12" t="s">
        <v>425</v>
      </c>
      <c r="C468" s="12" t="s">
        <v>424</v>
      </c>
      <c r="D468" s="12" t="s">
        <v>1410</v>
      </c>
      <c r="E468" s="12" t="s">
        <v>1850</v>
      </c>
      <c r="F468" s="12" t="s">
        <v>1851</v>
      </c>
      <c r="G468" s="12" t="s">
        <v>1852</v>
      </c>
      <c r="H468" s="12" t="s">
        <v>1438</v>
      </c>
      <c r="I468" s="12" t="s">
        <v>1420</v>
      </c>
      <c r="J468" s="12" t="s">
        <v>1420</v>
      </c>
      <c r="K468" s="12" t="s">
        <v>1420</v>
      </c>
      <c r="L468" s="12" t="s">
        <v>1420</v>
      </c>
      <c r="M468" s="12" t="s">
        <v>1420</v>
      </c>
      <c r="N468" s="12" t="s">
        <v>1414</v>
      </c>
      <c r="O468" s="12" t="s">
        <v>1414</v>
      </c>
      <c r="P468" s="12" t="s">
        <v>1414</v>
      </c>
      <c r="Q468" s="12" t="s">
        <v>1414</v>
      </c>
      <c r="R468" s="12" t="s">
        <v>1420</v>
      </c>
      <c r="S468" s="12" t="s">
        <v>1414</v>
      </c>
      <c r="T468" s="12" t="s">
        <v>1420</v>
      </c>
      <c r="U468" s="12" t="s">
        <v>1420</v>
      </c>
      <c r="V468" s="12" t="s">
        <v>1420</v>
      </c>
      <c r="W468" s="12" t="s">
        <v>1420</v>
      </c>
      <c r="X468" s="12" t="s">
        <v>1420</v>
      </c>
      <c r="Y468" s="12" t="s">
        <v>1414</v>
      </c>
      <c r="Z468" s="12" t="s">
        <v>1420</v>
      </c>
      <c r="AA468" s="12" t="s">
        <v>1420</v>
      </c>
      <c r="AB468" s="12" t="s">
        <v>1420</v>
      </c>
      <c r="AC468" s="12" t="s">
        <v>1420</v>
      </c>
      <c r="AD468" s="12" t="s">
        <v>1420</v>
      </c>
      <c r="AE468" s="12" t="s">
        <v>1420</v>
      </c>
      <c r="AF468" s="12" t="s">
        <v>1420</v>
      </c>
      <c r="AG468" s="12" t="s">
        <v>1420</v>
      </c>
    </row>
    <row r="469" spans="1:33" ht="14.4" x14ac:dyDescent="0.3">
      <c r="A469" s="12" t="s">
        <v>19</v>
      </c>
      <c r="B469" s="12" t="s">
        <v>5799</v>
      </c>
      <c r="C469" s="12" t="s">
        <v>5800</v>
      </c>
      <c r="D469" s="12" t="s">
        <v>1410</v>
      </c>
      <c r="E469" s="12" t="s">
        <v>5680</v>
      </c>
      <c r="F469" s="12" t="s">
        <v>5801</v>
      </c>
      <c r="G469" s="12" t="s">
        <v>5802</v>
      </c>
      <c r="H469" s="12" t="s">
        <v>2435</v>
      </c>
      <c r="I469" s="12" t="s">
        <v>1414</v>
      </c>
      <c r="J469" s="12" t="s">
        <v>1414</v>
      </c>
      <c r="K469" s="12" t="s">
        <v>1414</v>
      </c>
      <c r="L469" s="12" t="s">
        <v>1414</v>
      </c>
      <c r="M469" s="12" t="s">
        <v>1414</v>
      </c>
      <c r="N469" s="12" t="s">
        <v>1414</v>
      </c>
      <c r="O469" s="12" t="s">
        <v>1414</v>
      </c>
      <c r="P469" s="12" t="s">
        <v>1414</v>
      </c>
      <c r="Q469" s="12" t="s">
        <v>1420</v>
      </c>
      <c r="R469" s="12" t="s">
        <v>1414</v>
      </c>
      <c r="S469" s="12" t="s">
        <v>1414</v>
      </c>
      <c r="T469" s="12" t="s">
        <v>1414</v>
      </c>
      <c r="U469" s="12" t="s">
        <v>1414</v>
      </c>
      <c r="V469" s="12" t="s">
        <v>1414</v>
      </c>
      <c r="W469" s="12" t="s">
        <v>1414</v>
      </c>
      <c r="X469" s="12" t="s">
        <v>1414</v>
      </c>
      <c r="Y469" s="12" t="s">
        <v>1414</v>
      </c>
      <c r="Z469" s="12" t="s">
        <v>1414</v>
      </c>
      <c r="AA469" s="12" t="s">
        <v>1414</v>
      </c>
      <c r="AB469" s="12" t="s">
        <v>1414</v>
      </c>
      <c r="AC469" s="12" t="s">
        <v>1414</v>
      </c>
      <c r="AD469" s="12" t="s">
        <v>1414</v>
      </c>
      <c r="AE469" s="12" t="s">
        <v>1420</v>
      </c>
      <c r="AF469" s="12" t="s">
        <v>1414</v>
      </c>
      <c r="AG469" s="12" t="s">
        <v>1414</v>
      </c>
    </row>
    <row r="470" spans="1:33" ht="14.4" x14ac:dyDescent="0.3">
      <c r="A470" s="12" t="s">
        <v>19</v>
      </c>
      <c r="B470" s="12" t="s">
        <v>128</v>
      </c>
      <c r="C470" s="12" t="s">
        <v>127</v>
      </c>
      <c r="D470" s="12" t="s">
        <v>1410</v>
      </c>
      <c r="E470" s="12" t="s">
        <v>2195</v>
      </c>
      <c r="F470" s="12" t="s">
        <v>2196</v>
      </c>
      <c r="G470" s="12" t="s">
        <v>1801</v>
      </c>
      <c r="H470" s="12" t="s">
        <v>1438</v>
      </c>
      <c r="I470" s="12" t="s">
        <v>1420</v>
      </c>
      <c r="J470" s="12" t="s">
        <v>1414</v>
      </c>
      <c r="K470" s="12" t="s">
        <v>1414</v>
      </c>
      <c r="L470" s="12" t="s">
        <v>1420</v>
      </c>
      <c r="M470" s="12" t="s">
        <v>1420</v>
      </c>
      <c r="N470" s="12" t="s">
        <v>1414</v>
      </c>
      <c r="O470" s="12" t="s">
        <v>1420</v>
      </c>
      <c r="P470" s="12" t="s">
        <v>1420</v>
      </c>
      <c r="Q470" s="12" t="s">
        <v>1420</v>
      </c>
      <c r="R470" s="12" t="s">
        <v>1420</v>
      </c>
      <c r="S470" s="12" t="s">
        <v>1414</v>
      </c>
      <c r="T470" s="12" t="s">
        <v>1420</v>
      </c>
      <c r="U470" s="12" t="s">
        <v>1414</v>
      </c>
      <c r="V470" s="12" t="s">
        <v>1420</v>
      </c>
      <c r="W470" s="12" t="s">
        <v>1420</v>
      </c>
      <c r="X470" s="12" t="s">
        <v>1414</v>
      </c>
      <c r="Y470" s="12" t="s">
        <v>1420</v>
      </c>
      <c r="Z470" s="12" t="s">
        <v>1420</v>
      </c>
      <c r="AA470" s="12" t="s">
        <v>1420</v>
      </c>
      <c r="AB470" s="12" t="s">
        <v>1420</v>
      </c>
      <c r="AC470" s="12" t="s">
        <v>1420</v>
      </c>
      <c r="AD470" s="12" t="s">
        <v>1420</v>
      </c>
      <c r="AE470" s="12" t="s">
        <v>1420</v>
      </c>
      <c r="AF470" s="12" t="s">
        <v>1420</v>
      </c>
      <c r="AG470" s="12" t="s">
        <v>1420</v>
      </c>
    </row>
    <row r="471" spans="1:33" ht="14.4" x14ac:dyDescent="0.3">
      <c r="A471" s="12" t="s">
        <v>42</v>
      </c>
      <c r="B471" s="12" t="s">
        <v>1220</v>
      </c>
      <c r="C471" s="12" t="s">
        <v>1219</v>
      </c>
      <c r="D471" s="12" t="s">
        <v>1410</v>
      </c>
      <c r="E471" s="12" t="s">
        <v>2363</v>
      </c>
      <c r="F471" s="12" t="s">
        <v>2364</v>
      </c>
      <c r="G471" s="12" t="s">
        <v>2365</v>
      </c>
      <c r="H471" s="12" t="s">
        <v>1419</v>
      </c>
      <c r="I471" s="12" t="s">
        <v>1420</v>
      </c>
      <c r="J471" s="12" t="s">
        <v>1420</v>
      </c>
      <c r="K471" s="12" t="s">
        <v>1420</v>
      </c>
      <c r="L471" s="12" t="s">
        <v>1420</v>
      </c>
      <c r="M471" s="12" t="s">
        <v>1420</v>
      </c>
      <c r="N471" s="12" t="s">
        <v>1420</v>
      </c>
      <c r="O471" s="12" t="s">
        <v>1420</v>
      </c>
      <c r="P471" s="12" t="s">
        <v>1420</v>
      </c>
      <c r="Q471" s="12" t="s">
        <v>1420</v>
      </c>
      <c r="R471" s="12" t="s">
        <v>1420</v>
      </c>
      <c r="S471" s="12" t="s">
        <v>1420</v>
      </c>
      <c r="T471" s="12" t="s">
        <v>1420</v>
      </c>
      <c r="U471" s="12" t="s">
        <v>1414</v>
      </c>
      <c r="V471" s="12" t="s">
        <v>1420</v>
      </c>
      <c r="W471" s="12" t="s">
        <v>1420</v>
      </c>
      <c r="X471" s="12" t="s">
        <v>1420</v>
      </c>
      <c r="Y471" s="12" t="s">
        <v>1420</v>
      </c>
      <c r="Z471" s="12" t="s">
        <v>1420</v>
      </c>
      <c r="AA471" s="12" t="s">
        <v>1420</v>
      </c>
      <c r="AB471" s="12" t="s">
        <v>1414</v>
      </c>
      <c r="AC471" s="12" t="s">
        <v>1420</v>
      </c>
      <c r="AD471" s="12" t="s">
        <v>1420</v>
      </c>
      <c r="AE471" s="12" t="s">
        <v>1420</v>
      </c>
      <c r="AF471" s="12" t="s">
        <v>1420</v>
      </c>
      <c r="AG471" s="12" t="s">
        <v>1420</v>
      </c>
    </row>
    <row r="472" spans="1:33" ht="14.4" x14ac:dyDescent="0.3">
      <c r="A472" s="12" t="s">
        <v>42</v>
      </c>
      <c r="B472" s="12" t="s">
        <v>1220</v>
      </c>
      <c r="C472" s="12" t="s">
        <v>1219</v>
      </c>
      <c r="D472" s="12" t="s">
        <v>1410</v>
      </c>
      <c r="E472" s="12" t="s">
        <v>2452</v>
      </c>
      <c r="F472" s="12" t="s">
        <v>2437</v>
      </c>
      <c r="G472" s="12" t="s">
        <v>2453</v>
      </c>
      <c r="H472" s="12" t="s">
        <v>1464</v>
      </c>
      <c r="I472" s="12" t="s">
        <v>1420</v>
      </c>
      <c r="J472" s="12" t="s">
        <v>1420</v>
      </c>
      <c r="K472" s="12" t="s">
        <v>1420</v>
      </c>
      <c r="L472" s="12" t="s">
        <v>1420</v>
      </c>
      <c r="M472" s="12" t="s">
        <v>1420</v>
      </c>
      <c r="N472" s="12" t="s">
        <v>1420</v>
      </c>
      <c r="O472" s="12" t="s">
        <v>1420</v>
      </c>
      <c r="P472" s="12" t="s">
        <v>1420</v>
      </c>
      <c r="Q472" s="12" t="s">
        <v>1420</v>
      </c>
      <c r="R472" s="12" t="s">
        <v>1420</v>
      </c>
      <c r="S472" s="12" t="s">
        <v>1420</v>
      </c>
      <c r="T472" s="12" t="s">
        <v>1420</v>
      </c>
      <c r="U472" s="12" t="s">
        <v>1420</v>
      </c>
      <c r="V472" s="12" t="s">
        <v>1420</v>
      </c>
      <c r="W472" s="12" t="s">
        <v>1420</v>
      </c>
      <c r="X472" s="12" t="s">
        <v>1420</v>
      </c>
      <c r="Y472" s="12" t="s">
        <v>1420</v>
      </c>
      <c r="Z472" s="12" t="s">
        <v>1420</v>
      </c>
      <c r="AA472" s="12" t="s">
        <v>1420</v>
      </c>
      <c r="AB472" s="12" t="s">
        <v>1420</v>
      </c>
      <c r="AC472" s="12" t="s">
        <v>1420</v>
      </c>
      <c r="AD472" s="12" t="s">
        <v>1420</v>
      </c>
      <c r="AE472" s="12" t="s">
        <v>1420</v>
      </c>
      <c r="AF472" s="12" t="s">
        <v>1420</v>
      </c>
      <c r="AG472" s="12" t="s">
        <v>1420</v>
      </c>
    </row>
    <row r="473" spans="1:33" ht="14.4" x14ac:dyDescent="0.3">
      <c r="A473" s="12" t="s">
        <v>42</v>
      </c>
      <c r="B473" s="12" t="s">
        <v>572</v>
      </c>
      <c r="C473" s="12" t="s">
        <v>571</v>
      </c>
      <c r="D473" s="12" t="s">
        <v>1410</v>
      </c>
      <c r="E473" s="12" t="s">
        <v>3091</v>
      </c>
      <c r="F473" s="12" t="s">
        <v>3094</v>
      </c>
      <c r="G473" s="12" t="s">
        <v>3095</v>
      </c>
      <c r="H473" s="12" t="s">
        <v>1419</v>
      </c>
      <c r="I473" s="12" t="s">
        <v>1420</v>
      </c>
      <c r="J473" s="12" t="s">
        <v>1420</v>
      </c>
      <c r="K473" s="12" t="s">
        <v>1414</v>
      </c>
      <c r="L473" s="12" t="s">
        <v>1420</v>
      </c>
      <c r="M473" s="12" t="s">
        <v>1420</v>
      </c>
      <c r="N473" s="12" t="s">
        <v>1420</v>
      </c>
      <c r="O473" s="12" t="s">
        <v>1420</v>
      </c>
      <c r="P473" s="12" t="s">
        <v>1420</v>
      </c>
      <c r="Q473" s="12" t="s">
        <v>1420</v>
      </c>
      <c r="R473" s="12" t="s">
        <v>1420</v>
      </c>
      <c r="S473" s="12" t="s">
        <v>1420</v>
      </c>
      <c r="T473" s="12" t="s">
        <v>1420</v>
      </c>
      <c r="U473" s="12" t="s">
        <v>1420</v>
      </c>
      <c r="V473" s="12" t="s">
        <v>1420</v>
      </c>
      <c r="W473" s="12" t="s">
        <v>1420</v>
      </c>
      <c r="X473" s="12" t="s">
        <v>1420</v>
      </c>
      <c r="Y473" s="12" t="s">
        <v>1420</v>
      </c>
      <c r="Z473" s="12" t="s">
        <v>1420</v>
      </c>
      <c r="AA473" s="12" t="s">
        <v>1420</v>
      </c>
      <c r="AB473" s="12" t="s">
        <v>1420</v>
      </c>
      <c r="AC473" s="12" t="s">
        <v>1420</v>
      </c>
      <c r="AD473" s="12" t="s">
        <v>1414</v>
      </c>
      <c r="AE473" s="12" t="s">
        <v>1420</v>
      </c>
      <c r="AF473" s="12" t="s">
        <v>1420</v>
      </c>
      <c r="AG473" s="12" t="s">
        <v>1420</v>
      </c>
    </row>
    <row r="474" spans="1:33" ht="14.4" x14ac:dyDescent="0.3">
      <c r="A474" s="12" t="s">
        <v>8</v>
      </c>
      <c r="B474" s="12" t="s">
        <v>355</v>
      </c>
      <c r="C474" s="12" t="s">
        <v>354</v>
      </c>
      <c r="D474" s="12" t="s">
        <v>1410</v>
      </c>
      <c r="E474" s="12" t="s">
        <v>1695</v>
      </c>
      <c r="F474" s="12" t="s">
        <v>1696</v>
      </c>
      <c r="G474" s="12" t="s">
        <v>1697</v>
      </c>
      <c r="H474" s="12" t="s">
        <v>1419</v>
      </c>
      <c r="I474" s="12" t="s">
        <v>1420</v>
      </c>
      <c r="J474" s="12" t="s">
        <v>1414</v>
      </c>
      <c r="K474" s="12" t="s">
        <v>1420</v>
      </c>
      <c r="L474" s="12" t="s">
        <v>1420</v>
      </c>
      <c r="M474" s="12" t="s">
        <v>1420</v>
      </c>
      <c r="N474" s="12" t="s">
        <v>1420</v>
      </c>
      <c r="O474" s="12" t="s">
        <v>1420</v>
      </c>
      <c r="P474" s="12" t="s">
        <v>1420</v>
      </c>
      <c r="Q474" s="12" t="s">
        <v>1420</v>
      </c>
      <c r="R474" s="12" t="s">
        <v>1420</v>
      </c>
      <c r="S474" s="12" t="s">
        <v>1420</v>
      </c>
      <c r="T474" s="12" t="s">
        <v>1420</v>
      </c>
      <c r="U474" s="12" t="s">
        <v>1420</v>
      </c>
      <c r="V474" s="12" t="s">
        <v>1420</v>
      </c>
      <c r="W474" s="12" t="s">
        <v>1420</v>
      </c>
      <c r="X474" s="12" t="s">
        <v>1420</v>
      </c>
      <c r="Y474" s="12" t="s">
        <v>1420</v>
      </c>
      <c r="Z474" s="12" t="s">
        <v>1420</v>
      </c>
      <c r="AA474" s="12" t="s">
        <v>1420</v>
      </c>
      <c r="AB474" s="12" t="s">
        <v>1420</v>
      </c>
      <c r="AC474" s="12" t="s">
        <v>1420</v>
      </c>
      <c r="AD474" s="12" t="s">
        <v>1420</v>
      </c>
      <c r="AE474" s="12" t="s">
        <v>1420</v>
      </c>
      <c r="AF474" s="12" t="s">
        <v>1420</v>
      </c>
      <c r="AG474" s="12" t="s">
        <v>1414</v>
      </c>
    </row>
    <row r="475" spans="1:33" ht="14.4" x14ac:dyDescent="0.3">
      <c r="A475" s="12" t="s">
        <v>228</v>
      </c>
      <c r="B475" s="12" t="s">
        <v>357</v>
      </c>
      <c r="C475" s="12" t="s">
        <v>356</v>
      </c>
      <c r="D475" s="12" t="s">
        <v>1410</v>
      </c>
      <c r="E475" s="12" t="s">
        <v>1774</v>
      </c>
      <c r="F475" s="12" t="s">
        <v>1765</v>
      </c>
      <c r="G475" s="12" t="s">
        <v>1775</v>
      </c>
      <c r="H475" s="12" t="s">
        <v>1599</v>
      </c>
      <c r="I475" s="12" t="s">
        <v>1420</v>
      </c>
      <c r="J475" s="12" t="s">
        <v>1414</v>
      </c>
      <c r="K475" s="12" t="s">
        <v>1414</v>
      </c>
      <c r="L475" s="12" t="s">
        <v>1420</v>
      </c>
      <c r="M475" s="12" t="s">
        <v>1414</v>
      </c>
      <c r="N475" s="12" t="s">
        <v>1414</v>
      </c>
      <c r="O475" s="12" t="s">
        <v>1414</v>
      </c>
      <c r="P475" s="12" t="s">
        <v>1420</v>
      </c>
      <c r="Q475" s="12" t="s">
        <v>1414</v>
      </c>
      <c r="R475" s="12" t="s">
        <v>1414</v>
      </c>
      <c r="S475" s="12" t="s">
        <v>1420</v>
      </c>
      <c r="T475" s="12" t="s">
        <v>1414</v>
      </c>
      <c r="U475" s="12" t="s">
        <v>1420</v>
      </c>
      <c r="V475" s="12" t="s">
        <v>1414</v>
      </c>
      <c r="W475" s="12" t="s">
        <v>1420</v>
      </c>
      <c r="X475" s="12" t="s">
        <v>1414</v>
      </c>
      <c r="Y475" s="12" t="s">
        <v>1414</v>
      </c>
      <c r="Z475" s="12" t="s">
        <v>1414</v>
      </c>
      <c r="AA475" s="12" t="s">
        <v>1420</v>
      </c>
      <c r="AB475" s="12" t="s">
        <v>1414</v>
      </c>
      <c r="AC475" s="12" t="s">
        <v>1414</v>
      </c>
      <c r="AD475" s="12" t="s">
        <v>1420</v>
      </c>
      <c r="AE475" s="12" t="s">
        <v>1414</v>
      </c>
      <c r="AF475" s="12" t="s">
        <v>1414</v>
      </c>
      <c r="AG475" s="12" t="s">
        <v>1414</v>
      </c>
    </row>
    <row r="476" spans="1:33" ht="14.4" x14ac:dyDescent="0.3">
      <c r="A476" s="12" t="s">
        <v>575</v>
      </c>
      <c r="B476" s="12" t="s">
        <v>574</v>
      </c>
      <c r="C476" s="12" t="s">
        <v>573</v>
      </c>
      <c r="D476" s="12" t="s">
        <v>1410</v>
      </c>
      <c r="E476" s="12" t="s">
        <v>1560</v>
      </c>
      <c r="F476" s="12" t="s">
        <v>1561</v>
      </c>
      <c r="G476" s="12" t="s">
        <v>1562</v>
      </c>
      <c r="H476" s="12" t="s">
        <v>1563</v>
      </c>
      <c r="I476" s="12" t="s">
        <v>1420</v>
      </c>
      <c r="J476" s="12" t="s">
        <v>1414</v>
      </c>
      <c r="K476" s="12" t="s">
        <v>1420</v>
      </c>
      <c r="L476" s="12" t="s">
        <v>1420</v>
      </c>
      <c r="M476" s="12" t="s">
        <v>1420</v>
      </c>
      <c r="N476" s="12" t="s">
        <v>1420</v>
      </c>
      <c r="O476" s="12" t="s">
        <v>1414</v>
      </c>
      <c r="P476" s="12" t="s">
        <v>1414</v>
      </c>
      <c r="Q476" s="12" t="s">
        <v>1420</v>
      </c>
      <c r="R476" s="12" t="s">
        <v>1414</v>
      </c>
      <c r="S476" s="12" t="s">
        <v>1414</v>
      </c>
      <c r="T476" s="12" t="s">
        <v>1420</v>
      </c>
      <c r="U476" s="12" t="s">
        <v>1420</v>
      </c>
      <c r="V476" s="12" t="s">
        <v>1420</v>
      </c>
      <c r="W476" s="12" t="s">
        <v>1414</v>
      </c>
      <c r="X476" s="12" t="s">
        <v>1414</v>
      </c>
      <c r="Y476" s="12" t="s">
        <v>1420</v>
      </c>
      <c r="Z476" s="12" t="s">
        <v>1420</v>
      </c>
      <c r="AA476" s="12" t="s">
        <v>1420</v>
      </c>
      <c r="AB476" s="12" t="s">
        <v>1414</v>
      </c>
      <c r="AC476" s="12" t="s">
        <v>1414</v>
      </c>
      <c r="AD476" s="12" t="s">
        <v>1420</v>
      </c>
      <c r="AE476" s="12" t="s">
        <v>1414</v>
      </c>
      <c r="AF476" s="12" t="s">
        <v>1414</v>
      </c>
      <c r="AG476" s="12" t="s">
        <v>1420</v>
      </c>
    </row>
    <row r="477" spans="1:33" ht="14.4" x14ac:dyDescent="0.3">
      <c r="A477" s="12" t="s">
        <v>11</v>
      </c>
      <c r="B477" s="12" t="s">
        <v>130</v>
      </c>
      <c r="C477" s="12" t="s">
        <v>129</v>
      </c>
      <c r="D477" s="12" t="s">
        <v>1410</v>
      </c>
      <c r="E477" s="12" t="s">
        <v>2145</v>
      </c>
      <c r="F477" s="12" t="s">
        <v>2148</v>
      </c>
      <c r="G477" s="12" t="s">
        <v>1652</v>
      </c>
      <c r="H477" s="12" t="s">
        <v>1448</v>
      </c>
      <c r="I477" s="12" t="s">
        <v>1420</v>
      </c>
      <c r="J477" s="12" t="s">
        <v>1420</v>
      </c>
      <c r="K477" s="12" t="s">
        <v>1420</v>
      </c>
      <c r="L477" s="12" t="s">
        <v>1420</v>
      </c>
      <c r="M477" s="12" t="s">
        <v>1420</v>
      </c>
      <c r="N477" s="12" t="s">
        <v>1420</v>
      </c>
      <c r="O477" s="12" t="s">
        <v>1420</v>
      </c>
      <c r="P477" s="12" t="s">
        <v>1420</v>
      </c>
      <c r="Q477" s="12" t="s">
        <v>1420</v>
      </c>
      <c r="R477" s="12" t="s">
        <v>1420</v>
      </c>
      <c r="S477" s="12" t="s">
        <v>1414</v>
      </c>
      <c r="T477" s="12" t="s">
        <v>1420</v>
      </c>
      <c r="U477" s="12" t="s">
        <v>1414</v>
      </c>
      <c r="V477" s="12" t="s">
        <v>1420</v>
      </c>
      <c r="W477" s="12" t="s">
        <v>1420</v>
      </c>
      <c r="X477" s="12" t="s">
        <v>1420</v>
      </c>
      <c r="Y477" s="12" t="s">
        <v>1420</v>
      </c>
      <c r="Z477" s="12" t="s">
        <v>1420</v>
      </c>
      <c r="AA477" s="12" t="s">
        <v>1420</v>
      </c>
      <c r="AB477" s="12" t="s">
        <v>1420</v>
      </c>
      <c r="AC477" s="12" t="s">
        <v>1420</v>
      </c>
      <c r="AD477" s="12" t="s">
        <v>1420</v>
      </c>
      <c r="AE477" s="12" t="s">
        <v>1415</v>
      </c>
      <c r="AF477" s="12" t="s">
        <v>1415</v>
      </c>
      <c r="AG477" s="12" t="s">
        <v>1415</v>
      </c>
    </row>
    <row r="478" spans="1:33" ht="14.4" x14ac:dyDescent="0.3">
      <c r="A478" s="12" t="s">
        <v>228</v>
      </c>
      <c r="B478" s="12" t="s">
        <v>899</v>
      </c>
      <c r="C478" s="12" t="s">
        <v>898</v>
      </c>
      <c r="D478" s="12" t="s">
        <v>1410</v>
      </c>
      <c r="E478" s="12" t="s">
        <v>1971</v>
      </c>
      <c r="F478" s="12" t="s">
        <v>1953</v>
      </c>
      <c r="G478" s="12" t="s">
        <v>1796</v>
      </c>
      <c r="H478" s="12" t="s">
        <v>1488</v>
      </c>
      <c r="I478" s="12" t="s">
        <v>1420</v>
      </c>
      <c r="J478" s="12" t="s">
        <v>1414</v>
      </c>
      <c r="K478" s="12" t="s">
        <v>1420</v>
      </c>
      <c r="L478" s="12" t="s">
        <v>1420</v>
      </c>
      <c r="M478" s="12" t="s">
        <v>1420</v>
      </c>
      <c r="N478" s="12" t="s">
        <v>1420</v>
      </c>
      <c r="O478" s="12" t="s">
        <v>1414</v>
      </c>
      <c r="P478" s="12" t="s">
        <v>1420</v>
      </c>
      <c r="Q478" s="12" t="s">
        <v>1420</v>
      </c>
      <c r="R478" s="12" t="s">
        <v>1420</v>
      </c>
      <c r="S478" s="12" t="s">
        <v>1420</v>
      </c>
      <c r="T478" s="12" t="s">
        <v>1420</v>
      </c>
      <c r="U478" s="12" t="s">
        <v>1420</v>
      </c>
      <c r="V478" s="12" t="s">
        <v>1420</v>
      </c>
      <c r="W478" s="12" t="s">
        <v>1420</v>
      </c>
      <c r="X478" s="12" t="s">
        <v>1414</v>
      </c>
      <c r="Y478" s="12" t="s">
        <v>1420</v>
      </c>
      <c r="Z478" s="12" t="s">
        <v>1420</v>
      </c>
      <c r="AA478" s="12" t="s">
        <v>1420</v>
      </c>
      <c r="AB478" s="12" t="s">
        <v>1420</v>
      </c>
      <c r="AC478" s="12" t="s">
        <v>1420</v>
      </c>
      <c r="AD478" s="12" t="s">
        <v>1420</v>
      </c>
      <c r="AE478" s="12" t="s">
        <v>1414</v>
      </c>
      <c r="AF478" s="12" t="s">
        <v>1420</v>
      </c>
      <c r="AG478" s="12" t="s">
        <v>1420</v>
      </c>
    </row>
    <row r="479" spans="1:33" ht="14.4" x14ac:dyDescent="0.3">
      <c r="A479" s="12" t="s">
        <v>8</v>
      </c>
      <c r="B479" s="12" t="s">
        <v>359</v>
      </c>
      <c r="C479" s="12" t="s">
        <v>358</v>
      </c>
      <c r="D479" s="12" t="s">
        <v>1410</v>
      </c>
      <c r="E479" s="12" t="s">
        <v>1814</v>
      </c>
      <c r="F479" s="12" t="s">
        <v>1821</v>
      </c>
      <c r="G479" s="12" t="s">
        <v>1467</v>
      </c>
      <c r="H479" s="12" t="s">
        <v>1424</v>
      </c>
      <c r="I479" s="12" t="s">
        <v>1420</v>
      </c>
      <c r="J479" s="12" t="s">
        <v>1420</v>
      </c>
      <c r="K479" s="12" t="s">
        <v>1420</v>
      </c>
      <c r="L479" s="12" t="s">
        <v>1420</v>
      </c>
      <c r="M479" s="12" t="s">
        <v>1420</v>
      </c>
      <c r="N479" s="12" t="s">
        <v>1420</v>
      </c>
      <c r="O479" s="12" t="s">
        <v>1414</v>
      </c>
      <c r="P479" s="12" t="s">
        <v>1420</v>
      </c>
      <c r="Q479" s="12" t="s">
        <v>1420</v>
      </c>
      <c r="R479" s="12" t="s">
        <v>1420</v>
      </c>
      <c r="S479" s="12" t="s">
        <v>1414</v>
      </c>
      <c r="T479" s="12" t="s">
        <v>1420</v>
      </c>
      <c r="U479" s="12" t="s">
        <v>1420</v>
      </c>
      <c r="V479" s="12" t="s">
        <v>1420</v>
      </c>
      <c r="W479" s="12" t="s">
        <v>1420</v>
      </c>
      <c r="X479" s="12" t="s">
        <v>1420</v>
      </c>
      <c r="Y479" s="12" t="s">
        <v>1420</v>
      </c>
      <c r="Z479" s="12" t="s">
        <v>1420</v>
      </c>
      <c r="AA479" s="12" t="s">
        <v>1420</v>
      </c>
      <c r="AB479" s="12" t="s">
        <v>1420</v>
      </c>
      <c r="AC479" s="12" t="s">
        <v>1420</v>
      </c>
      <c r="AD479" s="12" t="s">
        <v>1414</v>
      </c>
      <c r="AE479" s="12" t="s">
        <v>1420</v>
      </c>
      <c r="AF479" s="12" t="s">
        <v>1420</v>
      </c>
      <c r="AG479" s="12" t="s">
        <v>1420</v>
      </c>
    </row>
    <row r="480" spans="1:33" ht="14.4" x14ac:dyDescent="0.3">
      <c r="A480" s="12" t="s">
        <v>11</v>
      </c>
      <c r="B480" s="12" t="s">
        <v>359</v>
      </c>
      <c r="C480" s="12" t="s">
        <v>576</v>
      </c>
      <c r="D480" s="12" t="s">
        <v>1410</v>
      </c>
      <c r="E480" s="12" t="s">
        <v>1721</v>
      </c>
      <c r="F480" s="12" t="s">
        <v>1722</v>
      </c>
      <c r="G480" s="12" t="s">
        <v>1518</v>
      </c>
      <c r="H480" s="12" t="s">
        <v>1464</v>
      </c>
      <c r="I480" s="12" t="s">
        <v>1420</v>
      </c>
      <c r="J480" s="12" t="s">
        <v>1420</v>
      </c>
      <c r="K480" s="12" t="s">
        <v>1420</v>
      </c>
      <c r="L480" s="12" t="s">
        <v>1420</v>
      </c>
      <c r="M480" s="12" t="s">
        <v>1420</v>
      </c>
      <c r="N480" s="12" t="s">
        <v>1420</v>
      </c>
      <c r="O480" s="12" t="s">
        <v>1420</v>
      </c>
      <c r="P480" s="12" t="s">
        <v>1420</v>
      </c>
      <c r="Q480" s="12" t="s">
        <v>1420</v>
      </c>
      <c r="R480" s="12" t="s">
        <v>1420</v>
      </c>
      <c r="S480" s="12" t="s">
        <v>1420</v>
      </c>
      <c r="T480" s="12" t="s">
        <v>1420</v>
      </c>
      <c r="U480" s="12" t="s">
        <v>1420</v>
      </c>
      <c r="V480" s="12" t="s">
        <v>1420</v>
      </c>
      <c r="W480" s="12" t="s">
        <v>1420</v>
      </c>
      <c r="X480" s="12" t="s">
        <v>1420</v>
      </c>
      <c r="Y480" s="12" t="s">
        <v>1420</v>
      </c>
      <c r="Z480" s="12" t="s">
        <v>1420</v>
      </c>
      <c r="AA480" s="12" t="s">
        <v>1420</v>
      </c>
      <c r="AB480" s="12" t="s">
        <v>1420</v>
      </c>
      <c r="AC480" s="12" t="s">
        <v>1420</v>
      </c>
      <c r="AD480" s="12" t="s">
        <v>1420</v>
      </c>
      <c r="AE480" s="12" t="s">
        <v>1420</v>
      </c>
      <c r="AF480" s="12" t="s">
        <v>1420</v>
      </c>
      <c r="AG480" s="12" t="s">
        <v>1420</v>
      </c>
    </row>
    <row r="481" spans="1:33" ht="14.4" x14ac:dyDescent="0.3">
      <c r="A481" s="12" t="s">
        <v>31</v>
      </c>
      <c r="B481" s="12" t="s">
        <v>359</v>
      </c>
      <c r="C481" s="12" t="s">
        <v>577</v>
      </c>
      <c r="D481" s="12" t="s">
        <v>1410</v>
      </c>
      <c r="E481" s="12" t="s">
        <v>1560</v>
      </c>
      <c r="F481" s="12" t="s">
        <v>1565</v>
      </c>
      <c r="G481" s="12" t="s">
        <v>1566</v>
      </c>
      <c r="H481" s="12" t="s">
        <v>1452</v>
      </c>
      <c r="I481" s="12" t="s">
        <v>1420</v>
      </c>
      <c r="J481" s="12" t="s">
        <v>1420</v>
      </c>
      <c r="K481" s="12" t="s">
        <v>1420</v>
      </c>
      <c r="L481" s="12" t="s">
        <v>1420</v>
      </c>
      <c r="M481" s="12" t="s">
        <v>1420</v>
      </c>
      <c r="N481" s="12" t="s">
        <v>1420</v>
      </c>
      <c r="O481" s="12" t="s">
        <v>1420</v>
      </c>
      <c r="P481" s="12" t="s">
        <v>1420</v>
      </c>
      <c r="Q481" s="12" t="s">
        <v>1420</v>
      </c>
      <c r="R481" s="12" t="s">
        <v>1420</v>
      </c>
      <c r="S481" s="12" t="s">
        <v>1420</v>
      </c>
      <c r="T481" s="12" t="s">
        <v>1420</v>
      </c>
      <c r="U481" s="12" t="s">
        <v>1420</v>
      </c>
      <c r="V481" s="12" t="s">
        <v>1420</v>
      </c>
      <c r="W481" s="12" t="s">
        <v>1420</v>
      </c>
      <c r="X481" s="12" t="s">
        <v>1420</v>
      </c>
      <c r="Y481" s="12" t="s">
        <v>1420</v>
      </c>
      <c r="Z481" s="12" t="s">
        <v>1420</v>
      </c>
      <c r="AA481" s="12" t="s">
        <v>1420</v>
      </c>
      <c r="AB481" s="12" t="s">
        <v>1420</v>
      </c>
      <c r="AC481" s="12" t="s">
        <v>1420</v>
      </c>
      <c r="AD481" s="12" t="s">
        <v>1414</v>
      </c>
      <c r="AE481" s="12" t="s">
        <v>1420</v>
      </c>
      <c r="AF481" s="12" t="s">
        <v>1420</v>
      </c>
      <c r="AG481" s="12" t="s">
        <v>1420</v>
      </c>
    </row>
    <row r="482" spans="1:33" ht="14.4" x14ac:dyDescent="0.3">
      <c r="A482" s="12" t="s">
        <v>31</v>
      </c>
      <c r="B482" s="12" t="s">
        <v>1222</v>
      </c>
      <c r="C482" s="12" t="s">
        <v>1221</v>
      </c>
      <c r="D482" s="12" t="s">
        <v>1410</v>
      </c>
      <c r="E482" s="12" t="s">
        <v>3003</v>
      </c>
      <c r="F482" s="12" t="s">
        <v>3004</v>
      </c>
      <c r="G482" s="12" t="s">
        <v>3005</v>
      </c>
      <c r="H482" s="12" t="s">
        <v>1424</v>
      </c>
      <c r="I482" s="12" t="s">
        <v>1420</v>
      </c>
      <c r="J482" s="12" t="s">
        <v>1414</v>
      </c>
      <c r="K482" s="12" t="s">
        <v>1420</v>
      </c>
      <c r="L482" s="12" t="s">
        <v>1420</v>
      </c>
      <c r="M482" s="12" t="s">
        <v>1420</v>
      </c>
      <c r="N482" s="12" t="s">
        <v>1420</v>
      </c>
      <c r="O482" s="12" t="s">
        <v>1420</v>
      </c>
      <c r="P482" s="12" t="s">
        <v>1420</v>
      </c>
      <c r="Q482" s="12" t="s">
        <v>1420</v>
      </c>
      <c r="R482" s="12" t="s">
        <v>1414</v>
      </c>
      <c r="S482" s="12" t="s">
        <v>1420</v>
      </c>
      <c r="T482" s="12" t="s">
        <v>1420</v>
      </c>
      <c r="U482" s="12" t="s">
        <v>1414</v>
      </c>
      <c r="V482" s="12" t="s">
        <v>1420</v>
      </c>
      <c r="W482" s="12" t="s">
        <v>1420</v>
      </c>
      <c r="X482" s="12" t="s">
        <v>1420</v>
      </c>
      <c r="Y482" s="12" t="s">
        <v>1420</v>
      </c>
      <c r="Z482" s="12" t="s">
        <v>1420</v>
      </c>
      <c r="AA482" s="12" t="s">
        <v>1420</v>
      </c>
      <c r="AB482" s="12" t="s">
        <v>1420</v>
      </c>
      <c r="AC482" s="12" t="s">
        <v>1420</v>
      </c>
      <c r="AD482" s="12" t="s">
        <v>1420</v>
      </c>
      <c r="AE482" s="12" t="s">
        <v>1420</v>
      </c>
      <c r="AF482" s="12" t="s">
        <v>1420</v>
      </c>
      <c r="AG482" s="12" t="s">
        <v>1420</v>
      </c>
    </row>
    <row r="483" spans="1:33" ht="14.4" x14ac:dyDescent="0.3">
      <c r="A483" s="12" t="s">
        <v>8</v>
      </c>
      <c r="B483" s="12" t="s">
        <v>1224</v>
      </c>
      <c r="C483" s="12" t="s">
        <v>1223</v>
      </c>
      <c r="D483" s="12" t="s">
        <v>1410</v>
      </c>
      <c r="E483" s="12" t="s">
        <v>3063</v>
      </c>
      <c r="F483" s="12" t="s">
        <v>3048</v>
      </c>
      <c r="G483" s="12" t="s">
        <v>3064</v>
      </c>
      <c r="H483" s="12" t="s">
        <v>1452</v>
      </c>
      <c r="I483" s="12" t="s">
        <v>1420</v>
      </c>
      <c r="J483" s="12" t="s">
        <v>1420</v>
      </c>
      <c r="K483" s="12" t="s">
        <v>1420</v>
      </c>
      <c r="L483" s="12" t="s">
        <v>1420</v>
      </c>
      <c r="M483" s="12" t="s">
        <v>1420</v>
      </c>
      <c r="N483" s="12" t="s">
        <v>1420</v>
      </c>
      <c r="O483" s="12" t="s">
        <v>1420</v>
      </c>
      <c r="P483" s="12" t="s">
        <v>1420</v>
      </c>
      <c r="Q483" s="12" t="s">
        <v>1420</v>
      </c>
      <c r="R483" s="12" t="s">
        <v>1420</v>
      </c>
      <c r="S483" s="12" t="s">
        <v>1420</v>
      </c>
      <c r="T483" s="12" t="s">
        <v>1414</v>
      </c>
      <c r="U483" s="12" t="s">
        <v>1420</v>
      </c>
      <c r="V483" s="12" t="s">
        <v>1420</v>
      </c>
      <c r="W483" s="12" t="s">
        <v>1420</v>
      </c>
      <c r="X483" s="12" t="s">
        <v>1420</v>
      </c>
      <c r="Y483" s="12" t="s">
        <v>1420</v>
      </c>
      <c r="Z483" s="12" t="s">
        <v>1420</v>
      </c>
      <c r="AA483" s="12" t="s">
        <v>1420</v>
      </c>
      <c r="AB483" s="12" t="s">
        <v>1420</v>
      </c>
      <c r="AC483" s="12" t="s">
        <v>1420</v>
      </c>
      <c r="AD483" s="12" t="s">
        <v>1420</v>
      </c>
      <c r="AE483" s="12" t="s">
        <v>1420</v>
      </c>
      <c r="AF483" s="12" t="s">
        <v>1420</v>
      </c>
      <c r="AG483" s="12" t="s">
        <v>1420</v>
      </c>
    </row>
    <row r="484" spans="1:33" ht="14.4" x14ac:dyDescent="0.3">
      <c r="A484" s="12" t="s">
        <v>8</v>
      </c>
      <c r="B484" s="12" t="s">
        <v>5803</v>
      </c>
      <c r="C484" s="12" t="s">
        <v>5804</v>
      </c>
      <c r="D484" s="12" t="s">
        <v>1410</v>
      </c>
      <c r="E484" s="12" t="s">
        <v>5805</v>
      </c>
      <c r="F484" s="12" t="s">
        <v>5806</v>
      </c>
      <c r="G484" s="12" t="s">
        <v>5807</v>
      </c>
      <c r="H484" s="12" t="s">
        <v>1464</v>
      </c>
      <c r="I484" s="12" t="s">
        <v>1420</v>
      </c>
      <c r="J484" s="12" t="s">
        <v>1420</v>
      </c>
      <c r="K484" s="12" t="s">
        <v>1420</v>
      </c>
      <c r="L484" s="12" t="s">
        <v>1420</v>
      </c>
      <c r="M484" s="12" t="s">
        <v>1420</v>
      </c>
      <c r="N484" s="12" t="s">
        <v>1420</v>
      </c>
      <c r="O484" s="12" t="s">
        <v>1420</v>
      </c>
      <c r="P484" s="12" t="s">
        <v>1420</v>
      </c>
      <c r="Q484" s="12" t="s">
        <v>1420</v>
      </c>
      <c r="R484" s="12" t="s">
        <v>1420</v>
      </c>
      <c r="S484" s="12" t="s">
        <v>1420</v>
      </c>
      <c r="T484" s="12" t="s">
        <v>1420</v>
      </c>
      <c r="U484" s="12" t="s">
        <v>1420</v>
      </c>
      <c r="V484" s="12" t="s">
        <v>1420</v>
      </c>
      <c r="W484" s="12" t="s">
        <v>1420</v>
      </c>
      <c r="X484" s="12" t="s">
        <v>1420</v>
      </c>
      <c r="Y484" s="12" t="s">
        <v>1420</v>
      </c>
      <c r="Z484" s="12" t="s">
        <v>1420</v>
      </c>
      <c r="AA484" s="12" t="s">
        <v>1420</v>
      </c>
      <c r="AB484" s="12" t="s">
        <v>1420</v>
      </c>
      <c r="AC484" s="12" t="s">
        <v>1420</v>
      </c>
      <c r="AD484" s="12" t="s">
        <v>1420</v>
      </c>
      <c r="AE484" s="12" t="s">
        <v>1420</v>
      </c>
      <c r="AF484" s="12" t="s">
        <v>1420</v>
      </c>
      <c r="AG484" s="12" t="s">
        <v>1420</v>
      </c>
    </row>
    <row r="485" spans="1:33" ht="14.4" x14ac:dyDescent="0.3">
      <c r="A485" s="12" t="s">
        <v>16</v>
      </c>
      <c r="B485" s="12" t="s">
        <v>579</v>
      </c>
      <c r="C485" s="12" t="s">
        <v>578</v>
      </c>
      <c r="D485" s="12" t="s">
        <v>1410</v>
      </c>
      <c r="E485" s="12" t="s">
        <v>1679</v>
      </c>
      <c r="F485" s="12" t="s">
        <v>1684</v>
      </c>
      <c r="G485" s="12" t="s">
        <v>1685</v>
      </c>
      <c r="H485" s="12" t="s">
        <v>1452</v>
      </c>
      <c r="I485" s="12" t="s">
        <v>1420</v>
      </c>
      <c r="J485" s="12" t="s">
        <v>1420</v>
      </c>
      <c r="K485" s="12" t="s">
        <v>1420</v>
      </c>
      <c r="L485" s="12" t="s">
        <v>1420</v>
      </c>
      <c r="M485" s="12" t="s">
        <v>1420</v>
      </c>
      <c r="N485" s="12" t="s">
        <v>1420</v>
      </c>
      <c r="O485" s="12" t="s">
        <v>1420</v>
      </c>
      <c r="P485" s="12" t="s">
        <v>1420</v>
      </c>
      <c r="Q485" s="12" t="s">
        <v>1420</v>
      </c>
      <c r="R485" s="12" t="s">
        <v>1420</v>
      </c>
      <c r="S485" s="12" t="s">
        <v>1420</v>
      </c>
      <c r="T485" s="12" t="s">
        <v>1420</v>
      </c>
      <c r="U485" s="12" t="s">
        <v>1420</v>
      </c>
      <c r="V485" s="12" t="s">
        <v>1420</v>
      </c>
      <c r="W485" s="12" t="s">
        <v>1420</v>
      </c>
      <c r="X485" s="12" t="s">
        <v>1420</v>
      </c>
      <c r="Y485" s="12" t="s">
        <v>1420</v>
      </c>
      <c r="Z485" s="12" t="s">
        <v>1420</v>
      </c>
      <c r="AA485" s="12" t="s">
        <v>1420</v>
      </c>
      <c r="AB485" s="12" t="s">
        <v>1420</v>
      </c>
      <c r="AC485" s="12" t="s">
        <v>1420</v>
      </c>
      <c r="AD485" s="12" t="s">
        <v>1414</v>
      </c>
      <c r="AE485" s="12" t="s">
        <v>1420</v>
      </c>
      <c r="AF485" s="12" t="s">
        <v>1420</v>
      </c>
      <c r="AG485" s="12" t="s">
        <v>1420</v>
      </c>
    </row>
    <row r="486" spans="1:33" ht="14.4" x14ac:dyDescent="0.3">
      <c r="A486" s="12" t="s">
        <v>8</v>
      </c>
      <c r="B486" s="12" t="s">
        <v>579</v>
      </c>
      <c r="C486" s="12" t="s">
        <v>580</v>
      </c>
      <c r="D486" s="12" t="s">
        <v>1410</v>
      </c>
      <c r="E486" s="12" t="s">
        <v>3010</v>
      </c>
      <c r="F486" s="12" t="s">
        <v>3006</v>
      </c>
      <c r="G486" s="12" t="s">
        <v>2586</v>
      </c>
      <c r="H486" s="12" t="s">
        <v>1419</v>
      </c>
      <c r="I486" s="12" t="s">
        <v>1420</v>
      </c>
      <c r="J486" s="12" t="s">
        <v>1420</v>
      </c>
      <c r="K486" s="12" t="s">
        <v>1420</v>
      </c>
      <c r="L486" s="12" t="s">
        <v>1420</v>
      </c>
      <c r="M486" s="12" t="s">
        <v>1420</v>
      </c>
      <c r="N486" s="12" t="s">
        <v>1420</v>
      </c>
      <c r="O486" s="12" t="s">
        <v>1420</v>
      </c>
      <c r="P486" s="12" t="s">
        <v>1414</v>
      </c>
      <c r="Q486" s="12" t="s">
        <v>1420</v>
      </c>
      <c r="R486" s="12" t="s">
        <v>1420</v>
      </c>
      <c r="S486" s="12" t="s">
        <v>1414</v>
      </c>
      <c r="T486" s="12" t="s">
        <v>1420</v>
      </c>
      <c r="U486" s="12" t="s">
        <v>1420</v>
      </c>
      <c r="V486" s="12" t="s">
        <v>1420</v>
      </c>
      <c r="W486" s="12" t="s">
        <v>1420</v>
      </c>
      <c r="X486" s="12" t="s">
        <v>1420</v>
      </c>
      <c r="Y486" s="12" t="s">
        <v>1420</v>
      </c>
      <c r="Z486" s="12" t="s">
        <v>1420</v>
      </c>
      <c r="AA486" s="12" t="s">
        <v>1420</v>
      </c>
      <c r="AB486" s="12" t="s">
        <v>1420</v>
      </c>
      <c r="AC486" s="12" t="s">
        <v>1420</v>
      </c>
      <c r="AD486" s="12" t="s">
        <v>1420</v>
      </c>
      <c r="AE486" s="12" t="s">
        <v>1420</v>
      </c>
      <c r="AF486" s="12" t="s">
        <v>1420</v>
      </c>
      <c r="AG486" s="12" t="s">
        <v>1420</v>
      </c>
    </row>
    <row r="487" spans="1:33" ht="14.4" x14ac:dyDescent="0.3">
      <c r="A487" s="12" t="s">
        <v>8</v>
      </c>
      <c r="B487" s="12" t="s">
        <v>901</v>
      </c>
      <c r="C487" s="12" t="s">
        <v>900</v>
      </c>
      <c r="D487" s="12" t="s">
        <v>1410</v>
      </c>
      <c r="E487" s="12" t="s">
        <v>1701</v>
      </c>
      <c r="F487" s="12" t="s">
        <v>1702</v>
      </c>
      <c r="G487" s="12" t="s">
        <v>1703</v>
      </c>
      <c r="H487" s="12" t="s">
        <v>1488</v>
      </c>
      <c r="I487" s="12" t="s">
        <v>1420</v>
      </c>
      <c r="J487" s="12" t="s">
        <v>1420</v>
      </c>
      <c r="K487" s="12" t="s">
        <v>1420</v>
      </c>
      <c r="L487" s="12" t="s">
        <v>1420</v>
      </c>
      <c r="M487" s="12" t="s">
        <v>1420</v>
      </c>
      <c r="N487" s="12" t="s">
        <v>1420</v>
      </c>
      <c r="O487" s="12" t="s">
        <v>1420</v>
      </c>
      <c r="P487" s="12" t="s">
        <v>1420</v>
      </c>
      <c r="Q487" s="12" t="s">
        <v>1420</v>
      </c>
      <c r="R487" s="12" t="s">
        <v>1420</v>
      </c>
      <c r="S487" s="12" t="s">
        <v>1414</v>
      </c>
      <c r="T487" s="12" t="s">
        <v>1420</v>
      </c>
      <c r="U487" s="12" t="s">
        <v>1420</v>
      </c>
      <c r="V487" s="12" t="s">
        <v>1414</v>
      </c>
      <c r="W487" s="12" t="s">
        <v>1420</v>
      </c>
      <c r="X487" s="12" t="s">
        <v>1414</v>
      </c>
      <c r="Y487" s="12" t="s">
        <v>1420</v>
      </c>
      <c r="Z487" s="12" t="s">
        <v>1420</v>
      </c>
      <c r="AA487" s="12" t="s">
        <v>1414</v>
      </c>
      <c r="AB487" s="12" t="s">
        <v>1420</v>
      </c>
      <c r="AC487" s="12" t="s">
        <v>1420</v>
      </c>
      <c r="AD487" s="12" t="s">
        <v>1420</v>
      </c>
      <c r="AE487" s="12" t="s">
        <v>1420</v>
      </c>
      <c r="AF487" s="12" t="s">
        <v>1420</v>
      </c>
      <c r="AG487" s="12" t="s">
        <v>1420</v>
      </c>
    </row>
    <row r="488" spans="1:33" ht="14.4" x14ac:dyDescent="0.3">
      <c r="A488" s="12" t="s">
        <v>71</v>
      </c>
      <c r="B488" s="12" t="s">
        <v>903</v>
      </c>
      <c r="C488" s="12" t="s">
        <v>902</v>
      </c>
      <c r="D488" s="12" t="s">
        <v>1410</v>
      </c>
      <c r="E488" s="12" t="s">
        <v>2705</v>
      </c>
      <c r="F488" s="12" t="s">
        <v>2706</v>
      </c>
      <c r="G488" s="12" t="s">
        <v>2396</v>
      </c>
      <c r="H488" s="12" t="s">
        <v>1419</v>
      </c>
      <c r="I488" s="12" t="s">
        <v>1420</v>
      </c>
      <c r="J488" s="12" t="s">
        <v>1420</v>
      </c>
      <c r="K488" s="12" t="s">
        <v>1420</v>
      </c>
      <c r="L488" s="12" t="s">
        <v>1420</v>
      </c>
      <c r="M488" s="12" t="s">
        <v>1420</v>
      </c>
      <c r="N488" s="12" t="s">
        <v>1420</v>
      </c>
      <c r="O488" s="12" t="s">
        <v>1420</v>
      </c>
      <c r="P488" s="12" t="s">
        <v>1420</v>
      </c>
      <c r="Q488" s="12" t="s">
        <v>1414</v>
      </c>
      <c r="R488" s="12" t="s">
        <v>1420</v>
      </c>
      <c r="S488" s="12" t="s">
        <v>1420</v>
      </c>
      <c r="T488" s="12" t="s">
        <v>1420</v>
      </c>
      <c r="U488" s="12" t="s">
        <v>1420</v>
      </c>
      <c r="V488" s="12" t="s">
        <v>1420</v>
      </c>
      <c r="W488" s="12" t="s">
        <v>1420</v>
      </c>
      <c r="X488" s="12" t="s">
        <v>1414</v>
      </c>
      <c r="Y488" s="12" t="s">
        <v>1420</v>
      </c>
      <c r="Z488" s="12" t="s">
        <v>1420</v>
      </c>
      <c r="AA488" s="12" t="s">
        <v>1420</v>
      </c>
      <c r="AB488" s="12" t="s">
        <v>1420</v>
      </c>
      <c r="AC488" s="12" t="s">
        <v>1420</v>
      </c>
      <c r="AD488" s="12" t="s">
        <v>1420</v>
      </c>
      <c r="AE488" s="12" t="s">
        <v>1420</v>
      </c>
      <c r="AF488" s="12" t="s">
        <v>1420</v>
      </c>
      <c r="AG488" s="12" t="s">
        <v>1420</v>
      </c>
    </row>
    <row r="489" spans="1:33" ht="14.4" x14ac:dyDescent="0.3">
      <c r="A489" s="12" t="s">
        <v>71</v>
      </c>
      <c r="B489" s="12" t="s">
        <v>903</v>
      </c>
      <c r="C489" s="12" t="s">
        <v>902</v>
      </c>
      <c r="D489" s="12" t="s">
        <v>1410</v>
      </c>
      <c r="E489" s="12" t="s">
        <v>2753</v>
      </c>
      <c r="F489" s="12" t="s">
        <v>2754</v>
      </c>
      <c r="G489" s="12" t="s">
        <v>2755</v>
      </c>
      <c r="H489" s="12" t="s">
        <v>1419</v>
      </c>
      <c r="I489" s="12" t="s">
        <v>1420</v>
      </c>
      <c r="J489" s="12" t="s">
        <v>1420</v>
      </c>
      <c r="K489" s="12" t="s">
        <v>1420</v>
      </c>
      <c r="L489" s="12" t="s">
        <v>1420</v>
      </c>
      <c r="M489" s="12" t="s">
        <v>1420</v>
      </c>
      <c r="N489" s="12" t="s">
        <v>1420</v>
      </c>
      <c r="O489" s="12" t="s">
        <v>1420</v>
      </c>
      <c r="P489" s="12" t="s">
        <v>1420</v>
      </c>
      <c r="Q489" s="12" t="s">
        <v>1420</v>
      </c>
      <c r="R489" s="12" t="s">
        <v>1420</v>
      </c>
      <c r="S489" s="12" t="s">
        <v>1420</v>
      </c>
      <c r="T489" s="12" t="s">
        <v>1420</v>
      </c>
      <c r="U489" s="12" t="s">
        <v>1420</v>
      </c>
      <c r="V489" s="12" t="s">
        <v>1420</v>
      </c>
      <c r="W489" s="12" t="s">
        <v>1420</v>
      </c>
      <c r="X489" s="12" t="s">
        <v>1414</v>
      </c>
      <c r="Y489" s="12" t="s">
        <v>1414</v>
      </c>
      <c r="Z489" s="12" t="s">
        <v>1420</v>
      </c>
      <c r="AA489" s="12" t="s">
        <v>1420</v>
      </c>
      <c r="AB489" s="12" t="s">
        <v>1420</v>
      </c>
      <c r="AC489" s="12" t="s">
        <v>1420</v>
      </c>
      <c r="AD489" s="12" t="s">
        <v>1420</v>
      </c>
      <c r="AE489" s="12" t="s">
        <v>1420</v>
      </c>
      <c r="AF489" s="12" t="s">
        <v>1420</v>
      </c>
      <c r="AG489" s="12" t="s">
        <v>1420</v>
      </c>
    </row>
    <row r="490" spans="1:33" ht="14.4" x14ac:dyDescent="0.3">
      <c r="A490" s="12" t="s">
        <v>71</v>
      </c>
      <c r="B490" s="12" t="s">
        <v>582</v>
      </c>
      <c r="C490" s="12" t="s">
        <v>581</v>
      </c>
      <c r="D490" s="12" t="s">
        <v>1410</v>
      </c>
      <c r="E490" s="12" t="s">
        <v>1596</v>
      </c>
      <c r="F490" s="12" t="s">
        <v>1597</v>
      </c>
      <c r="G490" s="12" t="s">
        <v>1598</v>
      </c>
      <c r="H490" s="12" t="s">
        <v>1599</v>
      </c>
      <c r="I490" s="12" t="s">
        <v>1420</v>
      </c>
      <c r="J490" s="12" t="s">
        <v>1414</v>
      </c>
      <c r="K490" s="12" t="s">
        <v>1414</v>
      </c>
      <c r="L490" s="12" t="s">
        <v>1420</v>
      </c>
      <c r="M490" s="12" t="s">
        <v>1420</v>
      </c>
      <c r="N490" s="12" t="s">
        <v>1414</v>
      </c>
      <c r="O490" s="12" t="s">
        <v>1414</v>
      </c>
      <c r="P490" s="12" t="s">
        <v>1414</v>
      </c>
      <c r="Q490" s="12" t="s">
        <v>1414</v>
      </c>
      <c r="R490" s="12" t="s">
        <v>1414</v>
      </c>
      <c r="S490" s="12" t="s">
        <v>1414</v>
      </c>
      <c r="T490" s="12" t="s">
        <v>1414</v>
      </c>
      <c r="U490" s="12" t="s">
        <v>1420</v>
      </c>
      <c r="V490" s="12" t="s">
        <v>1414</v>
      </c>
      <c r="W490" s="12" t="s">
        <v>1420</v>
      </c>
      <c r="X490" s="12" t="s">
        <v>1420</v>
      </c>
      <c r="Y490" s="12" t="s">
        <v>1414</v>
      </c>
      <c r="Z490" s="12" t="s">
        <v>1420</v>
      </c>
      <c r="AA490" s="12" t="s">
        <v>1414</v>
      </c>
      <c r="AB490" s="12" t="s">
        <v>1414</v>
      </c>
      <c r="AC490" s="12" t="s">
        <v>1414</v>
      </c>
      <c r="AD490" s="12" t="s">
        <v>1414</v>
      </c>
      <c r="AE490" s="12" t="s">
        <v>1414</v>
      </c>
      <c r="AF490" s="12" t="s">
        <v>1414</v>
      </c>
      <c r="AG490" s="12" t="s">
        <v>1420</v>
      </c>
    </row>
    <row r="491" spans="1:33" ht="14.4" x14ac:dyDescent="0.3">
      <c r="A491" s="12" t="s">
        <v>133</v>
      </c>
      <c r="B491" s="12" t="s">
        <v>132</v>
      </c>
      <c r="C491" s="12" t="s">
        <v>131</v>
      </c>
      <c r="D491" s="12" t="s">
        <v>1410</v>
      </c>
      <c r="E491" s="12" t="s">
        <v>2130</v>
      </c>
      <c r="F491" s="12" t="s">
        <v>2105</v>
      </c>
      <c r="G491" s="12" t="s">
        <v>2132</v>
      </c>
      <c r="H491" s="12" t="s">
        <v>1424</v>
      </c>
      <c r="I491" s="12" t="s">
        <v>1420</v>
      </c>
      <c r="J491" s="12" t="s">
        <v>1420</v>
      </c>
      <c r="K491" s="12" t="s">
        <v>1420</v>
      </c>
      <c r="L491" s="12" t="s">
        <v>1420</v>
      </c>
      <c r="M491" s="12" t="s">
        <v>1420</v>
      </c>
      <c r="N491" s="12" t="s">
        <v>1420</v>
      </c>
      <c r="O491" s="12" t="s">
        <v>1420</v>
      </c>
      <c r="P491" s="12" t="s">
        <v>1420</v>
      </c>
      <c r="Q491" s="12" t="s">
        <v>1420</v>
      </c>
      <c r="R491" s="12" t="s">
        <v>1420</v>
      </c>
      <c r="S491" s="12" t="s">
        <v>1420</v>
      </c>
      <c r="T491" s="12" t="s">
        <v>1420</v>
      </c>
      <c r="U491" s="12" t="s">
        <v>1414</v>
      </c>
      <c r="V491" s="12" t="s">
        <v>1420</v>
      </c>
      <c r="W491" s="12" t="s">
        <v>1420</v>
      </c>
      <c r="X491" s="12" t="s">
        <v>1414</v>
      </c>
      <c r="Y491" s="12" t="s">
        <v>1420</v>
      </c>
      <c r="Z491" s="12" t="s">
        <v>1420</v>
      </c>
      <c r="AA491" s="12" t="s">
        <v>1420</v>
      </c>
      <c r="AB491" s="12" t="s">
        <v>1420</v>
      </c>
      <c r="AC491" s="12" t="s">
        <v>1420</v>
      </c>
      <c r="AD491" s="12" t="s">
        <v>1414</v>
      </c>
      <c r="AE491" s="12" t="s">
        <v>1420</v>
      </c>
      <c r="AF491" s="12" t="s">
        <v>1420</v>
      </c>
      <c r="AG491" s="12" t="s">
        <v>1420</v>
      </c>
    </row>
    <row r="492" spans="1:33" ht="14.4" x14ac:dyDescent="0.3">
      <c r="A492" s="12" t="s">
        <v>5808</v>
      </c>
      <c r="B492" s="12" t="s">
        <v>1362</v>
      </c>
      <c r="C492" s="12" t="s">
        <v>1361</v>
      </c>
      <c r="D492" s="12" t="s">
        <v>1410</v>
      </c>
      <c r="E492" s="12" t="s">
        <v>1425</v>
      </c>
      <c r="F492" s="12" t="s">
        <v>1426</v>
      </c>
      <c r="G492" s="12" t="s">
        <v>1427</v>
      </c>
      <c r="H492" s="12" t="s">
        <v>1428</v>
      </c>
      <c r="I492" s="12" t="s">
        <v>1420</v>
      </c>
      <c r="J492" s="12" t="s">
        <v>1414</v>
      </c>
      <c r="K492" s="12" t="s">
        <v>1414</v>
      </c>
      <c r="L492" s="12" t="s">
        <v>1420</v>
      </c>
      <c r="M492" s="12" t="s">
        <v>1420</v>
      </c>
      <c r="N492" s="12" t="s">
        <v>1414</v>
      </c>
      <c r="O492" s="12" t="s">
        <v>1414</v>
      </c>
      <c r="P492" s="12" t="s">
        <v>1420</v>
      </c>
      <c r="Q492" s="12" t="s">
        <v>1420</v>
      </c>
      <c r="R492" s="12" t="s">
        <v>1420</v>
      </c>
      <c r="S492" s="12" t="s">
        <v>1420</v>
      </c>
      <c r="T492" s="12" t="s">
        <v>1420</v>
      </c>
      <c r="U492" s="12" t="s">
        <v>1420</v>
      </c>
      <c r="V492" s="12" t="s">
        <v>1420</v>
      </c>
      <c r="W492" s="12" t="s">
        <v>1420</v>
      </c>
      <c r="X492" s="12" t="s">
        <v>1420</v>
      </c>
      <c r="Y492" s="12" t="s">
        <v>1420</v>
      </c>
      <c r="Z492" s="12" t="s">
        <v>1414</v>
      </c>
      <c r="AA492" s="12" t="s">
        <v>1420</v>
      </c>
      <c r="AB492" s="12" t="s">
        <v>1420</v>
      </c>
      <c r="AC492" s="12" t="s">
        <v>1420</v>
      </c>
      <c r="AD492" s="12" t="s">
        <v>1414</v>
      </c>
      <c r="AE492" s="12" t="s">
        <v>1414</v>
      </c>
      <c r="AF492" s="12" t="s">
        <v>1420</v>
      </c>
      <c r="AG492" s="12" t="s">
        <v>1420</v>
      </c>
    </row>
    <row r="493" spans="1:33" ht="14.4" x14ac:dyDescent="0.3">
      <c r="A493" s="12" t="s">
        <v>585</v>
      </c>
      <c r="B493" s="12" t="s">
        <v>584</v>
      </c>
      <c r="C493" s="12" t="s">
        <v>583</v>
      </c>
      <c r="D493" s="12" t="s">
        <v>1410</v>
      </c>
      <c r="E493" s="12" t="s">
        <v>2992</v>
      </c>
      <c r="F493" s="12" t="s">
        <v>2993</v>
      </c>
      <c r="G493" s="12" t="s">
        <v>1576</v>
      </c>
      <c r="H493" s="12" t="s">
        <v>1452</v>
      </c>
      <c r="I493" s="12" t="s">
        <v>1420</v>
      </c>
      <c r="J493" s="12" t="s">
        <v>1420</v>
      </c>
      <c r="K493" s="12" t="s">
        <v>1420</v>
      </c>
      <c r="L493" s="12" t="s">
        <v>1420</v>
      </c>
      <c r="M493" s="12" t="s">
        <v>1420</v>
      </c>
      <c r="N493" s="12" t="s">
        <v>1420</v>
      </c>
      <c r="O493" s="12" t="s">
        <v>1420</v>
      </c>
      <c r="P493" s="12" t="s">
        <v>1420</v>
      </c>
      <c r="Q493" s="12" t="s">
        <v>1420</v>
      </c>
      <c r="R493" s="12" t="s">
        <v>1420</v>
      </c>
      <c r="S493" s="12" t="s">
        <v>1420</v>
      </c>
      <c r="T493" s="12" t="s">
        <v>1420</v>
      </c>
      <c r="U493" s="12" t="s">
        <v>1420</v>
      </c>
      <c r="V493" s="12" t="s">
        <v>1420</v>
      </c>
      <c r="W493" s="12" t="s">
        <v>1420</v>
      </c>
      <c r="X493" s="12" t="s">
        <v>1420</v>
      </c>
      <c r="Y493" s="12" t="s">
        <v>1420</v>
      </c>
      <c r="Z493" s="12" t="s">
        <v>1420</v>
      </c>
      <c r="AA493" s="12" t="s">
        <v>1420</v>
      </c>
      <c r="AB493" s="12" t="s">
        <v>1414</v>
      </c>
      <c r="AC493" s="12" t="s">
        <v>1420</v>
      </c>
      <c r="AD493" s="12" t="s">
        <v>1420</v>
      </c>
      <c r="AE493" s="12" t="s">
        <v>1420</v>
      </c>
      <c r="AF493" s="12" t="s">
        <v>1420</v>
      </c>
      <c r="AG493" s="12" t="s">
        <v>1420</v>
      </c>
    </row>
    <row r="494" spans="1:33" ht="14.4" x14ac:dyDescent="0.3">
      <c r="A494" s="12" t="s">
        <v>8</v>
      </c>
      <c r="B494" s="12" t="s">
        <v>587</v>
      </c>
      <c r="C494" s="12" t="s">
        <v>586</v>
      </c>
      <c r="D494" s="12" t="s">
        <v>1410</v>
      </c>
      <c r="E494" s="12" t="s">
        <v>3037</v>
      </c>
      <c r="F494" s="12" t="s">
        <v>3022</v>
      </c>
      <c r="G494" s="12" t="s">
        <v>3038</v>
      </c>
      <c r="H494" s="12" t="s">
        <v>1424</v>
      </c>
      <c r="I494" s="12" t="s">
        <v>1420</v>
      </c>
      <c r="J494" s="12" t="s">
        <v>1420</v>
      </c>
      <c r="K494" s="12" t="s">
        <v>1420</v>
      </c>
      <c r="L494" s="12" t="s">
        <v>1420</v>
      </c>
      <c r="M494" s="12" t="s">
        <v>1420</v>
      </c>
      <c r="N494" s="12" t="s">
        <v>1420</v>
      </c>
      <c r="O494" s="12" t="s">
        <v>1414</v>
      </c>
      <c r="P494" s="12" t="s">
        <v>1420</v>
      </c>
      <c r="Q494" s="12" t="s">
        <v>1420</v>
      </c>
      <c r="R494" s="12" t="s">
        <v>1420</v>
      </c>
      <c r="S494" s="12" t="s">
        <v>1420</v>
      </c>
      <c r="T494" s="12" t="s">
        <v>1420</v>
      </c>
      <c r="U494" s="12" t="s">
        <v>1420</v>
      </c>
      <c r="V494" s="12" t="s">
        <v>1420</v>
      </c>
      <c r="W494" s="12" t="s">
        <v>1420</v>
      </c>
      <c r="X494" s="12" t="s">
        <v>1420</v>
      </c>
      <c r="Y494" s="12" t="s">
        <v>1420</v>
      </c>
      <c r="Z494" s="12" t="s">
        <v>1420</v>
      </c>
      <c r="AA494" s="12" t="s">
        <v>1414</v>
      </c>
      <c r="AB494" s="12" t="s">
        <v>1420</v>
      </c>
      <c r="AC494" s="12" t="s">
        <v>1414</v>
      </c>
      <c r="AD494" s="12" t="s">
        <v>1420</v>
      </c>
      <c r="AE494" s="12" t="s">
        <v>1420</v>
      </c>
      <c r="AF494" s="12" t="s">
        <v>1420</v>
      </c>
      <c r="AG494" s="12" t="s">
        <v>1420</v>
      </c>
    </row>
    <row r="495" spans="1:33" ht="14.4" x14ac:dyDescent="0.3">
      <c r="A495" s="12" t="s">
        <v>42</v>
      </c>
      <c r="B495" s="12" t="s">
        <v>135</v>
      </c>
      <c r="C495" s="12" t="s">
        <v>134</v>
      </c>
      <c r="D495" s="12" t="s">
        <v>1410</v>
      </c>
      <c r="E495" s="12" t="s">
        <v>2154</v>
      </c>
      <c r="F495" s="12" t="s">
        <v>2156</v>
      </c>
      <c r="G495" s="12" t="s">
        <v>2157</v>
      </c>
      <c r="H495" s="12" t="s">
        <v>1464</v>
      </c>
      <c r="I495" s="12" t="s">
        <v>1420</v>
      </c>
      <c r="J495" s="12" t="s">
        <v>1420</v>
      </c>
      <c r="K495" s="12" t="s">
        <v>1420</v>
      </c>
      <c r="L495" s="12" t="s">
        <v>1420</v>
      </c>
      <c r="M495" s="12" t="s">
        <v>1420</v>
      </c>
      <c r="N495" s="12" t="s">
        <v>1420</v>
      </c>
      <c r="O495" s="12" t="s">
        <v>1420</v>
      </c>
      <c r="P495" s="12" t="s">
        <v>1420</v>
      </c>
      <c r="Q495" s="12" t="s">
        <v>1420</v>
      </c>
      <c r="R495" s="12" t="s">
        <v>1420</v>
      </c>
      <c r="S495" s="12" t="s">
        <v>1420</v>
      </c>
      <c r="T495" s="12" t="s">
        <v>1420</v>
      </c>
      <c r="U495" s="12" t="s">
        <v>1420</v>
      </c>
      <c r="V495" s="12" t="s">
        <v>1420</v>
      </c>
      <c r="W495" s="12" t="s">
        <v>1420</v>
      </c>
      <c r="X495" s="12" t="s">
        <v>1420</v>
      </c>
      <c r="Y495" s="12" t="s">
        <v>1420</v>
      </c>
      <c r="Z495" s="12" t="s">
        <v>1420</v>
      </c>
      <c r="AA495" s="12" t="s">
        <v>1420</v>
      </c>
      <c r="AB495" s="12" t="s">
        <v>1420</v>
      </c>
      <c r="AC495" s="12" t="s">
        <v>1420</v>
      </c>
      <c r="AD495" s="12" t="s">
        <v>1420</v>
      </c>
      <c r="AE495" s="12" t="s">
        <v>1420</v>
      </c>
      <c r="AF495" s="12" t="s">
        <v>1420</v>
      </c>
      <c r="AG495" s="12" t="s">
        <v>1420</v>
      </c>
    </row>
    <row r="496" spans="1:33" ht="14.4" x14ac:dyDescent="0.3">
      <c r="A496" s="12" t="s">
        <v>590</v>
      </c>
      <c r="B496" s="12" t="s">
        <v>589</v>
      </c>
      <c r="C496" s="12" t="s">
        <v>588</v>
      </c>
      <c r="D496" s="12" t="s">
        <v>1410</v>
      </c>
      <c r="E496" s="12" t="s">
        <v>1997</v>
      </c>
      <c r="F496" s="12" t="s">
        <v>1998</v>
      </c>
      <c r="G496" s="12" t="s">
        <v>1999</v>
      </c>
      <c r="H496" s="12" t="s">
        <v>1452</v>
      </c>
      <c r="I496" s="12" t="s">
        <v>1420</v>
      </c>
      <c r="J496" s="12" t="s">
        <v>1414</v>
      </c>
      <c r="K496" s="12" t="s">
        <v>1420</v>
      </c>
      <c r="L496" s="12" t="s">
        <v>1420</v>
      </c>
      <c r="M496" s="12" t="s">
        <v>1420</v>
      </c>
      <c r="N496" s="12" t="s">
        <v>1420</v>
      </c>
      <c r="O496" s="12" t="s">
        <v>1420</v>
      </c>
      <c r="P496" s="12" t="s">
        <v>1420</v>
      </c>
      <c r="Q496" s="12" t="s">
        <v>1420</v>
      </c>
      <c r="R496" s="12" t="s">
        <v>1420</v>
      </c>
      <c r="S496" s="12" t="s">
        <v>1420</v>
      </c>
      <c r="T496" s="12" t="s">
        <v>1420</v>
      </c>
      <c r="U496" s="12" t="s">
        <v>1420</v>
      </c>
      <c r="V496" s="12" t="s">
        <v>1420</v>
      </c>
      <c r="W496" s="12" t="s">
        <v>1420</v>
      </c>
      <c r="X496" s="12" t="s">
        <v>1420</v>
      </c>
      <c r="Y496" s="12" t="s">
        <v>1420</v>
      </c>
      <c r="Z496" s="12" t="s">
        <v>1420</v>
      </c>
      <c r="AA496" s="12" t="s">
        <v>1420</v>
      </c>
      <c r="AB496" s="12" t="s">
        <v>1420</v>
      </c>
      <c r="AC496" s="12" t="s">
        <v>1420</v>
      </c>
      <c r="AD496" s="12" t="s">
        <v>1420</v>
      </c>
      <c r="AE496" s="12" t="s">
        <v>1420</v>
      </c>
      <c r="AF496" s="12" t="s">
        <v>1420</v>
      </c>
      <c r="AG496" s="12" t="s">
        <v>1420</v>
      </c>
    </row>
    <row r="497" spans="1:33" ht="14.4" x14ac:dyDescent="0.3">
      <c r="A497" s="12" t="s">
        <v>8</v>
      </c>
      <c r="B497" s="12" t="s">
        <v>137</v>
      </c>
      <c r="C497" s="12" t="s">
        <v>136</v>
      </c>
      <c r="D497" s="12" t="s">
        <v>1410</v>
      </c>
      <c r="E497" s="12" t="s">
        <v>2338</v>
      </c>
      <c r="F497" s="12" t="s">
        <v>2345</v>
      </c>
      <c r="G497" s="12" t="s">
        <v>2346</v>
      </c>
      <c r="H497" s="12" t="s">
        <v>1464</v>
      </c>
      <c r="I497" s="12" t="s">
        <v>1420</v>
      </c>
      <c r="J497" s="12" t="s">
        <v>1420</v>
      </c>
      <c r="K497" s="12" t="s">
        <v>1420</v>
      </c>
      <c r="L497" s="12" t="s">
        <v>1420</v>
      </c>
      <c r="M497" s="12" t="s">
        <v>1420</v>
      </c>
      <c r="N497" s="12" t="s">
        <v>1420</v>
      </c>
      <c r="O497" s="12" t="s">
        <v>1420</v>
      </c>
      <c r="P497" s="12" t="s">
        <v>1420</v>
      </c>
      <c r="Q497" s="12" t="s">
        <v>1420</v>
      </c>
      <c r="R497" s="12" t="s">
        <v>1420</v>
      </c>
      <c r="S497" s="12" t="s">
        <v>1420</v>
      </c>
      <c r="T497" s="12" t="s">
        <v>1420</v>
      </c>
      <c r="U497" s="12" t="s">
        <v>1420</v>
      </c>
      <c r="V497" s="12" t="s">
        <v>1420</v>
      </c>
      <c r="W497" s="12" t="s">
        <v>1420</v>
      </c>
      <c r="X497" s="12" t="s">
        <v>1420</v>
      </c>
      <c r="Y497" s="12" t="s">
        <v>1420</v>
      </c>
      <c r="Z497" s="12" t="s">
        <v>1420</v>
      </c>
      <c r="AA497" s="12" t="s">
        <v>1420</v>
      </c>
      <c r="AB497" s="12" t="s">
        <v>1420</v>
      </c>
      <c r="AC497" s="12" t="s">
        <v>1420</v>
      </c>
      <c r="AD497" s="12" t="s">
        <v>1420</v>
      </c>
      <c r="AE497" s="12" t="s">
        <v>1420</v>
      </c>
      <c r="AF497" s="12" t="s">
        <v>1420</v>
      </c>
      <c r="AG497" s="12" t="s">
        <v>1420</v>
      </c>
    </row>
    <row r="498" spans="1:33" ht="14.4" x14ac:dyDescent="0.3">
      <c r="A498" s="12" t="s">
        <v>31</v>
      </c>
      <c r="B498" s="12" t="s">
        <v>288</v>
      </c>
      <c r="C498" s="12" t="s">
        <v>287</v>
      </c>
      <c r="D498" s="12" t="s">
        <v>1410</v>
      </c>
      <c r="E498" s="12" t="s">
        <v>2681</v>
      </c>
      <c r="F498" s="12" t="s">
        <v>2682</v>
      </c>
      <c r="G498" s="12" t="s">
        <v>2683</v>
      </c>
      <c r="H498" s="12" t="s">
        <v>1452</v>
      </c>
      <c r="I498" s="12" t="s">
        <v>1420</v>
      </c>
      <c r="J498" s="12" t="s">
        <v>1420</v>
      </c>
      <c r="K498" s="12" t="s">
        <v>1420</v>
      </c>
      <c r="L498" s="12" t="s">
        <v>1420</v>
      </c>
      <c r="M498" s="12" t="s">
        <v>1420</v>
      </c>
      <c r="N498" s="12" t="s">
        <v>1420</v>
      </c>
      <c r="O498" s="12" t="s">
        <v>1420</v>
      </c>
      <c r="P498" s="12" t="s">
        <v>1420</v>
      </c>
      <c r="Q498" s="12" t="s">
        <v>1420</v>
      </c>
      <c r="R498" s="12" t="s">
        <v>1420</v>
      </c>
      <c r="S498" s="12" t="s">
        <v>1414</v>
      </c>
      <c r="T498" s="12" t="s">
        <v>1420</v>
      </c>
      <c r="U498" s="12" t="s">
        <v>1420</v>
      </c>
      <c r="V498" s="12" t="s">
        <v>1420</v>
      </c>
      <c r="W498" s="12" t="s">
        <v>1420</v>
      </c>
      <c r="X498" s="12" t="s">
        <v>1420</v>
      </c>
      <c r="Y498" s="12" t="s">
        <v>1420</v>
      </c>
      <c r="Z498" s="12" t="s">
        <v>1420</v>
      </c>
      <c r="AA498" s="12" t="s">
        <v>1420</v>
      </c>
      <c r="AB498" s="12" t="s">
        <v>1420</v>
      </c>
      <c r="AC498" s="12" t="s">
        <v>1420</v>
      </c>
      <c r="AD498" s="12" t="s">
        <v>1420</v>
      </c>
      <c r="AE498" s="12" t="s">
        <v>1420</v>
      </c>
      <c r="AF498" s="12" t="s">
        <v>1420</v>
      </c>
      <c r="AG498" s="12" t="s">
        <v>1420</v>
      </c>
    </row>
    <row r="499" spans="1:33" ht="14.4" x14ac:dyDescent="0.3">
      <c r="A499" s="12" t="s">
        <v>31</v>
      </c>
      <c r="B499" s="12" t="s">
        <v>288</v>
      </c>
      <c r="C499" s="12" t="s">
        <v>287</v>
      </c>
      <c r="D499" s="12" t="s">
        <v>1410</v>
      </c>
      <c r="E499" s="12" t="s">
        <v>5784</v>
      </c>
      <c r="F499" s="12" t="s">
        <v>5809</v>
      </c>
      <c r="G499" s="12" t="s">
        <v>2666</v>
      </c>
      <c r="H499" s="12" t="s">
        <v>1452</v>
      </c>
      <c r="I499" s="12" t="s">
        <v>1420</v>
      </c>
      <c r="J499" s="12" t="s">
        <v>1420</v>
      </c>
      <c r="K499" s="12" t="s">
        <v>1420</v>
      </c>
      <c r="L499" s="12" t="s">
        <v>1420</v>
      </c>
      <c r="M499" s="12" t="s">
        <v>1420</v>
      </c>
      <c r="N499" s="12" t="s">
        <v>1420</v>
      </c>
      <c r="O499" s="12" t="s">
        <v>1420</v>
      </c>
      <c r="P499" s="12" t="s">
        <v>1420</v>
      </c>
      <c r="Q499" s="12" t="s">
        <v>1420</v>
      </c>
      <c r="R499" s="12" t="s">
        <v>1420</v>
      </c>
      <c r="S499" s="12" t="s">
        <v>1420</v>
      </c>
      <c r="T499" s="12" t="s">
        <v>1420</v>
      </c>
      <c r="U499" s="12" t="s">
        <v>1420</v>
      </c>
      <c r="V499" s="12" t="s">
        <v>1420</v>
      </c>
      <c r="W499" s="12" t="s">
        <v>1420</v>
      </c>
      <c r="X499" s="12" t="s">
        <v>1420</v>
      </c>
      <c r="Y499" s="12" t="s">
        <v>1420</v>
      </c>
      <c r="Z499" s="12" t="s">
        <v>1420</v>
      </c>
      <c r="AA499" s="12" t="s">
        <v>1420</v>
      </c>
      <c r="AB499" s="12" t="s">
        <v>1420</v>
      </c>
      <c r="AC499" s="12" t="s">
        <v>1420</v>
      </c>
      <c r="AD499" s="12" t="s">
        <v>1414</v>
      </c>
      <c r="AE499" s="12" t="s">
        <v>1420</v>
      </c>
      <c r="AF499" s="12" t="s">
        <v>1420</v>
      </c>
      <c r="AG499" s="12" t="s">
        <v>1420</v>
      </c>
    </row>
    <row r="500" spans="1:33" ht="14.4" x14ac:dyDescent="0.3">
      <c r="A500" s="12" t="s">
        <v>71</v>
      </c>
      <c r="B500" s="12" t="s">
        <v>592</v>
      </c>
      <c r="C500" s="12" t="s">
        <v>591</v>
      </c>
      <c r="D500" s="12" t="s">
        <v>1410</v>
      </c>
      <c r="E500" s="12" t="s">
        <v>2331</v>
      </c>
      <c r="F500" s="12" t="s">
        <v>2332</v>
      </c>
      <c r="G500" s="12" t="s">
        <v>2333</v>
      </c>
      <c r="H500" s="12" t="s">
        <v>1488</v>
      </c>
      <c r="I500" s="12" t="s">
        <v>1420</v>
      </c>
      <c r="J500" s="12" t="s">
        <v>1420</v>
      </c>
      <c r="K500" s="12" t="s">
        <v>1420</v>
      </c>
      <c r="L500" s="12" t="s">
        <v>1420</v>
      </c>
      <c r="M500" s="12" t="s">
        <v>1420</v>
      </c>
      <c r="N500" s="12" t="s">
        <v>1420</v>
      </c>
      <c r="O500" s="12" t="s">
        <v>1420</v>
      </c>
      <c r="P500" s="12" t="s">
        <v>1414</v>
      </c>
      <c r="Q500" s="12" t="s">
        <v>1420</v>
      </c>
      <c r="R500" s="12" t="s">
        <v>1420</v>
      </c>
      <c r="S500" s="12" t="s">
        <v>1420</v>
      </c>
      <c r="T500" s="12" t="s">
        <v>1420</v>
      </c>
      <c r="U500" s="12" t="s">
        <v>1420</v>
      </c>
      <c r="V500" s="12" t="s">
        <v>1420</v>
      </c>
      <c r="W500" s="12" t="s">
        <v>1420</v>
      </c>
      <c r="X500" s="12" t="s">
        <v>1414</v>
      </c>
      <c r="Y500" s="12" t="s">
        <v>1420</v>
      </c>
      <c r="Z500" s="12" t="s">
        <v>1420</v>
      </c>
      <c r="AA500" s="12" t="s">
        <v>1414</v>
      </c>
      <c r="AB500" s="12" t="s">
        <v>1420</v>
      </c>
      <c r="AC500" s="12" t="s">
        <v>1420</v>
      </c>
      <c r="AD500" s="12" t="s">
        <v>1420</v>
      </c>
      <c r="AE500" s="12" t="s">
        <v>1414</v>
      </c>
      <c r="AF500" s="12" t="s">
        <v>1420</v>
      </c>
      <c r="AG500" s="12" t="s">
        <v>1420</v>
      </c>
    </row>
    <row r="501" spans="1:33" ht="14.4" x14ac:dyDescent="0.3">
      <c r="A501" s="12" t="s">
        <v>49</v>
      </c>
      <c r="B501" s="12" t="s">
        <v>139</v>
      </c>
      <c r="C501" s="12" t="s">
        <v>138</v>
      </c>
      <c r="D501" s="12" t="s">
        <v>1410</v>
      </c>
      <c r="E501" s="12" t="s">
        <v>2098</v>
      </c>
      <c r="F501" s="12" t="s">
        <v>2105</v>
      </c>
      <c r="G501" s="12" t="s">
        <v>2106</v>
      </c>
      <c r="H501" s="12" t="s">
        <v>1452</v>
      </c>
      <c r="I501" s="12" t="s">
        <v>1420</v>
      </c>
      <c r="J501" s="12" t="s">
        <v>1414</v>
      </c>
      <c r="K501" s="12" t="s">
        <v>1420</v>
      </c>
      <c r="L501" s="12" t="s">
        <v>1420</v>
      </c>
      <c r="M501" s="12" t="s">
        <v>1420</v>
      </c>
      <c r="N501" s="12" t="s">
        <v>1420</v>
      </c>
      <c r="O501" s="12" t="s">
        <v>1420</v>
      </c>
      <c r="P501" s="12" t="s">
        <v>1420</v>
      </c>
      <c r="Q501" s="12" t="s">
        <v>1420</v>
      </c>
      <c r="R501" s="12" t="s">
        <v>1420</v>
      </c>
      <c r="S501" s="12" t="s">
        <v>1420</v>
      </c>
      <c r="T501" s="12" t="s">
        <v>1420</v>
      </c>
      <c r="U501" s="12" t="s">
        <v>1420</v>
      </c>
      <c r="V501" s="12" t="s">
        <v>1420</v>
      </c>
      <c r="W501" s="12" t="s">
        <v>1420</v>
      </c>
      <c r="X501" s="12" t="s">
        <v>1420</v>
      </c>
      <c r="Y501" s="12" t="s">
        <v>1420</v>
      </c>
      <c r="Z501" s="12" t="s">
        <v>1420</v>
      </c>
      <c r="AA501" s="12" t="s">
        <v>1420</v>
      </c>
      <c r="AB501" s="12" t="s">
        <v>1420</v>
      </c>
      <c r="AC501" s="12" t="s">
        <v>1420</v>
      </c>
      <c r="AD501" s="12" t="s">
        <v>1420</v>
      </c>
      <c r="AE501" s="12" t="s">
        <v>1420</v>
      </c>
      <c r="AF501" s="12" t="s">
        <v>1420</v>
      </c>
      <c r="AG501" s="12" t="s">
        <v>1420</v>
      </c>
    </row>
    <row r="502" spans="1:33" ht="14.4" x14ac:dyDescent="0.3">
      <c r="A502" s="12" t="s">
        <v>42</v>
      </c>
      <c r="B502" s="12" t="s">
        <v>139</v>
      </c>
      <c r="C502" s="12" t="s">
        <v>140</v>
      </c>
      <c r="D502" s="12" t="s">
        <v>1410</v>
      </c>
      <c r="E502" s="12" t="s">
        <v>1665</v>
      </c>
      <c r="F502" s="12" t="s">
        <v>1666</v>
      </c>
      <c r="G502" s="12" t="s">
        <v>1667</v>
      </c>
      <c r="H502" s="12" t="s">
        <v>1464</v>
      </c>
      <c r="I502" s="12" t="s">
        <v>1420</v>
      </c>
      <c r="J502" s="12" t="s">
        <v>1420</v>
      </c>
      <c r="K502" s="12" t="s">
        <v>1420</v>
      </c>
      <c r="L502" s="12" t="s">
        <v>1420</v>
      </c>
      <c r="M502" s="12" t="s">
        <v>1420</v>
      </c>
      <c r="N502" s="12" t="s">
        <v>1420</v>
      </c>
      <c r="O502" s="12" t="s">
        <v>1420</v>
      </c>
      <c r="P502" s="12" t="s">
        <v>1420</v>
      </c>
      <c r="Q502" s="12" t="s">
        <v>1420</v>
      </c>
      <c r="R502" s="12" t="s">
        <v>1420</v>
      </c>
      <c r="S502" s="12" t="s">
        <v>1420</v>
      </c>
      <c r="T502" s="12" t="s">
        <v>1420</v>
      </c>
      <c r="U502" s="12" t="s">
        <v>1420</v>
      </c>
      <c r="V502" s="12" t="s">
        <v>1420</v>
      </c>
      <c r="W502" s="12" t="s">
        <v>1420</v>
      </c>
      <c r="X502" s="12" t="s">
        <v>1420</v>
      </c>
      <c r="Y502" s="12" t="s">
        <v>1420</v>
      </c>
      <c r="Z502" s="12" t="s">
        <v>1420</v>
      </c>
      <c r="AA502" s="12" t="s">
        <v>1420</v>
      </c>
      <c r="AB502" s="12" t="s">
        <v>1420</v>
      </c>
      <c r="AC502" s="12" t="s">
        <v>1420</v>
      </c>
      <c r="AD502" s="12" t="s">
        <v>1420</v>
      </c>
      <c r="AE502" s="12" t="s">
        <v>1420</v>
      </c>
      <c r="AF502" s="12" t="s">
        <v>1420</v>
      </c>
      <c r="AG502" s="12" t="s">
        <v>1420</v>
      </c>
    </row>
    <row r="503" spans="1:33" ht="14.4" x14ac:dyDescent="0.3">
      <c r="A503" s="12" t="s">
        <v>55</v>
      </c>
      <c r="B503" s="12" t="s">
        <v>142</v>
      </c>
      <c r="C503" s="12" t="s">
        <v>141</v>
      </c>
      <c r="D503" s="12" t="s">
        <v>1410</v>
      </c>
      <c r="E503" s="12" t="s">
        <v>2088</v>
      </c>
      <c r="F503" s="12" t="s">
        <v>2089</v>
      </c>
      <c r="G503" s="12" t="s">
        <v>2090</v>
      </c>
      <c r="H503" s="12" t="s">
        <v>1438</v>
      </c>
      <c r="I503" s="12" t="s">
        <v>1420</v>
      </c>
      <c r="J503" s="12" t="s">
        <v>1420</v>
      </c>
      <c r="K503" s="12" t="s">
        <v>1420</v>
      </c>
      <c r="L503" s="12" t="s">
        <v>1420</v>
      </c>
      <c r="M503" s="12" t="s">
        <v>1420</v>
      </c>
      <c r="N503" s="12" t="s">
        <v>1414</v>
      </c>
      <c r="O503" s="12" t="s">
        <v>1414</v>
      </c>
      <c r="P503" s="12" t="s">
        <v>1420</v>
      </c>
      <c r="Q503" s="12" t="s">
        <v>1420</v>
      </c>
      <c r="R503" s="12" t="s">
        <v>1420</v>
      </c>
      <c r="S503" s="12" t="s">
        <v>1414</v>
      </c>
      <c r="T503" s="12" t="s">
        <v>1414</v>
      </c>
      <c r="U503" s="12" t="s">
        <v>1420</v>
      </c>
      <c r="V503" s="12" t="s">
        <v>1420</v>
      </c>
      <c r="W503" s="12" t="s">
        <v>1414</v>
      </c>
      <c r="X503" s="12" t="s">
        <v>1420</v>
      </c>
      <c r="Y503" s="12" t="s">
        <v>1420</v>
      </c>
      <c r="Z503" s="12" t="s">
        <v>1420</v>
      </c>
      <c r="AA503" s="12" t="s">
        <v>1420</v>
      </c>
      <c r="AB503" s="12" t="s">
        <v>1420</v>
      </c>
      <c r="AC503" s="12" t="s">
        <v>1420</v>
      </c>
      <c r="AD503" s="12" t="s">
        <v>1415</v>
      </c>
      <c r="AE503" s="12" t="s">
        <v>1420</v>
      </c>
      <c r="AF503" s="12" t="s">
        <v>1420</v>
      </c>
      <c r="AG503" s="12" t="s">
        <v>1420</v>
      </c>
    </row>
    <row r="504" spans="1:33" ht="14.4" x14ac:dyDescent="0.3">
      <c r="A504" s="12" t="s">
        <v>55</v>
      </c>
      <c r="B504" s="12" t="s">
        <v>142</v>
      </c>
      <c r="C504" s="12" t="s">
        <v>141</v>
      </c>
      <c r="D504" s="12" t="s">
        <v>1410</v>
      </c>
      <c r="E504" s="12" t="s">
        <v>2169</v>
      </c>
      <c r="F504" s="12" t="s">
        <v>2167</v>
      </c>
      <c r="G504" s="12" t="s">
        <v>2170</v>
      </c>
      <c r="H504" s="12" t="s">
        <v>1464</v>
      </c>
      <c r="I504" s="12" t="s">
        <v>1420</v>
      </c>
      <c r="J504" s="12" t="s">
        <v>1420</v>
      </c>
      <c r="K504" s="12" t="s">
        <v>1420</v>
      </c>
      <c r="L504" s="12" t="s">
        <v>1420</v>
      </c>
      <c r="M504" s="12" t="s">
        <v>1420</v>
      </c>
      <c r="N504" s="12" t="s">
        <v>1420</v>
      </c>
      <c r="O504" s="12" t="s">
        <v>1420</v>
      </c>
      <c r="P504" s="12" t="s">
        <v>1420</v>
      </c>
      <c r="Q504" s="12" t="s">
        <v>1420</v>
      </c>
      <c r="R504" s="12" t="s">
        <v>1420</v>
      </c>
      <c r="S504" s="12" t="s">
        <v>1420</v>
      </c>
      <c r="T504" s="12" t="s">
        <v>1420</v>
      </c>
      <c r="U504" s="12" t="s">
        <v>1420</v>
      </c>
      <c r="V504" s="12" t="s">
        <v>1420</v>
      </c>
      <c r="W504" s="12" t="s">
        <v>1420</v>
      </c>
      <c r="X504" s="12" t="s">
        <v>1420</v>
      </c>
      <c r="Y504" s="12" t="s">
        <v>1420</v>
      </c>
      <c r="Z504" s="12" t="s">
        <v>1420</v>
      </c>
      <c r="AA504" s="12" t="s">
        <v>1420</v>
      </c>
      <c r="AB504" s="12" t="s">
        <v>1420</v>
      </c>
      <c r="AC504" s="12" t="s">
        <v>1420</v>
      </c>
      <c r="AD504" s="12" t="s">
        <v>1420</v>
      </c>
      <c r="AE504" s="12" t="s">
        <v>1420</v>
      </c>
      <c r="AF504" s="12" t="s">
        <v>1420</v>
      </c>
      <c r="AG504" s="12" t="s">
        <v>1420</v>
      </c>
    </row>
    <row r="505" spans="1:33" ht="14.4" x14ac:dyDescent="0.3">
      <c r="A505" s="12" t="s">
        <v>31</v>
      </c>
      <c r="B505" s="12" t="s">
        <v>1226</v>
      </c>
      <c r="C505" s="12" t="s">
        <v>1225</v>
      </c>
      <c r="D505" s="12" t="s">
        <v>1410</v>
      </c>
      <c r="E505" s="12" t="s">
        <v>2256</v>
      </c>
      <c r="F505" s="12" t="s">
        <v>2257</v>
      </c>
      <c r="G505" s="12" t="s">
        <v>2258</v>
      </c>
      <c r="H505" s="12" t="s">
        <v>1424</v>
      </c>
      <c r="I505" s="12" t="s">
        <v>1420</v>
      </c>
      <c r="J505" s="12" t="s">
        <v>1414</v>
      </c>
      <c r="K505" s="12" t="s">
        <v>1420</v>
      </c>
      <c r="L505" s="12" t="s">
        <v>1420</v>
      </c>
      <c r="M505" s="12" t="s">
        <v>1420</v>
      </c>
      <c r="N505" s="12" t="s">
        <v>1414</v>
      </c>
      <c r="O505" s="12" t="s">
        <v>1420</v>
      </c>
      <c r="P505" s="12" t="s">
        <v>1420</v>
      </c>
      <c r="Q505" s="12" t="s">
        <v>1420</v>
      </c>
      <c r="R505" s="12" t="s">
        <v>1420</v>
      </c>
      <c r="S505" s="12" t="s">
        <v>1420</v>
      </c>
      <c r="T505" s="12" t="s">
        <v>1420</v>
      </c>
      <c r="U505" s="12" t="s">
        <v>1420</v>
      </c>
      <c r="V505" s="12" t="s">
        <v>1420</v>
      </c>
      <c r="W505" s="12" t="s">
        <v>1420</v>
      </c>
      <c r="X505" s="12" t="s">
        <v>1420</v>
      </c>
      <c r="Y505" s="12" t="s">
        <v>1420</v>
      </c>
      <c r="Z505" s="12" t="s">
        <v>1420</v>
      </c>
      <c r="AA505" s="12" t="s">
        <v>1420</v>
      </c>
      <c r="AB505" s="12" t="s">
        <v>1420</v>
      </c>
      <c r="AC505" s="12" t="s">
        <v>1420</v>
      </c>
      <c r="AD505" s="12" t="s">
        <v>1414</v>
      </c>
      <c r="AE505" s="12" t="s">
        <v>1420</v>
      </c>
      <c r="AF505" s="12" t="s">
        <v>1420</v>
      </c>
      <c r="AG505" s="12" t="s">
        <v>1420</v>
      </c>
    </row>
    <row r="506" spans="1:33" ht="14.4" x14ac:dyDescent="0.3">
      <c r="A506" s="12" t="s">
        <v>31</v>
      </c>
      <c r="B506" s="12" t="s">
        <v>1228</v>
      </c>
      <c r="C506" s="12" t="s">
        <v>1227</v>
      </c>
      <c r="D506" s="12" t="s">
        <v>1410</v>
      </c>
      <c r="E506" s="12" t="s">
        <v>2767</v>
      </c>
      <c r="F506" s="12" t="s">
        <v>2768</v>
      </c>
      <c r="G506" s="12" t="s">
        <v>2769</v>
      </c>
      <c r="H506" s="12" t="s">
        <v>1419</v>
      </c>
      <c r="I506" s="12" t="s">
        <v>1420</v>
      </c>
      <c r="J506" s="12" t="s">
        <v>1414</v>
      </c>
      <c r="K506" s="12" t="s">
        <v>1420</v>
      </c>
      <c r="L506" s="12" t="s">
        <v>1420</v>
      </c>
      <c r="M506" s="12" t="s">
        <v>1420</v>
      </c>
      <c r="N506" s="12" t="s">
        <v>1420</v>
      </c>
      <c r="O506" s="12" t="s">
        <v>1420</v>
      </c>
      <c r="P506" s="12" t="s">
        <v>1420</v>
      </c>
      <c r="Q506" s="12" t="s">
        <v>1420</v>
      </c>
      <c r="R506" s="12" t="s">
        <v>1420</v>
      </c>
      <c r="S506" s="12" t="s">
        <v>1420</v>
      </c>
      <c r="T506" s="12" t="s">
        <v>1420</v>
      </c>
      <c r="U506" s="12" t="s">
        <v>1420</v>
      </c>
      <c r="V506" s="12" t="s">
        <v>1420</v>
      </c>
      <c r="W506" s="12" t="s">
        <v>1420</v>
      </c>
      <c r="X506" s="12" t="s">
        <v>1414</v>
      </c>
      <c r="Y506" s="12" t="s">
        <v>1420</v>
      </c>
      <c r="Z506" s="12" t="s">
        <v>1420</v>
      </c>
      <c r="AA506" s="12" t="s">
        <v>1420</v>
      </c>
      <c r="AB506" s="12" t="s">
        <v>1420</v>
      </c>
      <c r="AC506" s="12" t="s">
        <v>1420</v>
      </c>
      <c r="AD506" s="12" t="s">
        <v>1420</v>
      </c>
      <c r="AE506" s="12" t="s">
        <v>1420</v>
      </c>
      <c r="AF506" s="12" t="s">
        <v>1420</v>
      </c>
      <c r="AG506" s="12" t="s">
        <v>1420</v>
      </c>
    </row>
    <row r="507" spans="1:33" ht="14.4" x14ac:dyDescent="0.3">
      <c r="A507" s="12" t="s">
        <v>31</v>
      </c>
      <c r="B507" s="12" t="s">
        <v>594</v>
      </c>
      <c r="C507" s="12" t="s">
        <v>593</v>
      </c>
      <c r="D507" s="12" t="s">
        <v>1410</v>
      </c>
      <c r="E507" s="12" t="s">
        <v>2997</v>
      </c>
      <c r="F507" s="12" t="s">
        <v>2998</v>
      </c>
      <c r="G507" s="12" t="s">
        <v>2999</v>
      </c>
      <c r="H507" s="12" t="s">
        <v>1785</v>
      </c>
      <c r="I507" s="12" t="s">
        <v>1420</v>
      </c>
      <c r="J507" s="12" t="s">
        <v>1420</v>
      </c>
      <c r="K507" s="12" t="s">
        <v>1420</v>
      </c>
      <c r="L507" s="12" t="s">
        <v>1420</v>
      </c>
      <c r="M507" s="12" t="s">
        <v>1420</v>
      </c>
      <c r="N507" s="12" t="s">
        <v>1420</v>
      </c>
      <c r="O507" s="12" t="s">
        <v>1414</v>
      </c>
      <c r="P507" s="12" t="s">
        <v>1414</v>
      </c>
      <c r="Q507" s="12" t="s">
        <v>1420</v>
      </c>
      <c r="R507" s="12" t="s">
        <v>1414</v>
      </c>
      <c r="S507" s="12" t="s">
        <v>1420</v>
      </c>
      <c r="T507" s="12" t="s">
        <v>1414</v>
      </c>
      <c r="U507" s="12" t="s">
        <v>1420</v>
      </c>
      <c r="V507" s="12" t="s">
        <v>1420</v>
      </c>
      <c r="W507" s="12" t="s">
        <v>1414</v>
      </c>
      <c r="X507" s="12" t="s">
        <v>1420</v>
      </c>
      <c r="Y507" s="12" t="s">
        <v>1420</v>
      </c>
      <c r="Z507" s="12" t="s">
        <v>1414</v>
      </c>
      <c r="AA507" s="12" t="s">
        <v>1414</v>
      </c>
      <c r="AB507" s="12" t="s">
        <v>1414</v>
      </c>
      <c r="AC507" s="12" t="s">
        <v>1414</v>
      </c>
      <c r="AD507" s="12" t="s">
        <v>1414</v>
      </c>
      <c r="AE507" s="12" t="s">
        <v>1414</v>
      </c>
      <c r="AF507" s="12" t="s">
        <v>1420</v>
      </c>
      <c r="AG507" s="12" t="s">
        <v>1414</v>
      </c>
    </row>
    <row r="508" spans="1:33" ht="14.4" x14ac:dyDescent="0.3">
      <c r="A508" s="12" t="s">
        <v>31</v>
      </c>
      <c r="B508" s="12" t="s">
        <v>361</v>
      </c>
      <c r="C508" s="12" t="s">
        <v>360</v>
      </c>
      <c r="D508" s="12" t="s">
        <v>1410</v>
      </c>
      <c r="E508" s="12" t="s">
        <v>1712</v>
      </c>
      <c r="F508" s="12" t="s">
        <v>1713</v>
      </c>
      <c r="G508" s="12" t="s">
        <v>1714</v>
      </c>
      <c r="H508" s="12" t="s">
        <v>1419</v>
      </c>
      <c r="I508" s="12" t="s">
        <v>1420</v>
      </c>
      <c r="J508" s="12" t="s">
        <v>1420</v>
      </c>
      <c r="K508" s="12" t="s">
        <v>1420</v>
      </c>
      <c r="L508" s="12" t="s">
        <v>1420</v>
      </c>
      <c r="M508" s="12" t="s">
        <v>1420</v>
      </c>
      <c r="N508" s="12" t="s">
        <v>1420</v>
      </c>
      <c r="O508" s="12" t="s">
        <v>1414</v>
      </c>
      <c r="P508" s="12" t="s">
        <v>1420</v>
      </c>
      <c r="Q508" s="12" t="s">
        <v>1420</v>
      </c>
      <c r="R508" s="12" t="s">
        <v>1420</v>
      </c>
      <c r="S508" s="12" t="s">
        <v>1414</v>
      </c>
      <c r="T508" s="12" t="s">
        <v>1420</v>
      </c>
      <c r="U508" s="12" t="s">
        <v>1420</v>
      </c>
      <c r="V508" s="12" t="s">
        <v>1420</v>
      </c>
      <c r="W508" s="12" t="s">
        <v>1420</v>
      </c>
      <c r="X508" s="12" t="s">
        <v>1420</v>
      </c>
      <c r="Y508" s="12" t="s">
        <v>1420</v>
      </c>
      <c r="Z508" s="12" t="s">
        <v>1420</v>
      </c>
      <c r="AA508" s="12" t="s">
        <v>1420</v>
      </c>
      <c r="AB508" s="12" t="s">
        <v>1420</v>
      </c>
      <c r="AC508" s="12" t="s">
        <v>1420</v>
      </c>
      <c r="AD508" s="12" t="s">
        <v>1420</v>
      </c>
      <c r="AE508" s="12" t="s">
        <v>1420</v>
      </c>
      <c r="AF508" s="12" t="s">
        <v>1420</v>
      </c>
      <c r="AG508" s="12" t="s">
        <v>1420</v>
      </c>
    </row>
    <row r="509" spans="1:33" ht="14.4" x14ac:dyDescent="0.3">
      <c r="A509" s="12" t="s">
        <v>49</v>
      </c>
      <c r="B509" s="12" t="s">
        <v>144</v>
      </c>
      <c r="C509" s="12" t="s">
        <v>143</v>
      </c>
      <c r="D509" s="12" t="s">
        <v>1410</v>
      </c>
      <c r="E509" s="12" t="s">
        <v>2562</v>
      </c>
      <c r="F509" s="12" t="s">
        <v>2563</v>
      </c>
      <c r="G509" s="12" t="s">
        <v>2564</v>
      </c>
      <c r="H509" s="12" t="s">
        <v>1424</v>
      </c>
      <c r="I509" s="12" t="s">
        <v>1420</v>
      </c>
      <c r="J509" s="12" t="s">
        <v>1420</v>
      </c>
      <c r="K509" s="12" t="s">
        <v>1420</v>
      </c>
      <c r="L509" s="12" t="s">
        <v>1420</v>
      </c>
      <c r="M509" s="12" t="s">
        <v>1420</v>
      </c>
      <c r="N509" s="12" t="s">
        <v>1414</v>
      </c>
      <c r="O509" s="12" t="s">
        <v>1420</v>
      </c>
      <c r="P509" s="12" t="s">
        <v>1420</v>
      </c>
      <c r="Q509" s="12" t="s">
        <v>1420</v>
      </c>
      <c r="R509" s="12" t="s">
        <v>1420</v>
      </c>
      <c r="S509" s="12" t="s">
        <v>1420</v>
      </c>
      <c r="T509" s="12" t="s">
        <v>1420</v>
      </c>
      <c r="U509" s="12" t="s">
        <v>1420</v>
      </c>
      <c r="V509" s="12" t="s">
        <v>1420</v>
      </c>
      <c r="W509" s="12" t="s">
        <v>1420</v>
      </c>
      <c r="X509" s="12" t="s">
        <v>1420</v>
      </c>
      <c r="Y509" s="12" t="s">
        <v>1420</v>
      </c>
      <c r="Z509" s="12" t="s">
        <v>1414</v>
      </c>
      <c r="AA509" s="12" t="s">
        <v>1420</v>
      </c>
      <c r="AB509" s="12" t="s">
        <v>1420</v>
      </c>
      <c r="AC509" s="12" t="s">
        <v>1420</v>
      </c>
      <c r="AD509" s="12" t="s">
        <v>1420</v>
      </c>
      <c r="AE509" s="12" t="s">
        <v>1414</v>
      </c>
      <c r="AF509" s="12" t="s">
        <v>1420</v>
      </c>
      <c r="AG509" s="12" t="s">
        <v>1420</v>
      </c>
    </row>
    <row r="510" spans="1:33" ht="14.4" x14ac:dyDescent="0.3">
      <c r="A510" s="12" t="s">
        <v>49</v>
      </c>
      <c r="B510" s="12" t="s">
        <v>905</v>
      </c>
      <c r="C510" s="12" t="s">
        <v>904</v>
      </c>
      <c r="D510" s="12" t="s">
        <v>1410</v>
      </c>
      <c r="E510" s="12" t="s">
        <v>2745</v>
      </c>
      <c r="F510" s="12" t="s">
        <v>2746</v>
      </c>
      <c r="G510" s="12" t="s">
        <v>2747</v>
      </c>
      <c r="H510" s="12" t="s">
        <v>1452</v>
      </c>
      <c r="I510" s="12" t="s">
        <v>1420</v>
      </c>
      <c r="J510" s="12" t="s">
        <v>1420</v>
      </c>
      <c r="K510" s="12" t="s">
        <v>1420</v>
      </c>
      <c r="L510" s="12" t="s">
        <v>1420</v>
      </c>
      <c r="M510" s="12" t="s">
        <v>1420</v>
      </c>
      <c r="N510" s="12" t="s">
        <v>1420</v>
      </c>
      <c r="O510" s="12" t="s">
        <v>1420</v>
      </c>
      <c r="P510" s="12" t="s">
        <v>1420</v>
      </c>
      <c r="Q510" s="12" t="s">
        <v>1420</v>
      </c>
      <c r="R510" s="12" t="s">
        <v>1420</v>
      </c>
      <c r="S510" s="12" t="s">
        <v>1420</v>
      </c>
      <c r="T510" s="12" t="s">
        <v>1420</v>
      </c>
      <c r="U510" s="12" t="s">
        <v>1420</v>
      </c>
      <c r="V510" s="12" t="s">
        <v>1420</v>
      </c>
      <c r="W510" s="12" t="s">
        <v>1420</v>
      </c>
      <c r="X510" s="12" t="s">
        <v>1420</v>
      </c>
      <c r="Y510" s="12" t="s">
        <v>1420</v>
      </c>
      <c r="Z510" s="12" t="s">
        <v>1420</v>
      </c>
      <c r="AA510" s="12" t="s">
        <v>1414</v>
      </c>
      <c r="AB510" s="12" t="s">
        <v>1420</v>
      </c>
      <c r="AC510" s="12" t="s">
        <v>1420</v>
      </c>
      <c r="AD510" s="12" t="s">
        <v>1420</v>
      </c>
      <c r="AE510" s="12" t="s">
        <v>1420</v>
      </c>
      <c r="AF510" s="12" t="s">
        <v>1420</v>
      </c>
      <c r="AG510" s="12" t="s">
        <v>1420</v>
      </c>
    </row>
    <row r="511" spans="1:33" ht="14.4" x14ac:dyDescent="0.3">
      <c r="A511" s="12" t="s">
        <v>31</v>
      </c>
      <c r="B511" s="12" t="s">
        <v>907</v>
      </c>
      <c r="C511" s="12" t="s">
        <v>906</v>
      </c>
      <c r="D511" s="12" t="s">
        <v>1410</v>
      </c>
      <c r="E511" s="12" t="s">
        <v>2337</v>
      </c>
      <c r="F511" s="12" t="s">
        <v>2338</v>
      </c>
      <c r="G511" s="12" t="s">
        <v>2265</v>
      </c>
      <c r="H511" s="12" t="s">
        <v>1419</v>
      </c>
      <c r="I511" s="12" t="s">
        <v>1420</v>
      </c>
      <c r="J511" s="12" t="s">
        <v>1420</v>
      </c>
      <c r="K511" s="12" t="s">
        <v>1420</v>
      </c>
      <c r="L511" s="12" t="s">
        <v>1420</v>
      </c>
      <c r="M511" s="12" t="s">
        <v>1420</v>
      </c>
      <c r="N511" s="12" t="s">
        <v>1420</v>
      </c>
      <c r="O511" s="12" t="s">
        <v>1420</v>
      </c>
      <c r="P511" s="12" t="s">
        <v>1414</v>
      </c>
      <c r="Q511" s="12" t="s">
        <v>1420</v>
      </c>
      <c r="R511" s="12" t="s">
        <v>1420</v>
      </c>
      <c r="S511" s="12" t="s">
        <v>1420</v>
      </c>
      <c r="T511" s="12" t="s">
        <v>1420</v>
      </c>
      <c r="U511" s="12" t="s">
        <v>1420</v>
      </c>
      <c r="V511" s="12" t="s">
        <v>1420</v>
      </c>
      <c r="W511" s="12" t="s">
        <v>1420</v>
      </c>
      <c r="X511" s="12" t="s">
        <v>1420</v>
      </c>
      <c r="Y511" s="12" t="s">
        <v>1420</v>
      </c>
      <c r="Z511" s="12" t="s">
        <v>1420</v>
      </c>
      <c r="AA511" s="12" t="s">
        <v>1414</v>
      </c>
      <c r="AB511" s="12" t="s">
        <v>1420</v>
      </c>
      <c r="AC511" s="12" t="s">
        <v>1420</v>
      </c>
      <c r="AD511" s="12" t="s">
        <v>1420</v>
      </c>
      <c r="AE511" s="12" t="s">
        <v>1420</v>
      </c>
      <c r="AF511" s="12" t="s">
        <v>1420</v>
      </c>
      <c r="AG511" s="12" t="s">
        <v>1420</v>
      </c>
    </row>
    <row r="512" spans="1:33" ht="14.4" x14ac:dyDescent="0.3">
      <c r="A512" s="12" t="s">
        <v>31</v>
      </c>
      <c r="B512" s="12" t="s">
        <v>5810</v>
      </c>
      <c r="C512" s="12" t="s">
        <v>5811</v>
      </c>
      <c r="D512" s="12" t="s">
        <v>1410</v>
      </c>
      <c r="E512" s="12" t="s">
        <v>5812</v>
      </c>
      <c r="F512" s="12" t="s">
        <v>5813</v>
      </c>
      <c r="G512" s="12" t="s">
        <v>4680</v>
      </c>
      <c r="H512" s="12" t="s">
        <v>1424</v>
      </c>
      <c r="I512" s="12" t="s">
        <v>1420</v>
      </c>
      <c r="J512" s="12" t="s">
        <v>1420</v>
      </c>
      <c r="K512" s="12" t="s">
        <v>1420</v>
      </c>
      <c r="L512" s="12" t="s">
        <v>1420</v>
      </c>
      <c r="M512" s="12" t="s">
        <v>1420</v>
      </c>
      <c r="N512" s="12" t="s">
        <v>1420</v>
      </c>
      <c r="O512" s="12" t="s">
        <v>1420</v>
      </c>
      <c r="P512" s="12" t="s">
        <v>1420</v>
      </c>
      <c r="Q512" s="12" t="s">
        <v>1420</v>
      </c>
      <c r="R512" s="12" t="s">
        <v>1420</v>
      </c>
      <c r="S512" s="12" t="s">
        <v>1420</v>
      </c>
      <c r="T512" s="12" t="s">
        <v>1420</v>
      </c>
      <c r="U512" s="12" t="s">
        <v>1414</v>
      </c>
      <c r="V512" s="12" t="s">
        <v>1420</v>
      </c>
      <c r="W512" s="12" t="s">
        <v>1420</v>
      </c>
      <c r="X512" s="12" t="s">
        <v>1420</v>
      </c>
      <c r="Y512" s="12" t="s">
        <v>1420</v>
      </c>
      <c r="Z512" s="12" t="s">
        <v>1420</v>
      </c>
      <c r="AA512" s="12" t="s">
        <v>1414</v>
      </c>
      <c r="AB512" s="12" t="s">
        <v>1420</v>
      </c>
      <c r="AC512" s="12" t="s">
        <v>1414</v>
      </c>
      <c r="AD512" s="12" t="s">
        <v>1420</v>
      </c>
      <c r="AE512" s="12" t="s">
        <v>1420</v>
      </c>
      <c r="AF512" s="12" t="s">
        <v>1420</v>
      </c>
      <c r="AG512" s="12" t="s">
        <v>1420</v>
      </c>
    </row>
    <row r="513" spans="1:33" ht="14.4" x14ac:dyDescent="0.3">
      <c r="A513" s="12" t="s">
        <v>8</v>
      </c>
      <c r="B513" s="12" t="s">
        <v>146</v>
      </c>
      <c r="C513" s="12" t="s">
        <v>145</v>
      </c>
      <c r="D513" s="12" t="s">
        <v>1410</v>
      </c>
      <c r="E513" s="12" t="s">
        <v>2439</v>
      </c>
      <c r="F513" s="12" t="s">
        <v>2442</v>
      </c>
      <c r="G513" s="12" t="s">
        <v>2443</v>
      </c>
      <c r="H513" s="12" t="s">
        <v>1419</v>
      </c>
      <c r="I513" s="12" t="s">
        <v>1420</v>
      </c>
      <c r="J513" s="12" t="s">
        <v>1414</v>
      </c>
      <c r="K513" s="12" t="s">
        <v>1420</v>
      </c>
      <c r="L513" s="12" t="s">
        <v>1420</v>
      </c>
      <c r="M513" s="12" t="s">
        <v>1420</v>
      </c>
      <c r="N513" s="12" t="s">
        <v>1420</v>
      </c>
      <c r="O513" s="12" t="s">
        <v>1420</v>
      </c>
      <c r="P513" s="12" t="s">
        <v>1420</v>
      </c>
      <c r="Q513" s="12" t="s">
        <v>1420</v>
      </c>
      <c r="R513" s="12" t="s">
        <v>1420</v>
      </c>
      <c r="S513" s="12" t="s">
        <v>1420</v>
      </c>
      <c r="T513" s="12" t="s">
        <v>1420</v>
      </c>
      <c r="U513" s="12" t="s">
        <v>1420</v>
      </c>
      <c r="V513" s="12" t="s">
        <v>1420</v>
      </c>
      <c r="W513" s="12" t="s">
        <v>1420</v>
      </c>
      <c r="X513" s="12" t="s">
        <v>1414</v>
      </c>
      <c r="Y513" s="12" t="s">
        <v>1420</v>
      </c>
      <c r="Z513" s="12" t="s">
        <v>1420</v>
      </c>
      <c r="AA513" s="12" t="s">
        <v>1420</v>
      </c>
      <c r="AB513" s="12" t="s">
        <v>1420</v>
      </c>
      <c r="AC513" s="12" t="s">
        <v>1420</v>
      </c>
      <c r="AD513" s="12" t="s">
        <v>1420</v>
      </c>
      <c r="AE513" s="12" t="s">
        <v>1420</v>
      </c>
      <c r="AF513" s="12" t="s">
        <v>1420</v>
      </c>
      <c r="AG513" s="12" t="s">
        <v>1420</v>
      </c>
    </row>
    <row r="514" spans="1:33" ht="14.4" x14ac:dyDescent="0.3">
      <c r="A514" s="12" t="s">
        <v>31</v>
      </c>
      <c r="B514" s="12" t="s">
        <v>5814</v>
      </c>
      <c r="C514" s="12" t="s">
        <v>5815</v>
      </c>
      <c r="D514" s="12" t="s">
        <v>1410</v>
      </c>
      <c r="E514" s="12" t="s">
        <v>5816</v>
      </c>
      <c r="F514" s="12" t="s">
        <v>5817</v>
      </c>
      <c r="G514" s="12" t="s">
        <v>5140</v>
      </c>
      <c r="H514" s="12" t="s">
        <v>1419</v>
      </c>
      <c r="I514" s="12" t="s">
        <v>1420</v>
      </c>
      <c r="J514" s="12" t="s">
        <v>1420</v>
      </c>
      <c r="K514" s="12" t="s">
        <v>1420</v>
      </c>
      <c r="L514" s="12" t="s">
        <v>1420</v>
      </c>
      <c r="M514" s="12" t="s">
        <v>1420</v>
      </c>
      <c r="N514" s="12" t="s">
        <v>1420</v>
      </c>
      <c r="O514" s="12" t="s">
        <v>1420</v>
      </c>
      <c r="P514" s="12" t="s">
        <v>1414</v>
      </c>
      <c r="Q514" s="12" t="s">
        <v>1420</v>
      </c>
      <c r="R514" s="12" t="s">
        <v>1420</v>
      </c>
      <c r="S514" s="12" t="s">
        <v>1420</v>
      </c>
      <c r="T514" s="12" t="s">
        <v>1420</v>
      </c>
      <c r="U514" s="12" t="s">
        <v>1420</v>
      </c>
      <c r="V514" s="12" t="s">
        <v>1420</v>
      </c>
      <c r="W514" s="12" t="s">
        <v>1420</v>
      </c>
      <c r="X514" s="12" t="s">
        <v>1420</v>
      </c>
      <c r="Y514" s="12" t="s">
        <v>1420</v>
      </c>
      <c r="Z514" s="12" t="s">
        <v>1420</v>
      </c>
      <c r="AA514" s="12" t="s">
        <v>1420</v>
      </c>
      <c r="AB514" s="12" t="s">
        <v>1420</v>
      </c>
      <c r="AC514" s="12" t="s">
        <v>1420</v>
      </c>
      <c r="AD514" s="12" t="s">
        <v>1414</v>
      </c>
      <c r="AE514" s="12" t="s">
        <v>1420</v>
      </c>
      <c r="AF514" s="12" t="s">
        <v>1420</v>
      </c>
      <c r="AG514" s="12" t="s">
        <v>1420</v>
      </c>
    </row>
    <row r="515" spans="1:33" ht="14.4" x14ac:dyDescent="0.3">
      <c r="A515" s="12" t="s">
        <v>31</v>
      </c>
      <c r="B515" s="12" t="s">
        <v>1112</v>
      </c>
      <c r="C515" s="12" t="s">
        <v>1111</v>
      </c>
      <c r="D515" s="12" t="s">
        <v>1410</v>
      </c>
      <c r="E515" s="12" t="s">
        <v>2767</v>
      </c>
      <c r="F515" s="12" t="s">
        <v>2770</v>
      </c>
      <c r="G515" s="12" t="s">
        <v>2771</v>
      </c>
      <c r="H515" s="12" t="s">
        <v>1464</v>
      </c>
      <c r="I515" s="12" t="s">
        <v>1420</v>
      </c>
      <c r="J515" s="12" t="s">
        <v>1420</v>
      </c>
      <c r="K515" s="12" t="s">
        <v>1420</v>
      </c>
      <c r="L515" s="12" t="s">
        <v>1420</v>
      </c>
      <c r="M515" s="12" t="s">
        <v>1420</v>
      </c>
      <c r="N515" s="12" t="s">
        <v>1420</v>
      </c>
      <c r="O515" s="12" t="s">
        <v>1420</v>
      </c>
      <c r="P515" s="12" t="s">
        <v>1420</v>
      </c>
      <c r="Q515" s="12" t="s">
        <v>1420</v>
      </c>
      <c r="R515" s="12" t="s">
        <v>1420</v>
      </c>
      <c r="S515" s="12" t="s">
        <v>1420</v>
      </c>
      <c r="T515" s="12" t="s">
        <v>1420</v>
      </c>
      <c r="U515" s="12" t="s">
        <v>1420</v>
      </c>
      <c r="V515" s="12" t="s">
        <v>1420</v>
      </c>
      <c r="W515" s="12" t="s">
        <v>1420</v>
      </c>
      <c r="X515" s="12" t="s">
        <v>1420</v>
      </c>
      <c r="Y515" s="12" t="s">
        <v>1420</v>
      </c>
      <c r="Z515" s="12" t="s">
        <v>1420</v>
      </c>
      <c r="AA515" s="12" t="s">
        <v>1420</v>
      </c>
      <c r="AB515" s="12" t="s">
        <v>1420</v>
      </c>
      <c r="AC515" s="12" t="s">
        <v>1420</v>
      </c>
      <c r="AD515" s="12" t="s">
        <v>1420</v>
      </c>
      <c r="AE515" s="12" t="s">
        <v>1420</v>
      </c>
      <c r="AF515" s="12" t="s">
        <v>1420</v>
      </c>
      <c r="AG515" s="12" t="s">
        <v>1420</v>
      </c>
    </row>
    <row r="516" spans="1:33" ht="14.4" x14ac:dyDescent="0.3">
      <c r="A516" s="12" t="s">
        <v>8</v>
      </c>
      <c r="B516" s="12" t="s">
        <v>363</v>
      </c>
      <c r="C516" s="12" t="s">
        <v>362</v>
      </c>
      <c r="D516" s="12" t="s">
        <v>1410</v>
      </c>
      <c r="E516" s="12" t="s">
        <v>2224</v>
      </c>
      <c r="F516" s="12" t="s">
        <v>2225</v>
      </c>
      <c r="G516" s="12" t="s">
        <v>1413</v>
      </c>
      <c r="H516" s="12" t="s">
        <v>1428</v>
      </c>
      <c r="I516" s="12" t="s">
        <v>1420</v>
      </c>
      <c r="J516" s="12" t="s">
        <v>1420</v>
      </c>
      <c r="K516" s="12" t="s">
        <v>1420</v>
      </c>
      <c r="L516" s="12" t="s">
        <v>1420</v>
      </c>
      <c r="M516" s="12" t="s">
        <v>1420</v>
      </c>
      <c r="N516" s="12" t="s">
        <v>1420</v>
      </c>
      <c r="O516" s="12" t="s">
        <v>1414</v>
      </c>
      <c r="P516" s="12" t="s">
        <v>1420</v>
      </c>
      <c r="Q516" s="12" t="s">
        <v>1420</v>
      </c>
      <c r="R516" s="12" t="s">
        <v>1414</v>
      </c>
      <c r="S516" s="12" t="s">
        <v>1420</v>
      </c>
      <c r="T516" s="12" t="s">
        <v>1420</v>
      </c>
      <c r="U516" s="12" t="s">
        <v>1414</v>
      </c>
      <c r="V516" s="12" t="s">
        <v>1420</v>
      </c>
      <c r="W516" s="12" t="s">
        <v>1420</v>
      </c>
      <c r="X516" s="12" t="s">
        <v>1420</v>
      </c>
      <c r="Y516" s="12" t="s">
        <v>1420</v>
      </c>
      <c r="Z516" s="12" t="s">
        <v>1420</v>
      </c>
      <c r="AA516" s="12" t="s">
        <v>1420</v>
      </c>
      <c r="AB516" s="12" t="s">
        <v>1420</v>
      </c>
      <c r="AC516" s="12" t="s">
        <v>1414</v>
      </c>
      <c r="AD516" s="12" t="s">
        <v>1415</v>
      </c>
      <c r="AE516" s="12" t="s">
        <v>1415</v>
      </c>
      <c r="AF516" s="12" t="s">
        <v>1415</v>
      </c>
      <c r="AG516" s="12" t="s">
        <v>1420</v>
      </c>
    </row>
    <row r="517" spans="1:33" ht="14.4" x14ac:dyDescent="0.3">
      <c r="A517" s="12" t="s">
        <v>42</v>
      </c>
      <c r="B517" s="12" t="s">
        <v>1114</v>
      </c>
      <c r="C517" s="12" t="s">
        <v>1113</v>
      </c>
      <c r="D517" s="12" t="s">
        <v>1410</v>
      </c>
      <c r="E517" s="12" t="s">
        <v>2502</v>
      </c>
      <c r="F517" s="12" t="s">
        <v>2503</v>
      </c>
      <c r="G517" s="12" t="s">
        <v>2504</v>
      </c>
      <c r="H517" s="12" t="s">
        <v>1419</v>
      </c>
      <c r="I517" s="12" t="s">
        <v>1420</v>
      </c>
      <c r="J517" s="12" t="s">
        <v>1420</v>
      </c>
      <c r="K517" s="12" t="s">
        <v>1420</v>
      </c>
      <c r="L517" s="12" t="s">
        <v>1420</v>
      </c>
      <c r="M517" s="12" t="s">
        <v>1420</v>
      </c>
      <c r="N517" s="12" t="s">
        <v>1420</v>
      </c>
      <c r="O517" s="12" t="s">
        <v>1420</v>
      </c>
      <c r="P517" s="12" t="s">
        <v>1420</v>
      </c>
      <c r="Q517" s="12" t="s">
        <v>1420</v>
      </c>
      <c r="R517" s="12" t="s">
        <v>1420</v>
      </c>
      <c r="S517" s="12" t="s">
        <v>1420</v>
      </c>
      <c r="T517" s="12" t="s">
        <v>1420</v>
      </c>
      <c r="U517" s="12" t="s">
        <v>1420</v>
      </c>
      <c r="V517" s="12" t="s">
        <v>1420</v>
      </c>
      <c r="W517" s="12" t="s">
        <v>1420</v>
      </c>
      <c r="X517" s="12" t="s">
        <v>1420</v>
      </c>
      <c r="Y517" s="12" t="s">
        <v>1414</v>
      </c>
      <c r="Z517" s="12" t="s">
        <v>1420</v>
      </c>
      <c r="AA517" s="12" t="s">
        <v>1420</v>
      </c>
      <c r="AB517" s="12" t="s">
        <v>1420</v>
      </c>
      <c r="AC517" s="12" t="s">
        <v>1420</v>
      </c>
      <c r="AD517" s="12" t="s">
        <v>1420</v>
      </c>
      <c r="AE517" s="12" t="s">
        <v>1420</v>
      </c>
      <c r="AF517" s="12" t="s">
        <v>1414</v>
      </c>
      <c r="AG517" s="12" t="s">
        <v>1420</v>
      </c>
    </row>
    <row r="518" spans="1:33" ht="14.4" x14ac:dyDescent="0.3">
      <c r="A518" s="12" t="s">
        <v>366</v>
      </c>
      <c r="B518" s="12" t="s">
        <v>365</v>
      </c>
      <c r="C518" s="12" t="s">
        <v>364</v>
      </c>
      <c r="D518" s="12" t="s">
        <v>1410</v>
      </c>
      <c r="E518" s="12" t="s">
        <v>1707</v>
      </c>
      <c r="F518" s="12" t="s">
        <v>1708</v>
      </c>
      <c r="G518" s="12" t="s">
        <v>1413</v>
      </c>
      <c r="H518" s="12" t="s">
        <v>1420</v>
      </c>
      <c r="I518" s="12" t="s">
        <v>1420</v>
      </c>
      <c r="J518" s="12" t="s">
        <v>1414</v>
      </c>
      <c r="K518" s="12" t="s">
        <v>1415</v>
      </c>
      <c r="L518" s="12" t="s">
        <v>1415</v>
      </c>
      <c r="M518" s="12" t="s">
        <v>1415</v>
      </c>
      <c r="N518" s="12" t="s">
        <v>1415</v>
      </c>
      <c r="O518" s="12" t="s">
        <v>1415</v>
      </c>
      <c r="P518" s="12" t="s">
        <v>1415</v>
      </c>
      <c r="Q518" s="12" t="s">
        <v>1415</v>
      </c>
      <c r="R518" s="12" t="s">
        <v>1415</v>
      </c>
      <c r="S518" s="12" t="s">
        <v>1415</v>
      </c>
      <c r="T518" s="12" t="s">
        <v>1415</v>
      </c>
      <c r="U518" s="12" t="s">
        <v>1415</v>
      </c>
      <c r="V518" s="12" t="s">
        <v>1415</v>
      </c>
      <c r="W518" s="12" t="s">
        <v>1415</v>
      </c>
      <c r="X518" s="12" t="s">
        <v>1415</v>
      </c>
      <c r="Y518" s="12" t="s">
        <v>1415</v>
      </c>
      <c r="Z518" s="12" t="s">
        <v>1415</v>
      </c>
      <c r="AA518" s="12" t="s">
        <v>1415</v>
      </c>
      <c r="AB518" s="12" t="s">
        <v>1415</v>
      </c>
      <c r="AC518" s="12" t="s">
        <v>1415</v>
      </c>
      <c r="AD518" s="12" t="s">
        <v>1415</v>
      </c>
      <c r="AE518" s="12" t="s">
        <v>1415</v>
      </c>
      <c r="AF518" s="12" t="s">
        <v>1415</v>
      </c>
      <c r="AG518" s="12" t="s">
        <v>1415</v>
      </c>
    </row>
    <row r="519" spans="1:33" ht="14.4" x14ac:dyDescent="0.3">
      <c r="A519" s="12" t="s">
        <v>366</v>
      </c>
      <c r="B519" s="12" t="s">
        <v>365</v>
      </c>
      <c r="C519" s="12" t="s">
        <v>364</v>
      </c>
      <c r="D519" s="12" t="s">
        <v>1410</v>
      </c>
      <c r="E519" s="12" t="s">
        <v>1741</v>
      </c>
      <c r="F519" s="12" t="s">
        <v>1742</v>
      </c>
      <c r="G519" s="12" t="s">
        <v>1743</v>
      </c>
      <c r="H519" s="12" t="s">
        <v>1606</v>
      </c>
      <c r="I519" s="12" t="s">
        <v>1420</v>
      </c>
      <c r="J519" s="12" t="s">
        <v>1414</v>
      </c>
      <c r="K519" s="12" t="s">
        <v>1420</v>
      </c>
      <c r="L519" s="12" t="s">
        <v>1420</v>
      </c>
      <c r="M519" s="12" t="s">
        <v>1420</v>
      </c>
      <c r="N519" s="12" t="s">
        <v>1420</v>
      </c>
      <c r="O519" s="12" t="s">
        <v>1414</v>
      </c>
      <c r="P519" s="12" t="s">
        <v>1414</v>
      </c>
      <c r="Q519" s="12" t="s">
        <v>1420</v>
      </c>
      <c r="R519" s="12" t="s">
        <v>1414</v>
      </c>
      <c r="S519" s="12" t="s">
        <v>1414</v>
      </c>
      <c r="T519" s="12" t="s">
        <v>1420</v>
      </c>
      <c r="U519" s="12" t="s">
        <v>1420</v>
      </c>
      <c r="V519" s="12" t="s">
        <v>1420</v>
      </c>
      <c r="W519" s="12" t="s">
        <v>1414</v>
      </c>
      <c r="X519" s="12" t="s">
        <v>1420</v>
      </c>
      <c r="Y519" s="12" t="s">
        <v>1420</v>
      </c>
      <c r="Z519" s="12" t="s">
        <v>1420</v>
      </c>
      <c r="AA519" s="12" t="s">
        <v>1420</v>
      </c>
      <c r="AB519" s="12" t="s">
        <v>1414</v>
      </c>
      <c r="AC519" s="12" t="s">
        <v>1414</v>
      </c>
      <c r="AD519" s="12" t="s">
        <v>1420</v>
      </c>
      <c r="AE519" s="12" t="s">
        <v>1420</v>
      </c>
      <c r="AF519" s="12" t="s">
        <v>1420</v>
      </c>
      <c r="AG519" s="12" t="s">
        <v>1420</v>
      </c>
    </row>
    <row r="520" spans="1:33" ht="14.4" x14ac:dyDescent="0.3">
      <c r="A520" s="12" t="s">
        <v>8</v>
      </c>
      <c r="B520" s="12" t="s">
        <v>909</v>
      </c>
      <c r="C520" s="12" t="s">
        <v>908</v>
      </c>
      <c r="D520" s="12" t="s">
        <v>1410</v>
      </c>
      <c r="E520" s="12" t="s">
        <v>2887</v>
      </c>
      <c r="F520" s="12" t="s">
        <v>2888</v>
      </c>
      <c r="G520" s="12" t="s">
        <v>2889</v>
      </c>
      <c r="H520" s="12" t="s">
        <v>1438</v>
      </c>
      <c r="I520" s="12" t="s">
        <v>1420</v>
      </c>
      <c r="J520" s="12" t="s">
        <v>1420</v>
      </c>
      <c r="K520" s="12" t="s">
        <v>1420</v>
      </c>
      <c r="L520" s="12" t="s">
        <v>1420</v>
      </c>
      <c r="M520" s="12" t="s">
        <v>1420</v>
      </c>
      <c r="N520" s="12" t="s">
        <v>1420</v>
      </c>
      <c r="O520" s="12" t="s">
        <v>1414</v>
      </c>
      <c r="P520" s="12" t="s">
        <v>1420</v>
      </c>
      <c r="Q520" s="12" t="s">
        <v>1420</v>
      </c>
      <c r="R520" s="12" t="s">
        <v>1420</v>
      </c>
      <c r="S520" s="12" t="s">
        <v>1420</v>
      </c>
      <c r="T520" s="12" t="s">
        <v>1414</v>
      </c>
      <c r="U520" s="12" t="s">
        <v>1420</v>
      </c>
      <c r="V520" s="12" t="s">
        <v>1414</v>
      </c>
      <c r="W520" s="12" t="s">
        <v>1420</v>
      </c>
      <c r="X520" s="12" t="s">
        <v>1414</v>
      </c>
      <c r="Y520" s="12" t="s">
        <v>1420</v>
      </c>
      <c r="Z520" s="12" t="s">
        <v>1420</v>
      </c>
      <c r="AA520" s="12" t="s">
        <v>1414</v>
      </c>
      <c r="AB520" s="12" t="s">
        <v>1420</v>
      </c>
      <c r="AC520" s="12" t="s">
        <v>1420</v>
      </c>
      <c r="AD520" s="12" t="s">
        <v>1414</v>
      </c>
      <c r="AE520" s="12" t="s">
        <v>1420</v>
      </c>
      <c r="AF520" s="12" t="s">
        <v>1420</v>
      </c>
      <c r="AG520" s="12" t="s">
        <v>1420</v>
      </c>
    </row>
    <row r="521" spans="1:33" ht="14.4" x14ac:dyDescent="0.3">
      <c r="A521" s="12" t="s">
        <v>71</v>
      </c>
      <c r="B521" s="12" t="s">
        <v>148</v>
      </c>
      <c r="C521" s="12" t="s">
        <v>147</v>
      </c>
      <c r="D521" s="12" t="s">
        <v>1410</v>
      </c>
      <c r="E521" s="12" t="s">
        <v>2419</v>
      </c>
      <c r="F521" s="12" t="s">
        <v>2420</v>
      </c>
      <c r="G521" s="12" t="s">
        <v>2421</v>
      </c>
      <c r="H521" s="12" t="s">
        <v>1452</v>
      </c>
      <c r="I521" s="12" t="s">
        <v>1420</v>
      </c>
      <c r="J521" s="12" t="s">
        <v>1420</v>
      </c>
      <c r="K521" s="12" t="s">
        <v>1420</v>
      </c>
      <c r="L521" s="12" t="s">
        <v>1420</v>
      </c>
      <c r="M521" s="12" t="s">
        <v>1420</v>
      </c>
      <c r="N521" s="12" t="s">
        <v>1420</v>
      </c>
      <c r="O521" s="12" t="s">
        <v>1420</v>
      </c>
      <c r="P521" s="12" t="s">
        <v>1420</v>
      </c>
      <c r="Q521" s="12" t="s">
        <v>1420</v>
      </c>
      <c r="R521" s="12" t="s">
        <v>1420</v>
      </c>
      <c r="S521" s="12" t="s">
        <v>1420</v>
      </c>
      <c r="T521" s="12" t="s">
        <v>1420</v>
      </c>
      <c r="U521" s="12" t="s">
        <v>1420</v>
      </c>
      <c r="V521" s="12" t="s">
        <v>1420</v>
      </c>
      <c r="W521" s="12" t="s">
        <v>1420</v>
      </c>
      <c r="X521" s="12" t="s">
        <v>1414</v>
      </c>
      <c r="Y521" s="12" t="s">
        <v>1420</v>
      </c>
      <c r="Z521" s="12" t="s">
        <v>1420</v>
      </c>
      <c r="AA521" s="12" t="s">
        <v>1420</v>
      </c>
      <c r="AB521" s="12" t="s">
        <v>1420</v>
      </c>
      <c r="AC521" s="12" t="s">
        <v>1420</v>
      </c>
      <c r="AD521" s="12" t="s">
        <v>1420</v>
      </c>
      <c r="AE521" s="12" t="s">
        <v>1420</v>
      </c>
      <c r="AF521" s="12" t="s">
        <v>1420</v>
      </c>
      <c r="AG521" s="12" t="s">
        <v>1420</v>
      </c>
    </row>
    <row r="522" spans="1:33" ht="14.4" x14ac:dyDescent="0.3">
      <c r="A522" s="12" t="s">
        <v>31</v>
      </c>
      <c r="B522" s="12" t="s">
        <v>148</v>
      </c>
      <c r="C522" s="12" t="s">
        <v>597</v>
      </c>
      <c r="D522" s="12" t="s">
        <v>1410</v>
      </c>
      <c r="E522" s="12" t="s">
        <v>2351</v>
      </c>
      <c r="F522" s="12" t="s">
        <v>2356</v>
      </c>
      <c r="G522" s="12" t="s">
        <v>2357</v>
      </c>
      <c r="H522" s="12" t="s">
        <v>1424</v>
      </c>
      <c r="I522" s="12" t="s">
        <v>1420</v>
      </c>
      <c r="J522" s="12" t="s">
        <v>1420</v>
      </c>
      <c r="K522" s="12" t="s">
        <v>1420</v>
      </c>
      <c r="L522" s="12" t="s">
        <v>1420</v>
      </c>
      <c r="M522" s="12" t="s">
        <v>1420</v>
      </c>
      <c r="N522" s="12" t="s">
        <v>1414</v>
      </c>
      <c r="O522" s="12" t="s">
        <v>1420</v>
      </c>
      <c r="P522" s="12" t="s">
        <v>1420</v>
      </c>
      <c r="Q522" s="12" t="s">
        <v>1420</v>
      </c>
      <c r="R522" s="12" t="s">
        <v>1420</v>
      </c>
      <c r="S522" s="12" t="s">
        <v>1414</v>
      </c>
      <c r="T522" s="12" t="s">
        <v>1420</v>
      </c>
      <c r="U522" s="12" t="s">
        <v>1420</v>
      </c>
      <c r="V522" s="12" t="s">
        <v>1420</v>
      </c>
      <c r="W522" s="12" t="s">
        <v>1420</v>
      </c>
      <c r="X522" s="12" t="s">
        <v>1420</v>
      </c>
      <c r="Y522" s="12" t="s">
        <v>1420</v>
      </c>
      <c r="Z522" s="12" t="s">
        <v>1420</v>
      </c>
      <c r="AA522" s="12" t="s">
        <v>1420</v>
      </c>
      <c r="AB522" s="12" t="s">
        <v>1420</v>
      </c>
      <c r="AC522" s="12" t="s">
        <v>1414</v>
      </c>
      <c r="AD522" s="12" t="s">
        <v>1420</v>
      </c>
      <c r="AE522" s="12" t="s">
        <v>1420</v>
      </c>
      <c r="AF522" s="12" t="s">
        <v>1420</v>
      </c>
      <c r="AG522" s="12" t="s">
        <v>1420</v>
      </c>
    </row>
    <row r="523" spans="1:33" ht="14.4" x14ac:dyDescent="0.3">
      <c r="A523" s="12" t="s">
        <v>31</v>
      </c>
      <c r="B523" s="12" t="s">
        <v>911</v>
      </c>
      <c r="C523" s="12" t="s">
        <v>910</v>
      </c>
      <c r="D523" s="12" t="s">
        <v>1456</v>
      </c>
      <c r="E523" s="12" t="s">
        <v>1724</v>
      </c>
      <c r="F523" s="12" t="s">
        <v>1415</v>
      </c>
      <c r="G523" s="12" t="s">
        <v>1415</v>
      </c>
      <c r="H523" s="12" t="s">
        <v>1415</v>
      </c>
      <c r="I523" s="12" t="s">
        <v>1415</v>
      </c>
      <c r="J523" s="12" t="s">
        <v>1415</v>
      </c>
      <c r="K523" s="12" t="s">
        <v>1415</v>
      </c>
      <c r="L523" s="12" t="s">
        <v>1415</v>
      </c>
      <c r="M523" s="12" t="s">
        <v>1415</v>
      </c>
      <c r="N523" s="12" t="s">
        <v>1415</v>
      </c>
      <c r="O523" s="12" t="s">
        <v>1415</v>
      </c>
      <c r="P523" s="12" t="s">
        <v>1415</v>
      </c>
      <c r="Q523" s="12" t="s">
        <v>1415</v>
      </c>
      <c r="R523" s="12" t="s">
        <v>1415</v>
      </c>
      <c r="S523" s="12" t="s">
        <v>1415</v>
      </c>
      <c r="T523" s="12" t="s">
        <v>1415</v>
      </c>
      <c r="U523" s="12" t="s">
        <v>1415</v>
      </c>
      <c r="V523" s="12" t="s">
        <v>1415</v>
      </c>
      <c r="W523" s="12" t="s">
        <v>1415</v>
      </c>
      <c r="X523" s="12" t="s">
        <v>1415</v>
      </c>
      <c r="Y523" s="12" t="s">
        <v>1415</v>
      </c>
      <c r="Z523" s="12" t="s">
        <v>1415</v>
      </c>
      <c r="AA523" s="12" t="s">
        <v>1415</v>
      </c>
      <c r="AB523" s="12" t="s">
        <v>1415</v>
      </c>
      <c r="AC523" s="12" t="s">
        <v>1415</v>
      </c>
      <c r="AD523" s="12" t="s">
        <v>1415</v>
      </c>
      <c r="AE523" s="12" t="s">
        <v>1415</v>
      </c>
      <c r="AF523" s="12" t="s">
        <v>1415</v>
      </c>
      <c r="AG523" s="12" t="s">
        <v>1415</v>
      </c>
    </row>
    <row r="524" spans="1:33" ht="14.4" x14ac:dyDescent="0.3">
      <c r="A524" s="12" t="s">
        <v>31</v>
      </c>
      <c r="B524" s="12" t="s">
        <v>911</v>
      </c>
      <c r="C524" s="12" t="s">
        <v>912</v>
      </c>
      <c r="D524" s="12" t="s">
        <v>1410</v>
      </c>
      <c r="E524" s="12" t="s">
        <v>2959</v>
      </c>
      <c r="F524" s="12" t="s">
        <v>2960</v>
      </c>
      <c r="G524" s="12" t="s">
        <v>2961</v>
      </c>
      <c r="H524" s="12" t="s">
        <v>1419</v>
      </c>
      <c r="I524" s="12" t="s">
        <v>1420</v>
      </c>
      <c r="J524" s="12" t="s">
        <v>1420</v>
      </c>
      <c r="K524" s="12" t="s">
        <v>1420</v>
      </c>
      <c r="L524" s="12" t="s">
        <v>1420</v>
      </c>
      <c r="M524" s="12" t="s">
        <v>1420</v>
      </c>
      <c r="N524" s="12" t="s">
        <v>1420</v>
      </c>
      <c r="O524" s="12" t="s">
        <v>1420</v>
      </c>
      <c r="P524" s="12" t="s">
        <v>1414</v>
      </c>
      <c r="Q524" s="12" t="s">
        <v>1420</v>
      </c>
      <c r="R524" s="12" t="s">
        <v>1420</v>
      </c>
      <c r="S524" s="12" t="s">
        <v>1414</v>
      </c>
      <c r="T524" s="12" t="s">
        <v>1420</v>
      </c>
      <c r="U524" s="12" t="s">
        <v>1420</v>
      </c>
      <c r="V524" s="12" t="s">
        <v>1420</v>
      </c>
      <c r="W524" s="12" t="s">
        <v>1420</v>
      </c>
      <c r="X524" s="12" t="s">
        <v>1420</v>
      </c>
      <c r="Y524" s="12" t="s">
        <v>1420</v>
      </c>
      <c r="Z524" s="12" t="s">
        <v>1420</v>
      </c>
      <c r="AA524" s="12" t="s">
        <v>1420</v>
      </c>
      <c r="AB524" s="12" t="s">
        <v>1420</v>
      </c>
      <c r="AC524" s="12" t="s">
        <v>1420</v>
      </c>
      <c r="AD524" s="12" t="s">
        <v>1420</v>
      </c>
      <c r="AE524" s="12" t="s">
        <v>1420</v>
      </c>
      <c r="AF524" s="12" t="s">
        <v>1420</v>
      </c>
      <c r="AG524" s="12" t="s">
        <v>1420</v>
      </c>
    </row>
    <row r="525" spans="1:33" ht="14.4" x14ac:dyDescent="0.3">
      <c r="A525" s="12" t="s">
        <v>25</v>
      </c>
      <c r="B525" s="12" t="s">
        <v>911</v>
      </c>
      <c r="C525" s="12" t="s">
        <v>5818</v>
      </c>
      <c r="D525" s="12" t="s">
        <v>1410</v>
      </c>
      <c r="E525" s="12" t="s">
        <v>5819</v>
      </c>
      <c r="F525" s="12" t="s">
        <v>5820</v>
      </c>
      <c r="G525" s="12" t="s">
        <v>5821</v>
      </c>
      <c r="H525" s="12" t="s">
        <v>1464</v>
      </c>
      <c r="I525" s="12" t="s">
        <v>1420</v>
      </c>
      <c r="J525" s="12" t="s">
        <v>1420</v>
      </c>
      <c r="K525" s="12" t="s">
        <v>1420</v>
      </c>
      <c r="L525" s="12" t="s">
        <v>1420</v>
      </c>
      <c r="M525" s="12" t="s">
        <v>1420</v>
      </c>
      <c r="N525" s="12" t="s">
        <v>1420</v>
      </c>
      <c r="O525" s="12" t="s">
        <v>1420</v>
      </c>
      <c r="P525" s="12" t="s">
        <v>1420</v>
      </c>
      <c r="Q525" s="12" t="s">
        <v>1420</v>
      </c>
      <c r="R525" s="12" t="s">
        <v>1420</v>
      </c>
      <c r="S525" s="12" t="s">
        <v>1420</v>
      </c>
      <c r="T525" s="12" t="s">
        <v>1420</v>
      </c>
      <c r="U525" s="12" t="s">
        <v>1420</v>
      </c>
      <c r="V525" s="12" t="s">
        <v>1420</v>
      </c>
      <c r="W525" s="12" t="s">
        <v>1420</v>
      </c>
      <c r="X525" s="12" t="s">
        <v>1420</v>
      </c>
      <c r="Y525" s="12" t="s">
        <v>1420</v>
      </c>
      <c r="Z525" s="12" t="s">
        <v>1420</v>
      </c>
      <c r="AA525" s="12" t="s">
        <v>1420</v>
      </c>
      <c r="AB525" s="12" t="s">
        <v>1420</v>
      </c>
      <c r="AC525" s="12" t="s">
        <v>1420</v>
      </c>
      <c r="AD525" s="12" t="s">
        <v>1420</v>
      </c>
      <c r="AE525" s="12" t="s">
        <v>1420</v>
      </c>
      <c r="AF525" s="12" t="s">
        <v>1420</v>
      </c>
      <c r="AG525" s="12" t="s">
        <v>1420</v>
      </c>
    </row>
    <row r="526" spans="1:33" ht="14.4" x14ac:dyDescent="0.3">
      <c r="A526" s="12" t="s">
        <v>55</v>
      </c>
      <c r="B526" s="12" t="s">
        <v>148</v>
      </c>
      <c r="C526" s="12" t="s">
        <v>5822</v>
      </c>
      <c r="D526" s="12" t="s">
        <v>1410</v>
      </c>
      <c r="E526" s="12" t="s">
        <v>5823</v>
      </c>
      <c r="F526" s="12" t="s">
        <v>5824</v>
      </c>
      <c r="G526" s="12" t="s">
        <v>5825</v>
      </c>
      <c r="H526" s="12" t="s">
        <v>1755</v>
      </c>
      <c r="I526" s="12" t="s">
        <v>1420</v>
      </c>
      <c r="J526" s="12" t="s">
        <v>1420</v>
      </c>
      <c r="K526" s="12" t="s">
        <v>1420</v>
      </c>
      <c r="L526" s="12" t="s">
        <v>1420</v>
      </c>
      <c r="M526" s="12" t="s">
        <v>1420</v>
      </c>
      <c r="N526" s="12" t="s">
        <v>1414</v>
      </c>
      <c r="O526" s="12" t="s">
        <v>1420</v>
      </c>
      <c r="P526" s="12" t="s">
        <v>1414</v>
      </c>
      <c r="Q526" s="12" t="s">
        <v>1420</v>
      </c>
      <c r="R526" s="12" t="s">
        <v>1420</v>
      </c>
      <c r="S526" s="12" t="s">
        <v>1414</v>
      </c>
      <c r="T526" s="12" t="s">
        <v>1420</v>
      </c>
      <c r="U526" s="12" t="s">
        <v>1420</v>
      </c>
      <c r="V526" s="12" t="s">
        <v>1420</v>
      </c>
      <c r="W526" s="12" t="s">
        <v>1414</v>
      </c>
      <c r="X526" s="12" t="s">
        <v>1414</v>
      </c>
      <c r="Y526" s="12" t="s">
        <v>1414</v>
      </c>
      <c r="Z526" s="12" t="s">
        <v>1414</v>
      </c>
      <c r="AA526" s="12" t="s">
        <v>1414</v>
      </c>
      <c r="AB526" s="12" t="s">
        <v>1420</v>
      </c>
      <c r="AC526" s="12" t="s">
        <v>1414</v>
      </c>
      <c r="AD526" s="12" t="s">
        <v>1420</v>
      </c>
      <c r="AE526" s="12" t="s">
        <v>1420</v>
      </c>
      <c r="AF526" s="12" t="s">
        <v>1414</v>
      </c>
      <c r="AG526" s="12" t="s">
        <v>1420</v>
      </c>
    </row>
    <row r="527" spans="1:33" ht="14.4" x14ac:dyDescent="0.3">
      <c r="A527" s="12" t="s">
        <v>8</v>
      </c>
      <c r="B527" s="12" t="s">
        <v>5826</v>
      </c>
      <c r="C527" s="12" t="s">
        <v>5827</v>
      </c>
      <c r="D527" s="12" t="s">
        <v>1410</v>
      </c>
      <c r="E527" s="12" t="s">
        <v>5575</v>
      </c>
      <c r="F527" s="12" t="s">
        <v>5828</v>
      </c>
      <c r="G527" s="12" t="s">
        <v>5829</v>
      </c>
      <c r="H527" s="12" t="s">
        <v>1464</v>
      </c>
      <c r="I527" s="12" t="s">
        <v>1420</v>
      </c>
      <c r="J527" s="12" t="s">
        <v>1420</v>
      </c>
      <c r="K527" s="12" t="s">
        <v>1420</v>
      </c>
      <c r="L527" s="12" t="s">
        <v>1420</v>
      </c>
      <c r="M527" s="12" t="s">
        <v>1420</v>
      </c>
      <c r="N527" s="12" t="s">
        <v>1420</v>
      </c>
      <c r="O527" s="12" t="s">
        <v>1420</v>
      </c>
      <c r="P527" s="12" t="s">
        <v>1420</v>
      </c>
      <c r="Q527" s="12" t="s">
        <v>1420</v>
      </c>
      <c r="R527" s="12" t="s">
        <v>1420</v>
      </c>
      <c r="S527" s="12" t="s">
        <v>1420</v>
      </c>
      <c r="T527" s="12" t="s">
        <v>1420</v>
      </c>
      <c r="U527" s="12" t="s">
        <v>1420</v>
      </c>
      <c r="V527" s="12" t="s">
        <v>1420</v>
      </c>
      <c r="W527" s="12" t="s">
        <v>1420</v>
      </c>
      <c r="X527" s="12" t="s">
        <v>1420</v>
      </c>
      <c r="Y527" s="12" t="s">
        <v>1420</v>
      </c>
      <c r="Z527" s="12" t="s">
        <v>1420</v>
      </c>
      <c r="AA527" s="12" t="s">
        <v>1420</v>
      </c>
      <c r="AB527" s="12" t="s">
        <v>1420</v>
      </c>
      <c r="AC527" s="12" t="s">
        <v>1420</v>
      </c>
      <c r="AD527" s="12" t="s">
        <v>1420</v>
      </c>
      <c r="AE527" s="12" t="s">
        <v>1420</v>
      </c>
      <c r="AF527" s="12" t="s">
        <v>1420</v>
      </c>
      <c r="AG527" s="12" t="s">
        <v>1420</v>
      </c>
    </row>
    <row r="528" spans="1:33" ht="14.4" x14ac:dyDescent="0.3">
      <c r="A528" s="12" t="s">
        <v>25</v>
      </c>
      <c r="B528" s="12" t="s">
        <v>596</v>
      </c>
      <c r="C528" s="12" t="s">
        <v>595</v>
      </c>
      <c r="D528" s="12" t="s">
        <v>1410</v>
      </c>
      <c r="E528" s="12" t="s">
        <v>2810</v>
      </c>
      <c r="F528" s="12" t="s">
        <v>2811</v>
      </c>
      <c r="G528" s="12" t="s">
        <v>1806</v>
      </c>
      <c r="H528" s="12" t="s">
        <v>1488</v>
      </c>
      <c r="I528" s="12" t="s">
        <v>1420</v>
      </c>
      <c r="J528" s="12" t="s">
        <v>1420</v>
      </c>
      <c r="K528" s="12" t="s">
        <v>1420</v>
      </c>
      <c r="L528" s="12" t="s">
        <v>1420</v>
      </c>
      <c r="M528" s="12" t="s">
        <v>1420</v>
      </c>
      <c r="N528" s="12" t="s">
        <v>1414</v>
      </c>
      <c r="O528" s="12" t="s">
        <v>1420</v>
      </c>
      <c r="P528" s="12" t="s">
        <v>1414</v>
      </c>
      <c r="Q528" s="12" t="s">
        <v>1420</v>
      </c>
      <c r="R528" s="12" t="s">
        <v>1420</v>
      </c>
      <c r="S528" s="12" t="s">
        <v>1420</v>
      </c>
      <c r="T528" s="12" t="s">
        <v>1420</v>
      </c>
      <c r="U528" s="12" t="s">
        <v>1414</v>
      </c>
      <c r="V528" s="12" t="s">
        <v>1420</v>
      </c>
      <c r="W528" s="12" t="s">
        <v>1420</v>
      </c>
      <c r="X528" s="12" t="s">
        <v>1420</v>
      </c>
      <c r="Y528" s="12" t="s">
        <v>1420</v>
      </c>
      <c r="Z528" s="12" t="s">
        <v>1420</v>
      </c>
      <c r="AA528" s="12" t="s">
        <v>1420</v>
      </c>
      <c r="AB528" s="12" t="s">
        <v>1420</v>
      </c>
      <c r="AC528" s="12" t="s">
        <v>1420</v>
      </c>
      <c r="AD528" s="12" t="s">
        <v>1420</v>
      </c>
      <c r="AE528" s="12" t="s">
        <v>1420</v>
      </c>
      <c r="AF528" s="12" t="s">
        <v>1420</v>
      </c>
      <c r="AG528" s="12" t="s">
        <v>1414</v>
      </c>
    </row>
    <row r="529" spans="1:33" ht="14.4" x14ac:dyDescent="0.3">
      <c r="A529" s="12" t="s">
        <v>22</v>
      </c>
      <c r="B529" s="12" t="s">
        <v>273</v>
      </c>
      <c r="C529" s="12" t="s">
        <v>272</v>
      </c>
      <c r="D529" s="12" t="s">
        <v>1410</v>
      </c>
      <c r="E529" s="12" t="s">
        <v>3111</v>
      </c>
      <c r="F529" s="12" t="s">
        <v>3112</v>
      </c>
      <c r="G529" s="12" t="s">
        <v>2986</v>
      </c>
      <c r="H529" s="12" t="s">
        <v>1464</v>
      </c>
      <c r="I529" s="12" t="s">
        <v>1420</v>
      </c>
      <c r="J529" s="12" t="s">
        <v>1420</v>
      </c>
      <c r="K529" s="12" t="s">
        <v>1420</v>
      </c>
      <c r="L529" s="12" t="s">
        <v>1420</v>
      </c>
      <c r="M529" s="12" t="s">
        <v>1420</v>
      </c>
      <c r="N529" s="12" t="s">
        <v>1420</v>
      </c>
      <c r="O529" s="12" t="s">
        <v>1420</v>
      </c>
      <c r="P529" s="12" t="s">
        <v>1420</v>
      </c>
      <c r="Q529" s="12" t="s">
        <v>1420</v>
      </c>
      <c r="R529" s="12" t="s">
        <v>1420</v>
      </c>
      <c r="S529" s="12" t="s">
        <v>1420</v>
      </c>
      <c r="T529" s="12" t="s">
        <v>1420</v>
      </c>
      <c r="U529" s="12" t="s">
        <v>1420</v>
      </c>
      <c r="V529" s="12" t="s">
        <v>1420</v>
      </c>
      <c r="W529" s="12" t="s">
        <v>1420</v>
      </c>
      <c r="X529" s="12" t="s">
        <v>1420</v>
      </c>
      <c r="Y529" s="12" t="s">
        <v>1420</v>
      </c>
      <c r="Z529" s="12" t="s">
        <v>1420</v>
      </c>
      <c r="AA529" s="12" t="s">
        <v>1420</v>
      </c>
      <c r="AB529" s="12" t="s">
        <v>1420</v>
      </c>
      <c r="AC529" s="12" t="s">
        <v>1420</v>
      </c>
      <c r="AD529" s="12" t="s">
        <v>1420</v>
      </c>
      <c r="AE529" s="12" t="s">
        <v>1420</v>
      </c>
      <c r="AF529" s="12" t="s">
        <v>1420</v>
      </c>
      <c r="AG529" s="12" t="s">
        <v>1420</v>
      </c>
    </row>
    <row r="530" spans="1:33" ht="14.4" x14ac:dyDescent="0.3">
      <c r="A530" s="12" t="s">
        <v>31</v>
      </c>
      <c r="B530" s="12" t="s">
        <v>1230</v>
      </c>
      <c r="C530" s="12" t="s">
        <v>1229</v>
      </c>
      <c r="D530" s="12" t="s">
        <v>1410</v>
      </c>
      <c r="E530" s="12" t="s">
        <v>2911</v>
      </c>
      <c r="F530" s="12" t="s">
        <v>2912</v>
      </c>
      <c r="G530" s="12" t="s">
        <v>2913</v>
      </c>
      <c r="H530" s="12" t="s">
        <v>1438</v>
      </c>
      <c r="I530" s="12" t="s">
        <v>1420</v>
      </c>
      <c r="J530" s="12" t="s">
        <v>1420</v>
      </c>
      <c r="K530" s="12" t="s">
        <v>1420</v>
      </c>
      <c r="L530" s="12" t="s">
        <v>1420</v>
      </c>
      <c r="M530" s="12" t="s">
        <v>1420</v>
      </c>
      <c r="N530" s="12" t="s">
        <v>1414</v>
      </c>
      <c r="O530" s="12" t="s">
        <v>1420</v>
      </c>
      <c r="P530" s="12" t="s">
        <v>1420</v>
      </c>
      <c r="Q530" s="12" t="s">
        <v>1420</v>
      </c>
      <c r="R530" s="12" t="s">
        <v>1420</v>
      </c>
      <c r="S530" s="12" t="s">
        <v>1414</v>
      </c>
      <c r="T530" s="12" t="s">
        <v>1420</v>
      </c>
      <c r="U530" s="12" t="s">
        <v>1420</v>
      </c>
      <c r="V530" s="12" t="s">
        <v>1420</v>
      </c>
      <c r="W530" s="12" t="s">
        <v>1420</v>
      </c>
      <c r="X530" s="12" t="s">
        <v>1420</v>
      </c>
      <c r="Y530" s="12" t="s">
        <v>1420</v>
      </c>
      <c r="Z530" s="12" t="s">
        <v>1420</v>
      </c>
      <c r="AA530" s="12" t="s">
        <v>1420</v>
      </c>
      <c r="AB530" s="12" t="s">
        <v>1414</v>
      </c>
      <c r="AC530" s="12" t="s">
        <v>1414</v>
      </c>
      <c r="AD530" s="12" t="s">
        <v>1414</v>
      </c>
      <c r="AE530" s="12" t="s">
        <v>1414</v>
      </c>
      <c r="AF530" s="12" t="s">
        <v>1420</v>
      </c>
      <c r="AG530" s="12" t="s">
        <v>1420</v>
      </c>
    </row>
    <row r="531" spans="1:33" ht="14.4" x14ac:dyDescent="0.3">
      <c r="A531" s="12" t="s">
        <v>19</v>
      </c>
      <c r="B531" s="12" t="s">
        <v>368</v>
      </c>
      <c r="C531" s="12" t="s">
        <v>367</v>
      </c>
      <c r="D531" s="12" t="s">
        <v>1410</v>
      </c>
      <c r="E531" s="12" t="s">
        <v>1719</v>
      </c>
      <c r="F531" s="12" t="s">
        <v>1728</v>
      </c>
      <c r="G531" s="12" t="s">
        <v>1729</v>
      </c>
      <c r="H531" s="12" t="s">
        <v>1464</v>
      </c>
      <c r="I531" s="12" t="s">
        <v>1420</v>
      </c>
      <c r="J531" s="12" t="s">
        <v>1420</v>
      </c>
      <c r="K531" s="12" t="s">
        <v>1420</v>
      </c>
      <c r="L531" s="12" t="s">
        <v>1420</v>
      </c>
      <c r="M531" s="12" t="s">
        <v>1420</v>
      </c>
      <c r="N531" s="12" t="s">
        <v>1420</v>
      </c>
      <c r="O531" s="12" t="s">
        <v>1420</v>
      </c>
      <c r="P531" s="12" t="s">
        <v>1420</v>
      </c>
      <c r="Q531" s="12" t="s">
        <v>1420</v>
      </c>
      <c r="R531" s="12" t="s">
        <v>1420</v>
      </c>
      <c r="S531" s="12" t="s">
        <v>1420</v>
      </c>
      <c r="T531" s="12" t="s">
        <v>1420</v>
      </c>
      <c r="U531" s="12" t="s">
        <v>1420</v>
      </c>
      <c r="V531" s="12" t="s">
        <v>1420</v>
      </c>
      <c r="W531" s="12" t="s">
        <v>1420</v>
      </c>
      <c r="X531" s="12" t="s">
        <v>1420</v>
      </c>
      <c r="Y531" s="12" t="s">
        <v>1420</v>
      </c>
      <c r="Z531" s="12" t="s">
        <v>1420</v>
      </c>
      <c r="AA531" s="12" t="s">
        <v>1420</v>
      </c>
      <c r="AB531" s="12" t="s">
        <v>1420</v>
      </c>
      <c r="AC531" s="12" t="s">
        <v>1420</v>
      </c>
      <c r="AD531" s="12" t="s">
        <v>1420</v>
      </c>
      <c r="AE531" s="12" t="s">
        <v>1420</v>
      </c>
      <c r="AF531" s="12" t="s">
        <v>1420</v>
      </c>
      <c r="AG531" s="12" t="s">
        <v>1420</v>
      </c>
    </row>
    <row r="532" spans="1:33" ht="14.4" x14ac:dyDescent="0.3">
      <c r="A532" s="12" t="s">
        <v>11</v>
      </c>
      <c r="B532" s="12" t="s">
        <v>914</v>
      </c>
      <c r="C532" s="12" t="s">
        <v>913</v>
      </c>
      <c r="D532" s="12" t="s">
        <v>1410</v>
      </c>
      <c r="E532" s="12" t="s">
        <v>2934</v>
      </c>
      <c r="F532" s="12" t="s">
        <v>2935</v>
      </c>
      <c r="G532" s="12" t="s">
        <v>2936</v>
      </c>
      <c r="H532" s="12" t="s">
        <v>1606</v>
      </c>
      <c r="I532" s="12" t="s">
        <v>1420</v>
      </c>
      <c r="J532" s="12" t="s">
        <v>1420</v>
      </c>
      <c r="K532" s="12" t="s">
        <v>1420</v>
      </c>
      <c r="L532" s="12" t="s">
        <v>1420</v>
      </c>
      <c r="M532" s="12" t="s">
        <v>1420</v>
      </c>
      <c r="N532" s="12" t="s">
        <v>1420</v>
      </c>
      <c r="O532" s="12" t="s">
        <v>1420</v>
      </c>
      <c r="P532" s="12" t="s">
        <v>1414</v>
      </c>
      <c r="Q532" s="12" t="s">
        <v>1420</v>
      </c>
      <c r="R532" s="12" t="s">
        <v>1414</v>
      </c>
      <c r="S532" s="12" t="s">
        <v>1414</v>
      </c>
      <c r="T532" s="12" t="s">
        <v>1420</v>
      </c>
      <c r="U532" s="12" t="s">
        <v>1420</v>
      </c>
      <c r="V532" s="12" t="s">
        <v>1414</v>
      </c>
      <c r="W532" s="12" t="s">
        <v>1420</v>
      </c>
      <c r="X532" s="12" t="s">
        <v>1414</v>
      </c>
      <c r="Y532" s="12" t="s">
        <v>1420</v>
      </c>
      <c r="Z532" s="12" t="s">
        <v>1420</v>
      </c>
      <c r="AA532" s="12" t="s">
        <v>1420</v>
      </c>
      <c r="AB532" s="12" t="s">
        <v>1414</v>
      </c>
      <c r="AC532" s="12" t="s">
        <v>1414</v>
      </c>
      <c r="AD532" s="12" t="s">
        <v>1420</v>
      </c>
      <c r="AE532" s="12" t="s">
        <v>1420</v>
      </c>
      <c r="AF532" s="12" t="s">
        <v>1414</v>
      </c>
      <c r="AG532" s="12" t="s">
        <v>1420</v>
      </c>
    </row>
    <row r="533" spans="1:33" ht="14.4" x14ac:dyDescent="0.3">
      <c r="A533" s="12" t="s">
        <v>11</v>
      </c>
      <c r="B533" s="12" t="s">
        <v>5830</v>
      </c>
      <c r="C533" s="12" t="s">
        <v>5831</v>
      </c>
      <c r="D533" s="12" t="s">
        <v>1410</v>
      </c>
      <c r="E533" s="12" t="s">
        <v>5832</v>
      </c>
      <c r="F533" s="12" t="s">
        <v>5833</v>
      </c>
      <c r="G533" s="12" t="s">
        <v>5834</v>
      </c>
      <c r="H533" s="12" t="s">
        <v>1488</v>
      </c>
      <c r="I533" s="12" t="s">
        <v>1420</v>
      </c>
      <c r="J533" s="12" t="s">
        <v>1414</v>
      </c>
      <c r="K533" s="12" t="s">
        <v>1420</v>
      </c>
      <c r="L533" s="12" t="s">
        <v>1420</v>
      </c>
      <c r="M533" s="12" t="s">
        <v>1420</v>
      </c>
      <c r="N533" s="12" t="s">
        <v>1420</v>
      </c>
      <c r="O533" s="12" t="s">
        <v>1414</v>
      </c>
      <c r="P533" s="12" t="s">
        <v>1420</v>
      </c>
      <c r="Q533" s="12" t="s">
        <v>1420</v>
      </c>
      <c r="R533" s="12" t="s">
        <v>1414</v>
      </c>
      <c r="S533" s="12" t="s">
        <v>1420</v>
      </c>
      <c r="T533" s="12" t="s">
        <v>1420</v>
      </c>
      <c r="U533" s="12" t="s">
        <v>1420</v>
      </c>
      <c r="V533" s="12" t="s">
        <v>1420</v>
      </c>
      <c r="W533" s="12" t="s">
        <v>1420</v>
      </c>
      <c r="X533" s="12" t="s">
        <v>1420</v>
      </c>
      <c r="Y533" s="12" t="s">
        <v>1420</v>
      </c>
      <c r="Z533" s="12" t="s">
        <v>1420</v>
      </c>
      <c r="AA533" s="12" t="s">
        <v>1420</v>
      </c>
      <c r="AB533" s="12" t="s">
        <v>1420</v>
      </c>
      <c r="AC533" s="12" t="s">
        <v>1420</v>
      </c>
      <c r="AD533" s="12" t="s">
        <v>1414</v>
      </c>
      <c r="AE533" s="12" t="s">
        <v>1420</v>
      </c>
      <c r="AF533" s="12" t="s">
        <v>1420</v>
      </c>
      <c r="AG533" s="12" t="s">
        <v>1420</v>
      </c>
    </row>
    <row r="534" spans="1:33" ht="14.4" x14ac:dyDescent="0.3">
      <c r="A534" s="12" t="s">
        <v>11</v>
      </c>
      <c r="B534" s="12" t="s">
        <v>150</v>
      </c>
      <c r="C534" s="12" t="s">
        <v>149</v>
      </c>
      <c r="D534" s="12" t="s">
        <v>1410</v>
      </c>
      <c r="E534" s="12" t="s">
        <v>2447</v>
      </c>
      <c r="F534" s="12" t="s">
        <v>2448</v>
      </c>
      <c r="G534" s="12" t="s">
        <v>1579</v>
      </c>
      <c r="H534" s="12" t="s">
        <v>1424</v>
      </c>
      <c r="I534" s="12" t="s">
        <v>1420</v>
      </c>
      <c r="J534" s="12" t="s">
        <v>1420</v>
      </c>
      <c r="K534" s="12" t="s">
        <v>1420</v>
      </c>
      <c r="L534" s="12" t="s">
        <v>1420</v>
      </c>
      <c r="M534" s="12" t="s">
        <v>1420</v>
      </c>
      <c r="N534" s="12" t="s">
        <v>1414</v>
      </c>
      <c r="O534" s="12" t="s">
        <v>1415</v>
      </c>
      <c r="P534" s="12" t="s">
        <v>1420</v>
      </c>
      <c r="Q534" s="12" t="s">
        <v>1420</v>
      </c>
      <c r="R534" s="12" t="s">
        <v>1420</v>
      </c>
      <c r="S534" s="12" t="s">
        <v>1414</v>
      </c>
      <c r="T534" s="12" t="s">
        <v>1420</v>
      </c>
      <c r="U534" s="12" t="s">
        <v>1420</v>
      </c>
      <c r="V534" s="12" t="s">
        <v>1420</v>
      </c>
      <c r="W534" s="12" t="s">
        <v>1420</v>
      </c>
      <c r="X534" s="12" t="s">
        <v>1420</v>
      </c>
      <c r="Y534" s="12" t="s">
        <v>1420</v>
      </c>
      <c r="Z534" s="12" t="s">
        <v>1420</v>
      </c>
      <c r="AA534" s="12" t="s">
        <v>1420</v>
      </c>
      <c r="AB534" s="12" t="s">
        <v>1420</v>
      </c>
      <c r="AC534" s="12" t="s">
        <v>1420</v>
      </c>
      <c r="AD534" s="12" t="s">
        <v>1420</v>
      </c>
      <c r="AE534" s="12" t="s">
        <v>1420</v>
      </c>
      <c r="AF534" s="12" t="s">
        <v>1420</v>
      </c>
      <c r="AG534" s="12" t="s">
        <v>1420</v>
      </c>
    </row>
    <row r="535" spans="1:33" ht="14.4" x14ac:dyDescent="0.3">
      <c r="A535" s="12" t="s">
        <v>8</v>
      </c>
      <c r="B535" s="12" t="s">
        <v>370</v>
      </c>
      <c r="C535" s="12" t="s">
        <v>369</v>
      </c>
      <c r="D535" s="12" t="s">
        <v>1410</v>
      </c>
      <c r="E535" s="12" t="s">
        <v>1816</v>
      </c>
      <c r="F535" s="12" t="s">
        <v>1817</v>
      </c>
      <c r="G535" s="12" t="s">
        <v>1818</v>
      </c>
      <c r="H535" s="12" t="s">
        <v>1448</v>
      </c>
      <c r="I535" s="12" t="s">
        <v>1420</v>
      </c>
      <c r="J535" s="12" t="s">
        <v>1414</v>
      </c>
      <c r="K535" s="12" t="s">
        <v>1420</v>
      </c>
      <c r="L535" s="12" t="s">
        <v>1420</v>
      </c>
      <c r="M535" s="12" t="s">
        <v>1420</v>
      </c>
      <c r="N535" s="12" t="s">
        <v>1420</v>
      </c>
      <c r="O535" s="12" t="s">
        <v>1420</v>
      </c>
      <c r="P535" s="12" t="s">
        <v>1420</v>
      </c>
      <c r="Q535" s="12" t="s">
        <v>1420</v>
      </c>
      <c r="R535" s="12" t="s">
        <v>1420</v>
      </c>
      <c r="S535" s="12" t="s">
        <v>1414</v>
      </c>
      <c r="T535" s="12" t="s">
        <v>1420</v>
      </c>
      <c r="U535" s="12" t="s">
        <v>1420</v>
      </c>
      <c r="V535" s="12" t="s">
        <v>1420</v>
      </c>
      <c r="W535" s="12" t="s">
        <v>1420</v>
      </c>
      <c r="X535" s="12" t="s">
        <v>1420</v>
      </c>
      <c r="Y535" s="12" t="s">
        <v>1414</v>
      </c>
      <c r="Z535" s="12" t="s">
        <v>1420</v>
      </c>
      <c r="AA535" s="12" t="s">
        <v>1420</v>
      </c>
      <c r="AB535" s="12" t="s">
        <v>1420</v>
      </c>
      <c r="AC535" s="12" t="s">
        <v>1420</v>
      </c>
      <c r="AD535" s="12" t="s">
        <v>1414</v>
      </c>
      <c r="AE535" s="12" t="s">
        <v>1420</v>
      </c>
      <c r="AF535" s="12" t="s">
        <v>1414</v>
      </c>
      <c r="AG535" s="12" t="s">
        <v>1420</v>
      </c>
    </row>
    <row r="536" spans="1:33" ht="14.4" x14ac:dyDescent="0.3">
      <c r="A536" s="12" t="s">
        <v>133</v>
      </c>
      <c r="B536" s="12" t="s">
        <v>916</v>
      </c>
      <c r="C536" s="12" t="s">
        <v>915</v>
      </c>
      <c r="D536" s="12" t="s">
        <v>1410</v>
      </c>
      <c r="E536" s="12" t="s">
        <v>2670</v>
      </c>
      <c r="F536" s="12" t="s">
        <v>2671</v>
      </c>
      <c r="G536" s="12" t="s">
        <v>2672</v>
      </c>
      <c r="H536" s="12" t="s">
        <v>1452</v>
      </c>
      <c r="I536" s="12" t="s">
        <v>1420</v>
      </c>
      <c r="J536" s="12" t="s">
        <v>1420</v>
      </c>
      <c r="K536" s="12" t="s">
        <v>1420</v>
      </c>
      <c r="L536" s="12" t="s">
        <v>1420</v>
      </c>
      <c r="M536" s="12" t="s">
        <v>1420</v>
      </c>
      <c r="N536" s="12" t="s">
        <v>1420</v>
      </c>
      <c r="O536" s="12" t="s">
        <v>1420</v>
      </c>
      <c r="P536" s="12" t="s">
        <v>1420</v>
      </c>
      <c r="Q536" s="12" t="s">
        <v>1420</v>
      </c>
      <c r="R536" s="12" t="s">
        <v>1420</v>
      </c>
      <c r="S536" s="12" t="s">
        <v>1420</v>
      </c>
      <c r="T536" s="12" t="s">
        <v>1420</v>
      </c>
      <c r="U536" s="12" t="s">
        <v>1420</v>
      </c>
      <c r="V536" s="12" t="s">
        <v>1420</v>
      </c>
      <c r="W536" s="12" t="s">
        <v>1415</v>
      </c>
      <c r="X536" s="12" t="s">
        <v>1420</v>
      </c>
      <c r="Y536" s="12" t="s">
        <v>1420</v>
      </c>
      <c r="Z536" s="12" t="s">
        <v>1420</v>
      </c>
      <c r="AA536" s="12" t="s">
        <v>1420</v>
      </c>
      <c r="AB536" s="12" t="s">
        <v>1420</v>
      </c>
      <c r="AC536" s="12" t="s">
        <v>1420</v>
      </c>
      <c r="AD536" s="12" t="s">
        <v>1420</v>
      </c>
      <c r="AE536" s="12" t="s">
        <v>1420</v>
      </c>
      <c r="AF536" s="12" t="s">
        <v>1420</v>
      </c>
      <c r="AG536" s="12" t="s">
        <v>1420</v>
      </c>
    </row>
    <row r="537" spans="1:33" ht="14.4" x14ac:dyDescent="0.3">
      <c r="A537" s="12" t="s">
        <v>25</v>
      </c>
      <c r="B537" s="12" t="s">
        <v>1116</v>
      </c>
      <c r="C537" s="12" t="s">
        <v>1115</v>
      </c>
      <c r="D537" s="12" t="s">
        <v>1410</v>
      </c>
      <c r="E537" s="12" t="s">
        <v>2042</v>
      </c>
      <c r="F537" s="12" t="s">
        <v>2043</v>
      </c>
      <c r="G537" s="12" t="s">
        <v>2044</v>
      </c>
      <c r="H537" s="12" t="s">
        <v>1428</v>
      </c>
      <c r="I537" s="12" t="s">
        <v>1420</v>
      </c>
      <c r="J537" s="12" t="s">
        <v>1414</v>
      </c>
      <c r="K537" s="12" t="s">
        <v>1414</v>
      </c>
      <c r="L537" s="12" t="s">
        <v>1420</v>
      </c>
      <c r="M537" s="12" t="s">
        <v>1420</v>
      </c>
      <c r="N537" s="12" t="s">
        <v>1414</v>
      </c>
      <c r="O537" s="12" t="s">
        <v>1420</v>
      </c>
      <c r="P537" s="12" t="s">
        <v>1420</v>
      </c>
      <c r="Q537" s="12" t="s">
        <v>1420</v>
      </c>
      <c r="R537" s="12" t="s">
        <v>1420</v>
      </c>
      <c r="S537" s="12" t="s">
        <v>1414</v>
      </c>
      <c r="T537" s="12" t="s">
        <v>1420</v>
      </c>
      <c r="U537" s="12" t="s">
        <v>1420</v>
      </c>
      <c r="V537" s="12" t="s">
        <v>1420</v>
      </c>
      <c r="W537" s="12" t="s">
        <v>1414</v>
      </c>
      <c r="X537" s="12" t="s">
        <v>1420</v>
      </c>
      <c r="Y537" s="12" t="s">
        <v>1414</v>
      </c>
      <c r="Z537" s="12" t="s">
        <v>1420</v>
      </c>
      <c r="AA537" s="12" t="s">
        <v>1420</v>
      </c>
      <c r="AB537" s="12" t="s">
        <v>1420</v>
      </c>
      <c r="AC537" s="12" t="s">
        <v>1420</v>
      </c>
      <c r="AD537" s="12" t="s">
        <v>1420</v>
      </c>
      <c r="AE537" s="12" t="s">
        <v>1414</v>
      </c>
      <c r="AF537" s="12" t="s">
        <v>1420</v>
      </c>
      <c r="AG537" s="12" t="s">
        <v>1420</v>
      </c>
    </row>
    <row r="538" spans="1:33" ht="14.4" x14ac:dyDescent="0.3">
      <c r="A538" s="12" t="s">
        <v>8</v>
      </c>
      <c r="B538" s="12" t="s">
        <v>599</v>
      </c>
      <c r="C538" s="12" t="s">
        <v>598</v>
      </c>
      <c r="D538" s="12" t="s">
        <v>1410</v>
      </c>
      <c r="E538" s="12" t="s">
        <v>2660</v>
      </c>
      <c r="F538" s="12" t="s">
        <v>2661</v>
      </c>
      <c r="G538" s="12" t="s">
        <v>2110</v>
      </c>
      <c r="H538" s="12" t="s">
        <v>1464</v>
      </c>
      <c r="I538" s="12" t="s">
        <v>1420</v>
      </c>
      <c r="J538" s="12" t="s">
        <v>1420</v>
      </c>
      <c r="K538" s="12" t="s">
        <v>1420</v>
      </c>
      <c r="L538" s="12" t="s">
        <v>1420</v>
      </c>
      <c r="M538" s="12" t="s">
        <v>1420</v>
      </c>
      <c r="N538" s="12" t="s">
        <v>1420</v>
      </c>
      <c r="O538" s="12" t="s">
        <v>1420</v>
      </c>
      <c r="P538" s="12" t="s">
        <v>1420</v>
      </c>
      <c r="Q538" s="12" t="s">
        <v>1420</v>
      </c>
      <c r="R538" s="12" t="s">
        <v>1420</v>
      </c>
      <c r="S538" s="12" t="s">
        <v>1420</v>
      </c>
      <c r="T538" s="12" t="s">
        <v>1420</v>
      </c>
      <c r="U538" s="12" t="s">
        <v>1420</v>
      </c>
      <c r="V538" s="12" t="s">
        <v>1420</v>
      </c>
      <c r="W538" s="12" t="s">
        <v>1420</v>
      </c>
      <c r="X538" s="12" t="s">
        <v>1420</v>
      </c>
      <c r="Y538" s="12" t="s">
        <v>1420</v>
      </c>
      <c r="Z538" s="12" t="s">
        <v>1420</v>
      </c>
      <c r="AA538" s="12" t="s">
        <v>1420</v>
      </c>
      <c r="AB538" s="12" t="s">
        <v>1420</v>
      </c>
      <c r="AC538" s="12" t="s">
        <v>1420</v>
      </c>
      <c r="AD538" s="12" t="s">
        <v>1420</v>
      </c>
      <c r="AE538" s="12" t="s">
        <v>1420</v>
      </c>
      <c r="AF538" s="12" t="s">
        <v>1420</v>
      </c>
      <c r="AG538" s="12" t="s">
        <v>1420</v>
      </c>
    </row>
    <row r="539" spans="1:33" ht="14.4" x14ac:dyDescent="0.3">
      <c r="A539" s="12" t="s">
        <v>919</v>
      </c>
      <c r="B539" s="12" t="s">
        <v>918</v>
      </c>
      <c r="C539" s="12" t="s">
        <v>917</v>
      </c>
      <c r="D539" s="12" t="s">
        <v>1410</v>
      </c>
      <c r="E539" s="12" t="s">
        <v>3057</v>
      </c>
      <c r="F539" s="12" t="s">
        <v>3058</v>
      </c>
      <c r="G539" s="12" t="s">
        <v>3059</v>
      </c>
      <c r="H539" s="12" t="s">
        <v>1452</v>
      </c>
      <c r="I539" s="12" t="s">
        <v>1420</v>
      </c>
      <c r="J539" s="12" t="s">
        <v>1420</v>
      </c>
      <c r="K539" s="12" t="s">
        <v>1420</v>
      </c>
      <c r="L539" s="12" t="s">
        <v>1420</v>
      </c>
      <c r="M539" s="12" t="s">
        <v>1420</v>
      </c>
      <c r="N539" s="12" t="s">
        <v>1420</v>
      </c>
      <c r="O539" s="12" t="s">
        <v>1420</v>
      </c>
      <c r="P539" s="12" t="s">
        <v>1420</v>
      </c>
      <c r="Q539" s="12" t="s">
        <v>1420</v>
      </c>
      <c r="R539" s="12" t="s">
        <v>1420</v>
      </c>
      <c r="S539" s="12" t="s">
        <v>1414</v>
      </c>
      <c r="T539" s="12" t="s">
        <v>1420</v>
      </c>
      <c r="U539" s="12" t="s">
        <v>1420</v>
      </c>
      <c r="V539" s="12" t="s">
        <v>1420</v>
      </c>
      <c r="W539" s="12" t="s">
        <v>1420</v>
      </c>
      <c r="X539" s="12" t="s">
        <v>1420</v>
      </c>
      <c r="Y539" s="12" t="s">
        <v>1420</v>
      </c>
      <c r="Z539" s="12" t="s">
        <v>1420</v>
      </c>
      <c r="AA539" s="12" t="s">
        <v>1420</v>
      </c>
      <c r="AB539" s="12" t="s">
        <v>1420</v>
      </c>
      <c r="AC539" s="12" t="s">
        <v>1420</v>
      </c>
      <c r="AD539" s="12" t="s">
        <v>1420</v>
      </c>
      <c r="AE539" s="12" t="s">
        <v>1420</v>
      </c>
      <c r="AF539" s="12" t="s">
        <v>1420</v>
      </c>
      <c r="AG539" s="12" t="s">
        <v>1420</v>
      </c>
    </row>
    <row r="540" spans="1:33" ht="14.4" x14ac:dyDescent="0.3">
      <c r="A540" s="12" t="s">
        <v>49</v>
      </c>
      <c r="B540" s="12" t="s">
        <v>1145</v>
      </c>
      <c r="C540" s="12" t="s">
        <v>2038</v>
      </c>
      <c r="D540" s="12" t="s">
        <v>1410</v>
      </c>
      <c r="E540" s="12" t="s">
        <v>2039</v>
      </c>
      <c r="F540" s="12" t="s">
        <v>2040</v>
      </c>
      <c r="G540" s="12" t="s">
        <v>2041</v>
      </c>
      <c r="H540" s="12" t="s">
        <v>1452</v>
      </c>
      <c r="I540" s="12" t="s">
        <v>1420</v>
      </c>
      <c r="J540" s="12" t="s">
        <v>1420</v>
      </c>
      <c r="K540" s="12" t="s">
        <v>1420</v>
      </c>
      <c r="L540" s="12" t="s">
        <v>1420</v>
      </c>
      <c r="M540" s="12" t="s">
        <v>1420</v>
      </c>
      <c r="N540" s="12" t="s">
        <v>1420</v>
      </c>
      <c r="O540" s="12" t="s">
        <v>1420</v>
      </c>
      <c r="P540" s="12" t="s">
        <v>1420</v>
      </c>
      <c r="Q540" s="12" t="s">
        <v>1420</v>
      </c>
      <c r="R540" s="12" t="s">
        <v>1420</v>
      </c>
      <c r="S540" s="12" t="s">
        <v>1420</v>
      </c>
      <c r="T540" s="12" t="s">
        <v>1420</v>
      </c>
      <c r="U540" s="12" t="s">
        <v>1420</v>
      </c>
      <c r="V540" s="12" t="s">
        <v>1420</v>
      </c>
      <c r="W540" s="12" t="s">
        <v>1420</v>
      </c>
      <c r="X540" s="12" t="s">
        <v>1420</v>
      </c>
      <c r="Y540" s="12" t="s">
        <v>1420</v>
      </c>
      <c r="Z540" s="12" t="s">
        <v>1420</v>
      </c>
      <c r="AA540" s="12" t="s">
        <v>1420</v>
      </c>
      <c r="AB540" s="12" t="s">
        <v>1420</v>
      </c>
      <c r="AC540" s="12" t="s">
        <v>1420</v>
      </c>
      <c r="AD540" s="12" t="s">
        <v>1414</v>
      </c>
      <c r="AE540" s="12" t="s">
        <v>1420</v>
      </c>
      <c r="AF540" s="12" t="s">
        <v>1420</v>
      </c>
      <c r="AG540" s="12" t="s">
        <v>1420</v>
      </c>
    </row>
    <row r="541" spans="1:33" ht="14.4" x14ac:dyDescent="0.3">
      <c r="A541" s="12" t="s">
        <v>16</v>
      </c>
      <c r="B541" s="12" t="s">
        <v>921</v>
      </c>
      <c r="C541" s="12" t="s">
        <v>920</v>
      </c>
      <c r="D541" s="12" t="s">
        <v>1410</v>
      </c>
      <c r="E541" s="12" t="s">
        <v>1753</v>
      </c>
      <c r="F541" s="12" t="s">
        <v>1769</v>
      </c>
      <c r="G541" s="12" t="s">
        <v>1770</v>
      </c>
      <c r="H541" s="12" t="s">
        <v>1428</v>
      </c>
      <c r="I541" s="12" t="s">
        <v>1420</v>
      </c>
      <c r="J541" s="12" t="s">
        <v>1414</v>
      </c>
      <c r="K541" s="12" t="s">
        <v>1420</v>
      </c>
      <c r="L541" s="12" t="s">
        <v>1420</v>
      </c>
      <c r="M541" s="12" t="s">
        <v>1420</v>
      </c>
      <c r="N541" s="12" t="s">
        <v>1420</v>
      </c>
      <c r="O541" s="12" t="s">
        <v>1414</v>
      </c>
      <c r="P541" s="12" t="s">
        <v>1420</v>
      </c>
      <c r="Q541" s="12" t="s">
        <v>1420</v>
      </c>
      <c r="R541" s="12" t="s">
        <v>1420</v>
      </c>
      <c r="S541" s="12" t="s">
        <v>1420</v>
      </c>
      <c r="T541" s="12" t="s">
        <v>1414</v>
      </c>
      <c r="U541" s="12" t="s">
        <v>1420</v>
      </c>
      <c r="V541" s="12" t="s">
        <v>1420</v>
      </c>
      <c r="W541" s="12" t="s">
        <v>1414</v>
      </c>
      <c r="X541" s="12" t="s">
        <v>1414</v>
      </c>
      <c r="Y541" s="12" t="s">
        <v>1420</v>
      </c>
      <c r="Z541" s="12" t="s">
        <v>1414</v>
      </c>
      <c r="AA541" s="12" t="s">
        <v>1420</v>
      </c>
      <c r="AB541" s="12" t="s">
        <v>1420</v>
      </c>
      <c r="AC541" s="12" t="s">
        <v>1420</v>
      </c>
      <c r="AD541" s="12" t="s">
        <v>1414</v>
      </c>
      <c r="AE541" s="12" t="s">
        <v>1420</v>
      </c>
      <c r="AF541" s="12" t="s">
        <v>1420</v>
      </c>
      <c r="AG541" s="12" t="s">
        <v>1420</v>
      </c>
    </row>
    <row r="542" spans="1:33" ht="14.4" x14ac:dyDescent="0.3">
      <c r="A542" s="12" t="s">
        <v>16</v>
      </c>
      <c r="B542" s="12" t="s">
        <v>921</v>
      </c>
      <c r="C542" s="12" t="s">
        <v>920</v>
      </c>
      <c r="D542" s="12" t="s">
        <v>1410</v>
      </c>
      <c r="E542" s="12" t="s">
        <v>1789</v>
      </c>
      <c r="F542" s="12" t="s">
        <v>1748</v>
      </c>
      <c r="G542" s="12" t="s">
        <v>1790</v>
      </c>
      <c r="H542" s="12" t="s">
        <v>1464</v>
      </c>
      <c r="I542" s="12" t="s">
        <v>1420</v>
      </c>
      <c r="J542" s="12" t="s">
        <v>1420</v>
      </c>
      <c r="K542" s="12" t="s">
        <v>1420</v>
      </c>
      <c r="L542" s="12" t="s">
        <v>1420</v>
      </c>
      <c r="M542" s="12" t="s">
        <v>1420</v>
      </c>
      <c r="N542" s="12" t="s">
        <v>1420</v>
      </c>
      <c r="O542" s="12" t="s">
        <v>1420</v>
      </c>
      <c r="P542" s="12" t="s">
        <v>1420</v>
      </c>
      <c r="Q542" s="12" t="s">
        <v>1420</v>
      </c>
      <c r="R542" s="12" t="s">
        <v>1420</v>
      </c>
      <c r="S542" s="12" t="s">
        <v>1420</v>
      </c>
      <c r="T542" s="12" t="s">
        <v>1420</v>
      </c>
      <c r="U542" s="12" t="s">
        <v>1420</v>
      </c>
      <c r="V542" s="12" t="s">
        <v>1420</v>
      </c>
      <c r="W542" s="12" t="s">
        <v>1420</v>
      </c>
      <c r="X542" s="12" t="s">
        <v>1420</v>
      </c>
      <c r="Y542" s="12" t="s">
        <v>1420</v>
      </c>
      <c r="Z542" s="12" t="s">
        <v>1420</v>
      </c>
      <c r="AA542" s="12" t="s">
        <v>1420</v>
      </c>
      <c r="AB542" s="12" t="s">
        <v>1420</v>
      </c>
      <c r="AC542" s="12" t="s">
        <v>1420</v>
      </c>
      <c r="AD542" s="12" t="s">
        <v>1420</v>
      </c>
      <c r="AE542" s="12" t="s">
        <v>1420</v>
      </c>
      <c r="AF542" s="12" t="s">
        <v>1420</v>
      </c>
      <c r="AG542" s="12" t="s">
        <v>1420</v>
      </c>
    </row>
    <row r="543" spans="1:33" ht="14.4" x14ac:dyDescent="0.3">
      <c r="A543" s="12" t="s">
        <v>8</v>
      </c>
      <c r="B543" s="12" t="s">
        <v>1232</v>
      </c>
      <c r="C543" s="12" t="s">
        <v>1231</v>
      </c>
      <c r="D543" s="12" t="s">
        <v>1410</v>
      </c>
      <c r="E543" s="12" t="s">
        <v>3078</v>
      </c>
      <c r="F543" s="12" t="s">
        <v>3079</v>
      </c>
      <c r="G543" s="12" t="s">
        <v>3080</v>
      </c>
      <c r="H543" s="12" t="s">
        <v>1424</v>
      </c>
      <c r="I543" s="12" t="s">
        <v>1420</v>
      </c>
      <c r="J543" s="12" t="s">
        <v>1420</v>
      </c>
      <c r="K543" s="12" t="s">
        <v>1420</v>
      </c>
      <c r="L543" s="12" t="s">
        <v>1420</v>
      </c>
      <c r="M543" s="12" t="s">
        <v>1420</v>
      </c>
      <c r="N543" s="12" t="s">
        <v>1420</v>
      </c>
      <c r="O543" s="12" t="s">
        <v>1414</v>
      </c>
      <c r="P543" s="12" t="s">
        <v>1420</v>
      </c>
      <c r="Q543" s="12" t="s">
        <v>1420</v>
      </c>
      <c r="R543" s="12" t="s">
        <v>1420</v>
      </c>
      <c r="S543" s="12" t="s">
        <v>1420</v>
      </c>
      <c r="T543" s="12" t="s">
        <v>1420</v>
      </c>
      <c r="U543" s="12" t="s">
        <v>1420</v>
      </c>
      <c r="V543" s="12" t="s">
        <v>1420</v>
      </c>
      <c r="W543" s="12" t="s">
        <v>1420</v>
      </c>
      <c r="X543" s="12" t="s">
        <v>1414</v>
      </c>
      <c r="Y543" s="12" t="s">
        <v>1420</v>
      </c>
      <c r="Z543" s="12" t="s">
        <v>1420</v>
      </c>
      <c r="AA543" s="12" t="s">
        <v>1414</v>
      </c>
      <c r="AB543" s="12" t="s">
        <v>1420</v>
      </c>
      <c r="AC543" s="12" t="s">
        <v>1420</v>
      </c>
      <c r="AD543" s="12" t="s">
        <v>1420</v>
      </c>
      <c r="AE543" s="12" t="s">
        <v>1420</v>
      </c>
      <c r="AF543" s="12" t="s">
        <v>1420</v>
      </c>
      <c r="AG543" s="12" t="s">
        <v>1420</v>
      </c>
    </row>
    <row r="544" spans="1:33" ht="14.4" x14ac:dyDescent="0.3">
      <c r="A544" s="12" t="s">
        <v>153</v>
      </c>
      <c r="B544" s="12" t="s">
        <v>152</v>
      </c>
      <c r="C544" s="12" t="s">
        <v>151</v>
      </c>
      <c r="D544" s="12" t="s">
        <v>1410</v>
      </c>
      <c r="E544" s="12" t="s">
        <v>2154</v>
      </c>
      <c r="F544" s="12" t="s">
        <v>2128</v>
      </c>
      <c r="G544" s="12" t="s">
        <v>2155</v>
      </c>
      <c r="H544" s="12" t="s">
        <v>1464</v>
      </c>
      <c r="I544" s="12" t="s">
        <v>1420</v>
      </c>
      <c r="J544" s="12" t="s">
        <v>1420</v>
      </c>
      <c r="K544" s="12" t="s">
        <v>1420</v>
      </c>
      <c r="L544" s="12" t="s">
        <v>1420</v>
      </c>
      <c r="M544" s="12" t="s">
        <v>1420</v>
      </c>
      <c r="N544" s="12" t="s">
        <v>1420</v>
      </c>
      <c r="O544" s="12" t="s">
        <v>1420</v>
      </c>
      <c r="P544" s="12" t="s">
        <v>1420</v>
      </c>
      <c r="Q544" s="12" t="s">
        <v>1420</v>
      </c>
      <c r="R544" s="12" t="s">
        <v>1420</v>
      </c>
      <c r="S544" s="12" t="s">
        <v>1420</v>
      </c>
      <c r="T544" s="12" t="s">
        <v>1420</v>
      </c>
      <c r="U544" s="12" t="s">
        <v>1420</v>
      </c>
      <c r="V544" s="12" t="s">
        <v>1420</v>
      </c>
      <c r="W544" s="12" t="s">
        <v>1420</v>
      </c>
      <c r="X544" s="12" t="s">
        <v>1420</v>
      </c>
      <c r="Y544" s="12" t="s">
        <v>1420</v>
      </c>
      <c r="Z544" s="12" t="s">
        <v>1420</v>
      </c>
      <c r="AA544" s="12" t="s">
        <v>1420</v>
      </c>
      <c r="AB544" s="12" t="s">
        <v>1420</v>
      </c>
      <c r="AC544" s="12" t="s">
        <v>1420</v>
      </c>
      <c r="AD544" s="12" t="s">
        <v>1420</v>
      </c>
      <c r="AE544" s="12" t="s">
        <v>1420</v>
      </c>
      <c r="AF544" s="12" t="s">
        <v>1420</v>
      </c>
      <c r="AG544" s="12" t="s">
        <v>1420</v>
      </c>
    </row>
    <row r="545" spans="1:33" ht="14.4" x14ac:dyDescent="0.3">
      <c r="A545" s="12" t="s">
        <v>42</v>
      </c>
      <c r="B545" s="12" t="s">
        <v>5835</v>
      </c>
      <c r="C545" s="12" t="s">
        <v>5836</v>
      </c>
      <c r="D545" s="12" t="s">
        <v>1410</v>
      </c>
      <c r="E545" s="12" t="s">
        <v>5837</v>
      </c>
      <c r="F545" s="12" t="s">
        <v>5838</v>
      </c>
      <c r="G545" s="12" t="s">
        <v>2625</v>
      </c>
      <c r="H545" s="12" t="s">
        <v>1448</v>
      </c>
      <c r="I545" s="12" t="s">
        <v>1420</v>
      </c>
      <c r="J545" s="12" t="s">
        <v>1420</v>
      </c>
      <c r="K545" s="12" t="s">
        <v>1420</v>
      </c>
      <c r="L545" s="12" t="s">
        <v>1420</v>
      </c>
      <c r="M545" s="12" t="s">
        <v>1420</v>
      </c>
      <c r="N545" s="12" t="s">
        <v>1420</v>
      </c>
      <c r="O545" s="12" t="s">
        <v>1420</v>
      </c>
      <c r="P545" s="12" t="s">
        <v>1414</v>
      </c>
      <c r="Q545" s="12" t="s">
        <v>1420</v>
      </c>
      <c r="R545" s="12" t="s">
        <v>1420</v>
      </c>
      <c r="S545" s="12" t="s">
        <v>1414</v>
      </c>
      <c r="T545" s="12" t="s">
        <v>1420</v>
      </c>
      <c r="U545" s="12" t="s">
        <v>1420</v>
      </c>
      <c r="V545" s="12" t="s">
        <v>1420</v>
      </c>
      <c r="W545" s="12" t="s">
        <v>1414</v>
      </c>
      <c r="X545" s="12" t="s">
        <v>1414</v>
      </c>
      <c r="Y545" s="12" t="s">
        <v>1420</v>
      </c>
      <c r="Z545" s="12" t="s">
        <v>1420</v>
      </c>
      <c r="AA545" s="12" t="s">
        <v>1420</v>
      </c>
      <c r="AB545" s="12" t="s">
        <v>1420</v>
      </c>
      <c r="AC545" s="12" t="s">
        <v>1420</v>
      </c>
      <c r="AD545" s="12" t="s">
        <v>1414</v>
      </c>
      <c r="AE545" s="12" t="s">
        <v>1420</v>
      </c>
      <c r="AF545" s="12" t="s">
        <v>1420</v>
      </c>
      <c r="AG545" s="12" t="s">
        <v>1420</v>
      </c>
    </row>
    <row r="546" spans="1:33" ht="14.4" x14ac:dyDescent="0.3">
      <c r="A546" s="12" t="s">
        <v>28</v>
      </c>
      <c r="B546" s="12" t="s">
        <v>5839</v>
      </c>
      <c r="C546" s="12" t="s">
        <v>5840</v>
      </c>
      <c r="D546" s="12" t="s">
        <v>1410</v>
      </c>
      <c r="E546" s="12" t="s">
        <v>5841</v>
      </c>
      <c r="F546" s="12" t="s">
        <v>5742</v>
      </c>
      <c r="G546" s="12" t="s">
        <v>2645</v>
      </c>
      <c r="H546" s="12" t="s">
        <v>1428</v>
      </c>
      <c r="I546" s="12" t="s">
        <v>1420</v>
      </c>
      <c r="J546" s="12" t="s">
        <v>1420</v>
      </c>
      <c r="K546" s="12" t="s">
        <v>1420</v>
      </c>
      <c r="L546" s="12" t="s">
        <v>1420</v>
      </c>
      <c r="M546" s="12" t="s">
        <v>1420</v>
      </c>
      <c r="N546" s="12" t="s">
        <v>1420</v>
      </c>
      <c r="O546" s="12" t="s">
        <v>1414</v>
      </c>
      <c r="P546" s="12" t="s">
        <v>1420</v>
      </c>
      <c r="Q546" s="12" t="s">
        <v>1420</v>
      </c>
      <c r="R546" s="12" t="s">
        <v>1420</v>
      </c>
      <c r="S546" s="12" t="s">
        <v>1420</v>
      </c>
      <c r="T546" s="12" t="s">
        <v>1420</v>
      </c>
      <c r="U546" s="12" t="s">
        <v>1420</v>
      </c>
      <c r="V546" s="12" t="s">
        <v>1414</v>
      </c>
      <c r="W546" s="12" t="s">
        <v>1420</v>
      </c>
      <c r="X546" s="12" t="s">
        <v>1420</v>
      </c>
      <c r="Y546" s="12" t="s">
        <v>1420</v>
      </c>
      <c r="Z546" s="12" t="s">
        <v>1420</v>
      </c>
      <c r="AA546" s="12" t="s">
        <v>1414</v>
      </c>
      <c r="AB546" s="12" t="s">
        <v>1414</v>
      </c>
      <c r="AC546" s="12" t="s">
        <v>1414</v>
      </c>
      <c r="AD546" s="12" t="s">
        <v>1414</v>
      </c>
      <c r="AE546" s="12" t="s">
        <v>1414</v>
      </c>
      <c r="AF546" s="12" t="s">
        <v>1420</v>
      </c>
      <c r="AG546" s="12" t="s">
        <v>1420</v>
      </c>
    </row>
    <row r="547" spans="1:33" ht="14.4" x14ac:dyDescent="0.3">
      <c r="A547" s="12" t="s">
        <v>31</v>
      </c>
      <c r="B547" s="12" t="s">
        <v>601</v>
      </c>
      <c r="C547" s="12" t="s">
        <v>600</v>
      </c>
      <c r="D547" s="12" t="s">
        <v>1410</v>
      </c>
      <c r="E547" s="12" t="s">
        <v>2205</v>
      </c>
      <c r="F547" s="12" t="s">
        <v>2206</v>
      </c>
      <c r="G547" s="12" t="s">
        <v>2207</v>
      </c>
      <c r="H547" s="12" t="s">
        <v>1488</v>
      </c>
      <c r="I547" s="12" t="s">
        <v>1420</v>
      </c>
      <c r="J547" s="12" t="s">
        <v>1420</v>
      </c>
      <c r="K547" s="12" t="s">
        <v>1420</v>
      </c>
      <c r="L547" s="12" t="s">
        <v>1420</v>
      </c>
      <c r="M547" s="12" t="s">
        <v>1420</v>
      </c>
      <c r="N547" s="12" t="s">
        <v>1420</v>
      </c>
      <c r="O547" s="12" t="s">
        <v>1420</v>
      </c>
      <c r="P547" s="12" t="s">
        <v>1420</v>
      </c>
      <c r="Q547" s="12" t="s">
        <v>1420</v>
      </c>
      <c r="R547" s="12" t="s">
        <v>1420</v>
      </c>
      <c r="S547" s="12" t="s">
        <v>1420</v>
      </c>
      <c r="T547" s="12" t="s">
        <v>1420</v>
      </c>
      <c r="U547" s="12" t="s">
        <v>1420</v>
      </c>
      <c r="V547" s="12" t="s">
        <v>1420</v>
      </c>
      <c r="W547" s="12" t="s">
        <v>1420</v>
      </c>
      <c r="X547" s="12" t="s">
        <v>1420</v>
      </c>
      <c r="Y547" s="12" t="s">
        <v>1420</v>
      </c>
      <c r="Z547" s="12" t="s">
        <v>1420</v>
      </c>
      <c r="AA547" s="12" t="s">
        <v>1414</v>
      </c>
      <c r="AB547" s="12" t="s">
        <v>1420</v>
      </c>
      <c r="AC547" s="12" t="s">
        <v>1420</v>
      </c>
      <c r="AD547" s="12" t="s">
        <v>1420</v>
      </c>
      <c r="AE547" s="12" t="s">
        <v>1414</v>
      </c>
      <c r="AF547" s="12" t="s">
        <v>1414</v>
      </c>
      <c r="AG547" s="12" t="s">
        <v>1414</v>
      </c>
    </row>
    <row r="548" spans="1:33" ht="14.4" x14ac:dyDescent="0.3">
      <c r="A548" s="12" t="s">
        <v>8</v>
      </c>
      <c r="B548" s="12" t="s">
        <v>603</v>
      </c>
      <c r="C548" s="12" t="s">
        <v>602</v>
      </c>
      <c r="D548" s="12" t="s">
        <v>1410</v>
      </c>
      <c r="E548" s="12" t="s">
        <v>2458</v>
      </c>
      <c r="F548" s="12" t="s">
        <v>2473</v>
      </c>
      <c r="G548" s="12" t="s">
        <v>2474</v>
      </c>
      <c r="H548" s="12" t="s">
        <v>1452</v>
      </c>
      <c r="I548" s="12" t="s">
        <v>1420</v>
      </c>
      <c r="J548" s="12" t="s">
        <v>1420</v>
      </c>
      <c r="K548" s="12" t="s">
        <v>1420</v>
      </c>
      <c r="L548" s="12" t="s">
        <v>1420</v>
      </c>
      <c r="M548" s="12" t="s">
        <v>1420</v>
      </c>
      <c r="N548" s="12" t="s">
        <v>1420</v>
      </c>
      <c r="O548" s="12" t="s">
        <v>1420</v>
      </c>
      <c r="P548" s="12" t="s">
        <v>1420</v>
      </c>
      <c r="Q548" s="12" t="s">
        <v>1420</v>
      </c>
      <c r="R548" s="12" t="s">
        <v>1420</v>
      </c>
      <c r="S548" s="12" t="s">
        <v>1420</v>
      </c>
      <c r="T548" s="12" t="s">
        <v>1420</v>
      </c>
      <c r="U548" s="12" t="s">
        <v>1420</v>
      </c>
      <c r="V548" s="12" t="s">
        <v>1420</v>
      </c>
      <c r="W548" s="12" t="s">
        <v>1420</v>
      </c>
      <c r="X548" s="12" t="s">
        <v>1420</v>
      </c>
      <c r="Y548" s="12" t="s">
        <v>1420</v>
      </c>
      <c r="Z548" s="12" t="s">
        <v>1415</v>
      </c>
      <c r="AA548" s="12" t="s">
        <v>1420</v>
      </c>
      <c r="AB548" s="12" t="s">
        <v>1420</v>
      </c>
      <c r="AC548" s="12" t="s">
        <v>1420</v>
      </c>
      <c r="AD548" s="12" t="s">
        <v>1420</v>
      </c>
      <c r="AE548" s="12" t="s">
        <v>1420</v>
      </c>
      <c r="AF548" s="12" t="s">
        <v>1420</v>
      </c>
      <c r="AG548" s="12" t="s">
        <v>1420</v>
      </c>
    </row>
    <row r="549" spans="1:33" ht="14.4" x14ac:dyDescent="0.3">
      <c r="A549" s="12" t="s">
        <v>293</v>
      </c>
      <c r="B549" s="12" t="s">
        <v>923</v>
      </c>
      <c r="C549" s="12" t="s">
        <v>922</v>
      </c>
      <c r="D549" s="12" t="s">
        <v>1410</v>
      </c>
      <c r="E549" s="12" t="s">
        <v>2697</v>
      </c>
      <c r="F549" s="12" t="s">
        <v>2698</v>
      </c>
      <c r="G549" s="12" t="s">
        <v>1740</v>
      </c>
      <c r="H549" s="12" t="s">
        <v>1419</v>
      </c>
      <c r="I549" s="12" t="s">
        <v>1420</v>
      </c>
      <c r="J549" s="12" t="s">
        <v>1420</v>
      </c>
      <c r="K549" s="12" t="s">
        <v>1420</v>
      </c>
      <c r="L549" s="12" t="s">
        <v>1420</v>
      </c>
      <c r="M549" s="12" t="s">
        <v>1420</v>
      </c>
      <c r="N549" s="12" t="s">
        <v>1414</v>
      </c>
      <c r="O549" s="12" t="s">
        <v>1420</v>
      </c>
      <c r="P549" s="12" t="s">
        <v>1420</v>
      </c>
      <c r="Q549" s="12" t="s">
        <v>1420</v>
      </c>
      <c r="R549" s="12" t="s">
        <v>1420</v>
      </c>
      <c r="S549" s="12" t="s">
        <v>1420</v>
      </c>
      <c r="T549" s="12" t="s">
        <v>1420</v>
      </c>
      <c r="U549" s="12" t="s">
        <v>1420</v>
      </c>
      <c r="V549" s="12" t="s">
        <v>1420</v>
      </c>
      <c r="W549" s="12" t="s">
        <v>1420</v>
      </c>
      <c r="X549" s="12" t="s">
        <v>1420</v>
      </c>
      <c r="Y549" s="12" t="s">
        <v>1420</v>
      </c>
      <c r="Z549" s="12" t="s">
        <v>1420</v>
      </c>
      <c r="AA549" s="12" t="s">
        <v>1420</v>
      </c>
      <c r="AB549" s="12" t="s">
        <v>1420</v>
      </c>
      <c r="AC549" s="12" t="s">
        <v>1420</v>
      </c>
      <c r="AD549" s="12" t="s">
        <v>1414</v>
      </c>
      <c r="AE549" s="12" t="s">
        <v>1420</v>
      </c>
      <c r="AF549" s="12" t="s">
        <v>1420</v>
      </c>
      <c r="AG549" s="12" t="s">
        <v>1420</v>
      </c>
    </row>
    <row r="550" spans="1:33" ht="14.4" x14ac:dyDescent="0.3">
      <c r="A550" s="12" t="s">
        <v>42</v>
      </c>
      <c r="B550" s="12" t="s">
        <v>155</v>
      </c>
      <c r="C550" s="12" t="s">
        <v>154</v>
      </c>
      <c r="D550" s="12" t="s">
        <v>1410</v>
      </c>
      <c r="E550" s="12" t="s">
        <v>2736</v>
      </c>
      <c r="F550" s="12" t="s">
        <v>2734</v>
      </c>
      <c r="G550" s="12" t="s">
        <v>2737</v>
      </c>
      <c r="H550" s="12" t="s">
        <v>1448</v>
      </c>
      <c r="I550" s="12" t="s">
        <v>1420</v>
      </c>
      <c r="J550" s="12" t="s">
        <v>1420</v>
      </c>
      <c r="K550" s="12" t="s">
        <v>1420</v>
      </c>
      <c r="L550" s="12" t="s">
        <v>1420</v>
      </c>
      <c r="M550" s="12" t="s">
        <v>1420</v>
      </c>
      <c r="N550" s="12" t="s">
        <v>1420</v>
      </c>
      <c r="O550" s="12" t="s">
        <v>1420</v>
      </c>
      <c r="P550" s="12" t="s">
        <v>1420</v>
      </c>
      <c r="Q550" s="12" t="s">
        <v>1420</v>
      </c>
      <c r="R550" s="12" t="s">
        <v>1420</v>
      </c>
      <c r="S550" s="12" t="s">
        <v>1414</v>
      </c>
      <c r="T550" s="12" t="s">
        <v>1414</v>
      </c>
      <c r="U550" s="12" t="s">
        <v>1420</v>
      </c>
      <c r="V550" s="12" t="s">
        <v>1420</v>
      </c>
      <c r="W550" s="12" t="s">
        <v>1420</v>
      </c>
      <c r="X550" s="12" t="s">
        <v>1414</v>
      </c>
      <c r="Y550" s="12" t="s">
        <v>1420</v>
      </c>
      <c r="Z550" s="12" t="s">
        <v>1420</v>
      </c>
      <c r="AA550" s="12" t="s">
        <v>1414</v>
      </c>
      <c r="AB550" s="12" t="s">
        <v>1420</v>
      </c>
      <c r="AC550" s="12" t="s">
        <v>1414</v>
      </c>
      <c r="AD550" s="12" t="s">
        <v>1420</v>
      </c>
      <c r="AE550" s="12" t="s">
        <v>1420</v>
      </c>
      <c r="AF550" s="12" t="s">
        <v>1420</v>
      </c>
      <c r="AG550" s="12" t="s">
        <v>1420</v>
      </c>
    </row>
    <row r="551" spans="1:33" ht="14.4" x14ac:dyDescent="0.3">
      <c r="A551" s="12" t="s">
        <v>11</v>
      </c>
      <c r="B551" s="12" t="s">
        <v>290</v>
      </c>
      <c r="C551" s="12" t="s">
        <v>289</v>
      </c>
      <c r="D551" s="12" t="s">
        <v>1410</v>
      </c>
      <c r="E551" s="12" t="s">
        <v>2691</v>
      </c>
      <c r="F551" s="12" t="s">
        <v>2692</v>
      </c>
      <c r="G551" s="12" t="s">
        <v>2693</v>
      </c>
      <c r="H551" s="12" t="s">
        <v>1424</v>
      </c>
      <c r="I551" s="12" t="s">
        <v>1420</v>
      </c>
      <c r="J551" s="12" t="s">
        <v>1420</v>
      </c>
      <c r="K551" s="12" t="s">
        <v>1420</v>
      </c>
      <c r="L551" s="12" t="s">
        <v>1420</v>
      </c>
      <c r="M551" s="12" t="s">
        <v>1420</v>
      </c>
      <c r="N551" s="12" t="s">
        <v>1420</v>
      </c>
      <c r="O551" s="12" t="s">
        <v>1420</v>
      </c>
      <c r="P551" s="12" t="s">
        <v>1420</v>
      </c>
      <c r="Q551" s="12" t="s">
        <v>1420</v>
      </c>
      <c r="R551" s="12" t="s">
        <v>1420</v>
      </c>
      <c r="S551" s="12" t="s">
        <v>1420</v>
      </c>
      <c r="T551" s="12" t="s">
        <v>1414</v>
      </c>
      <c r="U551" s="12" t="s">
        <v>1420</v>
      </c>
      <c r="V551" s="12" t="s">
        <v>1414</v>
      </c>
      <c r="W551" s="12" t="s">
        <v>1420</v>
      </c>
      <c r="X551" s="12" t="s">
        <v>1420</v>
      </c>
      <c r="Y551" s="12" t="s">
        <v>1420</v>
      </c>
      <c r="Z551" s="12" t="s">
        <v>1420</v>
      </c>
      <c r="AA551" s="12" t="s">
        <v>1420</v>
      </c>
      <c r="AB551" s="12" t="s">
        <v>1420</v>
      </c>
      <c r="AC551" s="12" t="s">
        <v>1414</v>
      </c>
      <c r="AD551" s="12" t="s">
        <v>1420</v>
      </c>
      <c r="AE551" s="12" t="s">
        <v>1420</v>
      </c>
      <c r="AF551" s="12" t="s">
        <v>1420</v>
      </c>
      <c r="AG551" s="12" t="s">
        <v>1420</v>
      </c>
    </row>
    <row r="552" spans="1:33" ht="14.4" x14ac:dyDescent="0.3">
      <c r="A552" s="12" t="s">
        <v>926</v>
      </c>
      <c r="B552" s="12" t="s">
        <v>925</v>
      </c>
      <c r="C552" s="12" t="s">
        <v>924</v>
      </c>
      <c r="D552" s="12" t="s">
        <v>1410</v>
      </c>
      <c r="E552" s="12" t="s">
        <v>2783</v>
      </c>
      <c r="F552" s="12" t="s">
        <v>2784</v>
      </c>
      <c r="G552" s="12" t="s">
        <v>2785</v>
      </c>
      <c r="H552" s="12" t="s">
        <v>1438</v>
      </c>
      <c r="I552" s="12" t="s">
        <v>1420</v>
      </c>
      <c r="J552" s="12" t="s">
        <v>1420</v>
      </c>
      <c r="K552" s="12" t="s">
        <v>1420</v>
      </c>
      <c r="L552" s="12" t="s">
        <v>1420</v>
      </c>
      <c r="M552" s="12" t="s">
        <v>1420</v>
      </c>
      <c r="N552" s="12" t="s">
        <v>1420</v>
      </c>
      <c r="O552" s="12" t="s">
        <v>1420</v>
      </c>
      <c r="P552" s="12" t="s">
        <v>1420</v>
      </c>
      <c r="Q552" s="12" t="s">
        <v>1420</v>
      </c>
      <c r="R552" s="12" t="s">
        <v>1420</v>
      </c>
      <c r="S552" s="12" t="s">
        <v>1420</v>
      </c>
      <c r="T552" s="12" t="s">
        <v>1420</v>
      </c>
      <c r="U552" s="12" t="s">
        <v>1420</v>
      </c>
      <c r="V552" s="12" t="s">
        <v>1420</v>
      </c>
      <c r="W552" s="12" t="s">
        <v>1420</v>
      </c>
      <c r="X552" s="12" t="s">
        <v>1414</v>
      </c>
      <c r="Y552" s="12" t="s">
        <v>1414</v>
      </c>
      <c r="Z552" s="12" t="s">
        <v>1420</v>
      </c>
      <c r="AA552" s="12" t="s">
        <v>1414</v>
      </c>
      <c r="AB552" s="12" t="s">
        <v>1414</v>
      </c>
      <c r="AC552" s="12" t="s">
        <v>1414</v>
      </c>
      <c r="AD552" s="12" t="s">
        <v>1420</v>
      </c>
      <c r="AE552" s="12" t="s">
        <v>1414</v>
      </c>
      <c r="AF552" s="12" t="s">
        <v>1420</v>
      </c>
      <c r="AG552" s="12" t="s">
        <v>1420</v>
      </c>
    </row>
    <row r="553" spans="1:33" ht="14.4" x14ac:dyDescent="0.3">
      <c r="A553" s="12" t="s">
        <v>28</v>
      </c>
      <c r="B553" s="12" t="s">
        <v>718</v>
      </c>
      <c r="C553" s="12" t="s">
        <v>717</v>
      </c>
      <c r="D553" s="12" t="s">
        <v>1410</v>
      </c>
      <c r="E553" s="12" t="s">
        <v>1507</v>
      </c>
      <c r="F553" s="12" t="s">
        <v>1508</v>
      </c>
      <c r="G553" s="12" t="s">
        <v>1509</v>
      </c>
      <c r="H553" s="12" t="s">
        <v>1488</v>
      </c>
      <c r="I553" s="12" t="s">
        <v>1420</v>
      </c>
      <c r="J553" s="12" t="s">
        <v>1420</v>
      </c>
      <c r="K553" s="12" t="s">
        <v>1420</v>
      </c>
      <c r="L553" s="12" t="s">
        <v>1420</v>
      </c>
      <c r="M553" s="12" t="s">
        <v>1420</v>
      </c>
      <c r="N553" s="12" t="s">
        <v>1420</v>
      </c>
      <c r="O553" s="12" t="s">
        <v>1420</v>
      </c>
      <c r="P553" s="12" t="s">
        <v>1420</v>
      </c>
      <c r="Q553" s="12" t="s">
        <v>1420</v>
      </c>
      <c r="R553" s="12" t="s">
        <v>1420</v>
      </c>
      <c r="S553" s="12" t="s">
        <v>1414</v>
      </c>
      <c r="T553" s="12" t="s">
        <v>1420</v>
      </c>
      <c r="U553" s="12" t="s">
        <v>1414</v>
      </c>
      <c r="V553" s="12" t="s">
        <v>1420</v>
      </c>
      <c r="W553" s="12" t="s">
        <v>1420</v>
      </c>
      <c r="X553" s="12" t="s">
        <v>1420</v>
      </c>
      <c r="Y553" s="12" t="s">
        <v>1420</v>
      </c>
      <c r="Z553" s="12" t="s">
        <v>1414</v>
      </c>
      <c r="AA553" s="12" t="s">
        <v>1420</v>
      </c>
      <c r="AB553" s="12" t="s">
        <v>1420</v>
      </c>
      <c r="AC553" s="12" t="s">
        <v>1420</v>
      </c>
      <c r="AD553" s="12" t="s">
        <v>1420</v>
      </c>
      <c r="AE553" s="12" t="s">
        <v>1420</v>
      </c>
      <c r="AF553" s="12" t="s">
        <v>1420</v>
      </c>
      <c r="AG553" s="12" t="s">
        <v>1414</v>
      </c>
    </row>
    <row r="554" spans="1:33" ht="14.4" x14ac:dyDescent="0.3">
      <c r="A554" s="12" t="s">
        <v>19</v>
      </c>
      <c r="B554" s="12" t="s">
        <v>372</v>
      </c>
      <c r="C554" s="12" t="s">
        <v>371</v>
      </c>
      <c r="D554" s="12" t="s">
        <v>1410</v>
      </c>
      <c r="E554" s="12" t="s">
        <v>1782</v>
      </c>
      <c r="F554" s="12" t="s">
        <v>1783</v>
      </c>
      <c r="G554" s="12" t="s">
        <v>1413</v>
      </c>
      <c r="H554" s="12" t="s">
        <v>1420</v>
      </c>
      <c r="I554" s="12" t="s">
        <v>1420</v>
      </c>
      <c r="J554" s="12" t="s">
        <v>1414</v>
      </c>
      <c r="K554" s="12" t="s">
        <v>1414</v>
      </c>
      <c r="L554" s="12" t="s">
        <v>1415</v>
      </c>
      <c r="M554" s="12" t="s">
        <v>1415</v>
      </c>
      <c r="N554" s="12" t="s">
        <v>1415</v>
      </c>
      <c r="O554" s="12" t="s">
        <v>1415</v>
      </c>
      <c r="P554" s="12" t="s">
        <v>1415</v>
      </c>
      <c r="Q554" s="12" t="s">
        <v>1415</v>
      </c>
      <c r="R554" s="12" t="s">
        <v>1415</v>
      </c>
      <c r="S554" s="12" t="s">
        <v>1415</v>
      </c>
      <c r="T554" s="12" t="s">
        <v>1415</v>
      </c>
      <c r="U554" s="12" t="s">
        <v>1415</v>
      </c>
      <c r="V554" s="12" t="s">
        <v>1415</v>
      </c>
      <c r="W554" s="12" t="s">
        <v>1415</v>
      </c>
      <c r="X554" s="12" t="s">
        <v>1415</v>
      </c>
      <c r="Y554" s="12" t="s">
        <v>1415</v>
      </c>
      <c r="Z554" s="12" t="s">
        <v>1415</v>
      </c>
      <c r="AA554" s="12" t="s">
        <v>1415</v>
      </c>
      <c r="AB554" s="12" t="s">
        <v>1415</v>
      </c>
      <c r="AC554" s="12" t="s">
        <v>1415</v>
      </c>
      <c r="AD554" s="12" t="s">
        <v>1415</v>
      </c>
      <c r="AE554" s="12" t="s">
        <v>1415</v>
      </c>
      <c r="AF554" s="12" t="s">
        <v>1415</v>
      </c>
      <c r="AG554" s="12" t="s">
        <v>1415</v>
      </c>
    </row>
    <row r="555" spans="1:33" ht="14.4" x14ac:dyDescent="0.3">
      <c r="A555" s="12" t="s">
        <v>19</v>
      </c>
      <c r="B555" s="12" t="s">
        <v>372</v>
      </c>
      <c r="C555" s="12" t="s">
        <v>371</v>
      </c>
      <c r="D555" s="12" t="s">
        <v>1410</v>
      </c>
      <c r="E555" s="12" t="s">
        <v>1831</v>
      </c>
      <c r="F555" s="12" t="s">
        <v>1832</v>
      </c>
      <c r="G555" s="12" t="s">
        <v>1833</v>
      </c>
      <c r="H555" s="12" t="s">
        <v>1438</v>
      </c>
      <c r="I555" s="12" t="s">
        <v>1420</v>
      </c>
      <c r="J555" s="12" t="s">
        <v>1420</v>
      </c>
      <c r="K555" s="12" t="s">
        <v>1420</v>
      </c>
      <c r="L555" s="12" t="s">
        <v>1420</v>
      </c>
      <c r="M555" s="12" t="s">
        <v>1420</v>
      </c>
      <c r="N555" s="12" t="s">
        <v>1420</v>
      </c>
      <c r="O555" s="12" t="s">
        <v>1420</v>
      </c>
      <c r="P555" s="12" t="s">
        <v>1414</v>
      </c>
      <c r="Q555" s="12" t="s">
        <v>1420</v>
      </c>
      <c r="R555" s="12" t="s">
        <v>1420</v>
      </c>
      <c r="S555" s="12" t="s">
        <v>1414</v>
      </c>
      <c r="T555" s="12" t="s">
        <v>1420</v>
      </c>
      <c r="U555" s="12" t="s">
        <v>1420</v>
      </c>
      <c r="V555" s="12" t="s">
        <v>1420</v>
      </c>
      <c r="W555" s="12" t="s">
        <v>1420</v>
      </c>
      <c r="X555" s="12" t="s">
        <v>1420</v>
      </c>
      <c r="Y555" s="12" t="s">
        <v>1420</v>
      </c>
      <c r="Z555" s="12" t="s">
        <v>1420</v>
      </c>
      <c r="AA555" s="12" t="s">
        <v>1420</v>
      </c>
      <c r="AB555" s="12" t="s">
        <v>1420</v>
      </c>
      <c r="AC555" s="12" t="s">
        <v>1414</v>
      </c>
      <c r="AD555" s="12" t="s">
        <v>1414</v>
      </c>
      <c r="AE555" s="12" t="s">
        <v>1414</v>
      </c>
      <c r="AF555" s="12" t="s">
        <v>1420</v>
      </c>
      <c r="AG555" s="12" t="s">
        <v>1414</v>
      </c>
    </row>
    <row r="556" spans="1:33" ht="14.4" x14ac:dyDescent="0.3">
      <c r="A556" s="12" t="s">
        <v>5500</v>
      </c>
      <c r="B556" s="12" t="s">
        <v>5842</v>
      </c>
      <c r="C556" s="12" t="s">
        <v>156</v>
      </c>
      <c r="D556" s="12" t="s">
        <v>1410</v>
      </c>
      <c r="E556" s="12" t="s">
        <v>2557</v>
      </c>
      <c r="F556" s="12" t="s">
        <v>2558</v>
      </c>
      <c r="G556" s="12" t="s">
        <v>2559</v>
      </c>
      <c r="H556" s="12" t="s">
        <v>1419</v>
      </c>
      <c r="I556" s="12" t="s">
        <v>1420</v>
      </c>
      <c r="J556" s="12" t="s">
        <v>1420</v>
      </c>
      <c r="K556" s="12" t="s">
        <v>1420</v>
      </c>
      <c r="L556" s="12" t="s">
        <v>1420</v>
      </c>
      <c r="M556" s="12" t="s">
        <v>1420</v>
      </c>
      <c r="N556" s="12" t="s">
        <v>1420</v>
      </c>
      <c r="O556" s="12" t="s">
        <v>1420</v>
      </c>
      <c r="P556" s="12" t="s">
        <v>1414</v>
      </c>
      <c r="Q556" s="12" t="s">
        <v>1420</v>
      </c>
      <c r="R556" s="12" t="s">
        <v>1420</v>
      </c>
      <c r="S556" s="12" t="s">
        <v>1420</v>
      </c>
      <c r="T556" s="12" t="s">
        <v>1420</v>
      </c>
      <c r="U556" s="12" t="s">
        <v>1420</v>
      </c>
      <c r="V556" s="12" t="s">
        <v>1420</v>
      </c>
      <c r="W556" s="12" t="s">
        <v>1420</v>
      </c>
      <c r="X556" s="12" t="s">
        <v>1420</v>
      </c>
      <c r="Y556" s="12" t="s">
        <v>1420</v>
      </c>
      <c r="Z556" s="12" t="s">
        <v>1420</v>
      </c>
      <c r="AA556" s="12" t="s">
        <v>1420</v>
      </c>
      <c r="AB556" s="12" t="s">
        <v>1420</v>
      </c>
      <c r="AC556" s="12" t="s">
        <v>1420</v>
      </c>
      <c r="AD556" s="12" t="s">
        <v>1414</v>
      </c>
      <c r="AE556" s="12" t="s">
        <v>1420</v>
      </c>
      <c r="AF556" s="12" t="s">
        <v>1420</v>
      </c>
      <c r="AG556" s="12" t="s">
        <v>1420</v>
      </c>
    </row>
    <row r="557" spans="1:33" ht="14.4" x14ac:dyDescent="0.3">
      <c r="A557" s="12" t="s">
        <v>31</v>
      </c>
      <c r="B557" s="12" t="s">
        <v>928</v>
      </c>
      <c r="C557" s="12" t="s">
        <v>927</v>
      </c>
      <c r="D557" s="12" t="s">
        <v>1410</v>
      </c>
      <c r="E557" s="12" t="s">
        <v>2423</v>
      </c>
      <c r="F557" s="12" t="s">
        <v>2425</v>
      </c>
      <c r="G557" s="12" t="s">
        <v>2426</v>
      </c>
      <c r="H557" s="12" t="s">
        <v>1419</v>
      </c>
      <c r="I557" s="12" t="s">
        <v>1420</v>
      </c>
      <c r="J557" s="12" t="s">
        <v>1420</v>
      </c>
      <c r="K557" s="12" t="s">
        <v>1420</v>
      </c>
      <c r="L557" s="12" t="s">
        <v>1420</v>
      </c>
      <c r="M557" s="12" t="s">
        <v>1420</v>
      </c>
      <c r="N557" s="12" t="s">
        <v>1420</v>
      </c>
      <c r="O557" s="12" t="s">
        <v>1420</v>
      </c>
      <c r="P557" s="12" t="s">
        <v>1420</v>
      </c>
      <c r="Q557" s="12" t="s">
        <v>1420</v>
      </c>
      <c r="R557" s="12" t="s">
        <v>1420</v>
      </c>
      <c r="S557" s="12" t="s">
        <v>1420</v>
      </c>
      <c r="T557" s="12" t="s">
        <v>1420</v>
      </c>
      <c r="U557" s="12" t="s">
        <v>1420</v>
      </c>
      <c r="V557" s="12" t="s">
        <v>1420</v>
      </c>
      <c r="W557" s="12" t="s">
        <v>1420</v>
      </c>
      <c r="X557" s="12" t="s">
        <v>1414</v>
      </c>
      <c r="Y557" s="12" t="s">
        <v>1420</v>
      </c>
      <c r="Z557" s="12" t="s">
        <v>1420</v>
      </c>
      <c r="AA557" s="12" t="s">
        <v>1420</v>
      </c>
      <c r="AB557" s="12" t="s">
        <v>1420</v>
      </c>
      <c r="AC557" s="12" t="s">
        <v>1414</v>
      </c>
      <c r="AD557" s="12" t="s">
        <v>1420</v>
      </c>
      <c r="AE557" s="12" t="s">
        <v>1420</v>
      </c>
      <c r="AF557" s="12" t="s">
        <v>1420</v>
      </c>
      <c r="AG557" s="12" t="s">
        <v>1420</v>
      </c>
    </row>
    <row r="558" spans="1:33" ht="14.4" x14ac:dyDescent="0.3">
      <c r="A558" s="12" t="s">
        <v>25</v>
      </c>
      <c r="B558" s="12" t="s">
        <v>1118</v>
      </c>
      <c r="C558" s="12" t="s">
        <v>1117</v>
      </c>
      <c r="D558" s="12" t="s">
        <v>1410</v>
      </c>
      <c r="E558" s="12" t="s">
        <v>1862</v>
      </c>
      <c r="F558" s="12" t="s">
        <v>1863</v>
      </c>
      <c r="G558" s="12" t="s">
        <v>1864</v>
      </c>
      <c r="H558" s="12" t="s">
        <v>1448</v>
      </c>
      <c r="I558" s="12" t="s">
        <v>1420</v>
      </c>
      <c r="J558" s="12" t="s">
        <v>1420</v>
      </c>
      <c r="K558" s="12" t="s">
        <v>1420</v>
      </c>
      <c r="L558" s="12" t="s">
        <v>1420</v>
      </c>
      <c r="M558" s="12" t="s">
        <v>1420</v>
      </c>
      <c r="N558" s="12" t="s">
        <v>1414</v>
      </c>
      <c r="O558" s="12" t="s">
        <v>1414</v>
      </c>
      <c r="P558" s="12" t="s">
        <v>1414</v>
      </c>
      <c r="Q558" s="12" t="s">
        <v>1420</v>
      </c>
      <c r="R558" s="12" t="s">
        <v>1420</v>
      </c>
      <c r="S558" s="12" t="s">
        <v>1414</v>
      </c>
      <c r="T558" s="12" t="s">
        <v>1420</v>
      </c>
      <c r="U558" s="12" t="s">
        <v>1420</v>
      </c>
      <c r="V558" s="12" t="s">
        <v>1420</v>
      </c>
      <c r="W558" s="12" t="s">
        <v>1414</v>
      </c>
      <c r="X558" s="12" t="s">
        <v>1420</v>
      </c>
      <c r="Y558" s="12" t="s">
        <v>1420</v>
      </c>
      <c r="Z558" s="12" t="s">
        <v>1420</v>
      </c>
      <c r="AA558" s="12" t="s">
        <v>1420</v>
      </c>
      <c r="AB558" s="12" t="s">
        <v>1420</v>
      </c>
      <c r="AC558" s="12" t="s">
        <v>1420</v>
      </c>
      <c r="AD558" s="12" t="s">
        <v>1420</v>
      </c>
      <c r="AE558" s="12" t="s">
        <v>1420</v>
      </c>
      <c r="AF558" s="12" t="s">
        <v>1420</v>
      </c>
      <c r="AG558" s="12" t="s">
        <v>1420</v>
      </c>
    </row>
    <row r="559" spans="1:33" ht="14.4" x14ac:dyDescent="0.3">
      <c r="A559" s="12" t="s">
        <v>375</v>
      </c>
      <c r="B559" s="12" t="s">
        <v>374</v>
      </c>
      <c r="C559" s="12" t="s">
        <v>373</v>
      </c>
      <c r="D559" s="12" t="s">
        <v>1410</v>
      </c>
      <c r="E559" s="12" t="s">
        <v>2011</v>
      </c>
      <c r="F559" s="12" t="s">
        <v>2013</v>
      </c>
      <c r="G559" s="12" t="s">
        <v>2014</v>
      </c>
      <c r="H559" s="12" t="s">
        <v>1464</v>
      </c>
      <c r="I559" s="12" t="s">
        <v>1420</v>
      </c>
      <c r="J559" s="12" t="s">
        <v>1420</v>
      </c>
      <c r="K559" s="12" t="s">
        <v>1420</v>
      </c>
      <c r="L559" s="12" t="s">
        <v>1420</v>
      </c>
      <c r="M559" s="12" t="s">
        <v>1420</v>
      </c>
      <c r="N559" s="12" t="s">
        <v>1420</v>
      </c>
      <c r="O559" s="12" t="s">
        <v>1420</v>
      </c>
      <c r="P559" s="12" t="s">
        <v>1420</v>
      </c>
      <c r="Q559" s="12" t="s">
        <v>1420</v>
      </c>
      <c r="R559" s="12" t="s">
        <v>1420</v>
      </c>
      <c r="S559" s="12" t="s">
        <v>1420</v>
      </c>
      <c r="T559" s="12" t="s">
        <v>1420</v>
      </c>
      <c r="U559" s="12" t="s">
        <v>1420</v>
      </c>
      <c r="V559" s="12" t="s">
        <v>1420</v>
      </c>
      <c r="W559" s="12" t="s">
        <v>1420</v>
      </c>
      <c r="X559" s="12" t="s">
        <v>1420</v>
      </c>
      <c r="Y559" s="12" t="s">
        <v>1420</v>
      </c>
      <c r="Z559" s="12" t="s">
        <v>1420</v>
      </c>
      <c r="AA559" s="12" t="s">
        <v>1420</v>
      </c>
      <c r="AB559" s="12" t="s">
        <v>1420</v>
      </c>
      <c r="AC559" s="12" t="s">
        <v>1420</v>
      </c>
      <c r="AD559" s="12" t="s">
        <v>1420</v>
      </c>
      <c r="AE559" s="12" t="s">
        <v>1420</v>
      </c>
      <c r="AF559" s="12" t="s">
        <v>1420</v>
      </c>
      <c r="AG559" s="12" t="s">
        <v>1420</v>
      </c>
    </row>
    <row r="560" spans="1:33" ht="14.4" x14ac:dyDescent="0.3">
      <c r="A560" s="12" t="s">
        <v>42</v>
      </c>
      <c r="B560" s="12" t="s">
        <v>377</v>
      </c>
      <c r="C560" s="12" t="s">
        <v>376</v>
      </c>
      <c r="D560" s="12" t="s">
        <v>1410</v>
      </c>
      <c r="E560" s="12" t="s">
        <v>1756</v>
      </c>
      <c r="F560" s="12" t="s">
        <v>1757</v>
      </c>
      <c r="G560" s="12" t="s">
        <v>1758</v>
      </c>
      <c r="H560" s="12" t="s">
        <v>1606</v>
      </c>
      <c r="I560" s="12" t="s">
        <v>1420</v>
      </c>
      <c r="J560" s="12" t="s">
        <v>1420</v>
      </c>
      <c r="K560" s="12" t="s">
        <v>1420</v>
      </c>
      <c r="L560" s="12" t="s">
        <v>1420</v>
      </c>
      <c r="M560" s="12" t="s">
        <v>1420</v>
      </c>
      <c r="N560" s="12" t="s">
        <v>1414</v>
      </c>
      <c r="O560" s="12" t="s">
        <v>1420</v>
      </c>
      <c r="P560" s="12" t="s">
        <v>1414</v>
      </c>
      <c r="Q560" s="12" t="s">
        <v>1414</v>
      </c>
      <c r="R560" s="12" t="s">
        <v>1420</v>
      </c>
      <c r="S560" s="12" t="s">
        <v>1414</v>
      </c>
      <c r="T560" s="12" t="s">
        <v>1420</v>
      </c>
      <c r="U560" s="12" t="s">
        <v>1420</v>
      </c>
      <c r="V560" s="12" t="s">
        <v>1414</v>
      </c>
      <c r="W560" s="12" t="s">
        <v>1420</v>
      </c>
      <c r="X560" s="12" t="s">
        <v>1414</v>
      </c>
      <c r="Y560" s="12" t="s">
        <v>1420</v>
      </c>
      <c r="Z560" s="12" t="s">
        <v>1420</v>
      </c>
      <c r="AA560" s="12" t="s">
        <v>1420</v>
      </c>
      <c r="AB560" s="12" t="s">
        <v>1420</v>
      </c>
      <c r="AC560" s="12" t="s">
        <v>1414</v>
      </c>
      <c r="AD560" s="12" t="s">
        <v>1414</v>
      </c>
      <c r="AE560" s="12" t="s">
        <v>1420</v>
      </c>
      <c r="AF560" s="12" t="s">
        <v>1420</v>
      </c>
      <c r="AG560" s="12" t="s">
        <v>1420</v>
      </c>
    </row>
    <row r="561" spans="1:33" ht="14.4" x14ac:dyDescent="0.3">
      <c r="A561" s="12" t="s">
        <v>28</v>
      </c>
      <c r="B561" s="12" t="s">
        <v>159</v>
      </c>
      <c r="C561" s="12" t="s">
        <v>158</v>
      </c>
      <c r="D561" s="12" t="s">
        <v>1410</v>
      </c>
      <c r="E561" s="12" t="s">
        <v>2468</v>
      </c>
      <c r="F561" s="12" t="s">
        <v>2490</v>
      </c>
      <c r="G561" s="12" t="s">
        <v>2491</v>
      </c>
      <c r="H561" s="12" t="s">
        <v>1452</v>
      </c>
      <c r="I561" s="12" t="s">
        <v>1420</v>
      </c>
      <c r="J561" s="12" t="s">
        <v>1420</v>
      </c>
      <c r="K561" s="12" t="s">
        <v>1420</v>
      </c>
      <c r="L561" s="12" t="s">
        <v>1420</v>
      </c>
      <c r="M561" s="12" t="s">
        <v>1420</v>
      </c>
      <c r="N561" s="12" t="s">
        <v>1420</v>
      </c>
      <c r="O561" s="12" t="s">
        <v>1420</v>
      </c>
      <c r="P561" s="12" t="s">
        <v>1420</v>
      </c>
      <c r="Q561" s="12" t="s">
        <v>1420</v>
      </c>
      <c r="R561" s="12" t="s">
        <v>1420</v>
      </c>
      <c r="S561" s="12" t="s">
        <v>1420</v>
      </c>
      <c r="T561" s="12" t="s">
        <v>1420</v>
      </c>
      <c r="U561" s="12" t="s">
        <v>1420</v>
      </c>
      <c r="V561" s="12" t="s">
        <v>1420</v>
      </c>
      <c r="W561" s="12" t="s">
        <v>1420</v>
      </c>
      <c r="X561" s="12" t="s">
        <v>1414</v>
      </c>
      <c r="Y561" s="12" t="s">
        <v>1420</v>
      </c>
      <c r="Z561" s="12" t="s">
        <v>1420</v>
      </c>
      <c r="AA561" s="12" t="s">
        <v>1420</v>
      </c>
      <c r="AB561" s="12" t="s">
        <v>1420</v>
      </c>
      <c r="AC561" s="12" t="s">
        <v>1420</v>
      </c>
      <c r="AD561" s="12" t="s">
        <v>1420</v>
      </c>
      <c r="AE561" s="12" t="s">
        <v>1420</v>
      </c>
      <c r="AF561" s="12" t="s">
        <v>1420</v>
      </c>
      <c r="AG561" s="12" t="s">
        <v>1420</v>
      </c>
    </row>
    <row r="562" spans="1:33" ht="14.4" x14ac:dyDescent="0.3">
      <c r="A562" s="12" t="s">
        <v>8</v>
      </c>
      <c r="B562" s="12" t="s">
        <v>930</v>
      </c>
      <c r="C562" s="12" t="s">
        <v>929</v>
      </c>
      <c r="D562" s="12" t="s">
        <v>1410</v>
      </c>
      <c r="E562" s="12" t="s">
        <v>2623</v>
      </c>
      <c r="F562" s="12" t="s">
        <v>2624</v>
      </c>
      <c r="G562" s="12" t="s">
        <v>2625</v>
      </c>
      <c r="H562" s="12" t="s">
        <v>1424</v>
      </c>
      <c r="I562" s="12" t="s">
        <v>1420</v>
      </c>
      <c r="J562" s="12" t="s">
        <v>1420</v>
      </c>
      <c r="K562" s="12" t="s">
        <v>1420</v>
      </c>
      <c r="L562" s="12" t="s">
        <v>1420</v>
      </c>
      <c r="M562" s="12" t="s">
        <v>1420</v>
      </c>
      <c r="N562" s="12" t="s">
        <v>1420</v>
      </c>
      <c r="O562" s="12" t="s">
        <v>1420</v>
      </c>
      <c r="P562" s="12" t="s">
        <v>1420</v>
      </c>
      <c r="Q562" s="12" t="s">
        <v>1420</v>
      </c>
      <c r="R562" s="12" t="s">
        <v>1420</v>
      </c>
      <c r="S562" s="12" t="s">
        <v>1420</v>
      </c>
      <c r="T562" s="12" t="s">
        <v>1420</v>
      </c>
      <c r="U562" s="12" t="s">
        <v>1414</v>
      </c>
      <c r="V562" s="12" t="s">
        <v>1420</v>
      </c>
      <c r="W562" s="12" t="s">
        <v>1414</v>
      </c>
      <c r="X562" s="12" t="s">
        <v>1420</v>
      </c>
      <c r="Y562" s="12" t="s">
        <v>1420</v>
      </c>
      <c r="Z562" s="12" t="s">
        <v>1420</v>
      </c>
      <c r="AA562" s="12" t="s">
        <v>1420</v>
      </c>
      <c r="AB562" s="12" t="s">
        <v>1420</v>
      </c>
      <c r="AC562" s="12" t="s">
        <v>1420</v>
      </c>
      <c r="AD562" s="12" t="s">
        <v>1420</v>
      </c>
      <c r="AE562" s="12" t="s">
        <v>1420</v>
      </c>
      <c r="AF562" s="12" t="s">
        <v>1414</v>
      </c>
      <c r="AG562" s="12" t="s">
        <v>1420</v>
      </c>
    </row>
    <row r="563" spans="1:33" ht="14.4" x14ac:dyDescent="0.3">
      <c r="A563" s="12" t="s">
        <v>31</v>
      </c>
      <c r="B563" s="12" t="s">
        <v>161</v>
      </c>
      <c r="C563" s="12" t="s">
        <v>160</v>
      </c>
      <c r="D563" s="12" t="s">
        <v>1410</v>
      </c>
      <c r="E563" s="12" t="s">
        <v>2444</v>
      </c>
      <c r="F563" s="12" t="s">
        <v>2445</v>
      </c>
      <c r="G563" s="12" t="s">
        <v>2446</v>
      </c>
      <c r="H563" s="12" t="s">
        <v>1424</v>
      </c>
      <c r="I563" s="12" t="s">
        <v>1420</v>
      </c>
      <c r="J563" s="12" t="s">
        <v>1420</v>
      </c>
      <c r="K563" s="12" t="s">
        <v>1420</v>
      </c>
      <c r="L563" s="12" t="s">
        <v>1420</v>
      </c>
      <c r="M563" s="12" t="s">
        <v>1420</v>
      </c>
      <c r="N563" s="12" t="s">
        <v>1420</v>
      </c>
      <c r="O563" s="12" t="s">
        <v>1420</v>
      </c>
      <c r="P563" s="12" t="s">
        <v>1420</v>
      </c>
      <c r="Q563" s="12" t="s">
        <v>1420</v>
      </c>
      <c r="R563" s="12" t="s">
        <v>1420</v>
      </c>
      <c r="S563" s="12" t="s">
        <v>1420</v>
      </c>
      <c r="T563" s="12" t="s">
        <v>1414</v>
      </c>
      <c r="U563" s="12" t="s">
        <v>1420</v>
      </c>
      <c r="V563" s="12" t="s">
        <v>1420</v>
      </c>
      <c r="W563" s="12" t="s">
        <v>1414</v>
      </c>
      <c r="X563" s="12" t="s">
        <v>1420</v>
      </c>
      <c r="Y563" s="12" t="s">
        <v>1420</v>
      </c>
      <c r="Z563" s="12" t="s">
        <v>1420</v>
      </c>
      <c r="AA563" s="12" t="s">
        <v>1420</v>
      </c>
      <c r="AB563" s="12" t="s">
        <v>1420</v>
      </c>
      <c r="AC563" s="12" t="s">
        <v>1420</v>
      </c>
      <c r="AD563" s="12" t="s">
        <v>1414</v>
      </c>
      <c r="AE563" s="12" t="s">
        <v>1420</v>
      </c>
      <c r="AF563" s="12" t="s">
        <v>1420</v>
      </c>
      <c r="AG563" s="12" t="s">
        <v>1420</v>
      </c>
    </row>
    <row r="564" spans="1:33" ht="14.4" x14ac:dyDescent="0.3">
      <c r="A564" s="12" t="s">
        <v>42</v>
      </c>
      <c r="B564" s="12" t="s">
        <v>163</v>
      </c>
      <c r="C564" s="12" t="s">
        <v>162</v>
      </c>
      <c r="D564" s="12" t="s">
        <v>1410</v>
      </c>
      <c r="E564" s="12" t="s">
        <v>2422</v>
      </c>
      <c r="F564" s="12" t="s">
        <v>2423</v>
      </c>
      <c r="G564" s="12" t="s">
        <v>2424</v>
      </c>
      <c r="H564" s="12" t="s">
        <v>1452</v>
      </c>
      <c r="I564" s="12" t="s">
        <v>1420</v>
      </c>
      <c r="J564" s="12" t="s">
        <v>1420</v>
      </c>
      <c r="K564" s="12" t="s">
        <v>1420</v>
      </c>
      <c r="L564" s="12" t="s">
        <v>1420</v>
      </c>
      <c r="M564" s="12" t="s">
        <v>1420</v>
      </c>
      <c r="N564" s="12" t="s">
        <v>1414</v>
      </c>
      <c r="O564" s="12" t="s">
        <v>1420</v>
      </c>
      <c r="P564" s="12" t="s">
        <v>1420</v>
      </c>
      <c r="Q564" s="12" t="s">
        <v>1420</v>
      </c>
      <c r="R564" s="12" t="s">
        <v>1420</v>
      </c>
      <c r="S564" s="12" t="s">
        <v>1420</v>
      </c>
      <c r="T564" s="12" t="s">
        <v>1420</v>
      </c>
      <c r="U564" s="12" t="s">
        <v>1420</v>
      </c>
      <c r="V564" s="12" t="s">
        <v>1420</v>
      </c>
      <c r="W564" s="12" t="s">
        <v>1420</v>
      </c>
      <c r="X564" s="12" t="s">
        <v>1420</v>
      </c>
      <c r="Y564" s="12" t="s">
        <v>1420</v>
      </c>
      <c r="Z564" s="12" t="s">
        <v>1420</v>
      </c>
      <c r="AA564" s="12" t="s">
        <v>1420</v>
      </c>
      <c r="AB564" s="12" t="s">
        <v>1420</v>
      </c>
      <c r="AC564" s="12" t="s">
        <v>1420</v>
      </c>
      <c r="AD564" s="12" t="s">
        <v>1420</v>
      </c>
      <c r="AE564" s="12" t="s">
        <v>1420</v>
      </c>
      <c r="AF564" s="12" t="s">
        <v>1420</v>
      </c>
      <c r="AG564" s="12" t="s">
        <v>1420</v>
      </c>
    </row>
    <row r="565" spans="1:33" ht="14.4" x14ac:dyDescent="0.3">
      <c r="A565" s="12" t="s">
        <v>55</v>
      </c>
      <c r="B565" s="12" t="s">
        <v>379</v>
      </c>
      <c r="C565" s="12" t="s">
        <v>378</v>
      </c>
      <c r="D565" s="12" t="s">
        <v>1410</v>
      </c>
      <c r="E565" s="12" t="s">
        <v>1719</v>
      </c>
      <c r="F565" s="12" t="s">
        <v>1726</v>
      </c>
      <c r="G565" s="12" t="s">
        <v>1727</v>
      </c>
      <c r="H565" s="12" t="s">
        <v>1424</v>
      </c>
      <c r="I565" s="12" t="s">
        <v>1420</v>
      </c>
      <c r="J565" s="12" t="s">
        <v>1420</v>
      </c>
      <c r="K565" s="12" t="s">
        <v>1420</v>
      </c>
      <c r="L565" s="12" t="s">
        <v>1420</v>
      </c>
      <c r="M565" s="12" t="s">
        <v>1420</v>
      </c>
      <c r="N565" s="12" t="s">
        <v>1420</v>
      </c>
      <c r="O565" s="12" t="s">
        <v>1420</v>
      </c>
      <c r="P565" s="12" t="s">
        <v>1420</v>
      </c>
      <c r="Q565" s="12" t="s">
        <v>1420</v>
      </c>
      <c r="R565" s="12" t="s">
        <v>1420</v>
      </c>
      <c r="S565" s="12" t="s">
        <v>1414</v>
      </c>
      <c r="T565" s="12" t="s">
        <v>1420</v>
      </c>
      <c r="U565" s="12" t="s">
        <v>1420</v>
      </c>
      <c r="V565" s="12" t="s">
        <v>1420</v>
      </c>
      <c r="W565" s="12" t="s">
        <v>1420</v>
      </c>
      <c r="X565" s="12" t="s">
        <v>1420</v>
      </c>
      <c r="Y565" s="12" t="s">
        <v>1420</v>
      </c>
      <c r="Z565" s="12" t="s">
        <v>1420</v>
      </c>
      <c r="AA565" s="12" t="s">
        <v>1420</v>
      </c>
      <c r="AB565" s="12" t="s">
        <v>1414</v>
      </c>
      <c r="AC565" s="12" t="s">
        <v>1414</v>
      </c>
      <c r="AD565" s="12" t="s">
        <v>1420</v>
      </c>
      <c r="AE565" s="12" t="s">
        <v>1420</v>
      </c>
      <c r="AF565" s="12" t="s">
        <v>1420</v>
      </c>
      <c r="AG565" s="12" t="s">
        <v>1420</v>
      </c>
    </row>
    <row r="566" spans="1:33" ht="14.4" x14ac:dyDescent="0.3">
      <c r="A566" s="12" t="s">
        <v>8</v>
      </c>
      <c r="B566" s="12" t="s">
        <v>5843</v>
      </c>
      <c r="C566" s="12" t="s">
        <v>5844</v>
      </c>
      <c r="D566" s="12" t="s">
        <v>1410</v>
      </c>
      <c r="E566" s="12" t="s">
        <v>5590</v>
      </c>
      <c r="F566" s="12" t="s">
        <v>5845</v>
      </c>
      <c r="G566" s="12" t="s">
        <v>3105</v>
      </c>
      <c r="H566" s="12" t="s">
        <v>1452</v>
      </c>
      <c r="I566" s="12" t="s">
        <v>1420</v>
      </c>
      <c r="J566" s="12" t="s">
        <v>1420</v>
      </c>
      <c r="K566" s="12" t="s">
        <v>1420</v>
      </c>
      <c r="L566" s="12" t="s">
        <v>1420</v>
      </c>
      <c r="M566" s="12" t="s">
        <v>1420</v>
      </c>
      <c r="N566" s="12" t="s">
        <v>1420</v>
      </c>
      <c r="O566" s="12" t="s">
        <v>1420</v>
      </c>
      <c r="P566" s="12" t="s">
        <v>1420</v>
      </c>
      <c r="Q566" s="12" t="s">
        <v>1420</v>
      </c>
      <c r="R566" s="12" t="s">
        <v>1420</v>
      </c>
      <c r="S566" s="12" t="s">
        <v>1414</v>
      </c>
      <c r="T566" s="12" t="s">
        <v>1420</v>
      </c>
      <c r="U566" s="12" t="s">
        <v>1420</v>
      </c>
      <c r="V566" s="12" t="s">
        <v>1420</v>
      </c>
      <c r="W566" s="12" t="s">
        <v>1420</v>
      </c>
      <c r="X566" s="12" t="s">
        <v>1420</v>
      </c>
      <c r="Y566" s="12" t="s">
        <v>1420</v>
      </c>
      <c r="Z566" s="12" t="s">
        <v>1420</v>
      </c>
      <c r="AA566" s="12" t="s">
        <v>1420</v>
      </c>
      <c r="AB566" s="12" t="s">
        <v>1420</v>
      </c>
      <c r="AC566" s="12" t="s">
        <v>1420</v>
      </c>
      <c r="AD566" s="12" t="s">
        <v>1420</v>
      </c>
      <c r="AE566" s="12" t="s">
        <v>1420</v>
      </c>
      <c r="AF566" s="12" t="s">
        <v>1420</v>
      </c>
      <c r="AG566" s="12" t="s">
        <v>1420</v>
      </c>
    </row>
    <row r="567" spans="1:33" ht="14.4" x14ac:dyDescent="0.3">
      <c r="A567" s="12" t="s">
        <v>8</v>
      </c>
      <c r="B567" s="12" t="s">
        <v>1120</v>
      </c>
      <c r="C567" s="12" t="s">
        <v>1119</v>
      </c>
      <c r="D567" s="12" t="s">
        <v>1410</v>
      </c>
      <c r="E567" s="12" t="s">
        <v>3075</v>
      </c>
      <c r="F567" s="12" t="s">
        <v>3076</v>
      </c>
      <c r="G567" s="12" t="s">
        <v>3077</v>
      </c>
      <c r="H567" s="12" t="s">
        <v>1419</v>
      </c>
      <c r="I567" s="12" t="s">
        <v>1420</v>
      </c>
      <c r="J567" s="12" t="s">
        <v>1420</v>
      </c>
      <c r="K567" s="12" t="s">
        <v>1420</v>
      </c>
      <c r="L567" s="12" t="s">
        <v>1420</v>
      </c>
      <c r="M567" s="12" t="s">
        <v>1420</v>
      </c>
      <c r="N567" s="12" t="s">
        <v>1420</v>
      </c>
      <c r="O567" s="12" t="s">
        <v>1420</v>
      </c>
      <c r="P567" s="12" t="s">
        <v>1414</v>
      </c>
      <c r="Q567" s="12" t="s">
        <v>1420</v>
      </c>
      <c r="R567" s="12" t="s">
        <v>1420</v>
      </c>
      <c r="S567" s="12" t="s">
        <v>1420</v>
      </c>
      <c r="T567" s="12" t="s">
        <v>1420</v>
      </c>
      <c r="U567" s="12" t="s">
        <v>1420</v>
      </c>
      <c r="V567" s="12" t="s">
        <v>1420</v>
      </c>
      <c r="W567" s="12" t="s">
        <v>1420</v>
      </c>
      <c r="X567" s="12" t="s">
        <v>1420</v>
      </c>
      <c r="Y567" s="12" t="s">
        <v>1420</v>
      </c>
      <c r="Z567" s="12" t="s">
        <v>1420</v>
      </c>
      <c r="AA567" s="12" t="s">
        <v>1420</v>
      </c>
      <c r="AB567" s="12" t="s">
        <v>1420</v>
      </c>
      <c r="AC567" s="12" t="s">
        <v>1414</v>
      </c>
      <c r="AD567" s="12" t="s">
        <v>1420</v>
      </c>
      <c r="AE567" s="12" t="s">
        <v>1420</v>
      </c>
      <c r="AF567" s="12" t="s">
        <v>1420</v>
      </c>
      <c r="AG567" s="12" t="s">
        <v>1420</v>
      </c>
    </row>
    <row r="568" spans="1:33" ht="14.4" x14ac:dyDescent="0.3">
      <c r="A568" s="12" t="s">
        <v>25</v>
      </c>
      <c r="B568" s="12" t="s">
        <v>932</v>
      </c>
      <c r="C568" s="12" t="s">
        <v>931</v>
      </c>
      <c r="D568" s="12" t="s">
        <v>1410</v>
      </c>
      <c r="E568" s="12" t="s">
        <v>2756</v>
      </c>
      <c r="F568" s="12" t="s">
        <v>2757</v>
      </c>
      <c r="G568" s="12" t="s">
        <v>2758</v>
      </c>
      <c r="H568" s="12" t="s">
        <v>1419</v>
      </c>
      <c r="I568" s="12" t="s">
        <v>1420</v>
      </c>
      <c r="J568" s="12" t="s">
        <v>1420</v>
      </c>
      <c r="K568" s="12" t="s">
        <v>1420</v>
      </c>
      <c r="L568" s="12" t="s">
        <v>1420</v>
      </c>
      <c r="M568" s="12" t="s">
        <v>1420</v>
      </c>
      <c r="N568" s="12" t="s">
        <v>1420</v>
      </c>
      <c r="O568" s="12" t="s">
        <v>1420</v>
      </c>
      <c r="P568" s="12" t="s">
        <v>1414</v>
      </c>
      <c r="Q568" s="12" t="s">
        <v>1420</v>
      </c>
      <c r="R568" s="12" t="s">
        <v>1420</v>
      </c>
      <c r="S568" s="12" t="s">
        <v>1420</v>
      </c>
      <c r="T568" s="12" t="s">
        <v>1420</v>
      </c>
      <c r="U568" s="12" t="s">
        <v>1420</v>
      </c>
      <c r="V568" s="12" t="s">
        <v>1420</v>
      </c>
      <c r="W568" s="12" t="s">
        <v>1420</v>
      </c>
      <c r="X568" s="12" t="s">
        <v>1420</v>
      </c>
      <c r="Y568" s="12" t="s">
        <v>1414</v>
      </c>
      <c r="Z568" s="12" t="s">
        <v>1420</v>
      </c>
      <c r="AA568" s="12" t="s">
        <v>1420</v>
      </c>
      <c r="AB568" s="12" t="s">
        <v>1420</v>
      </c>
      <c r="AC568" s="12" t="s">
        <v>1420</v>
      </c>
      <c r="AD568" s="12" t="s">
        <v>1420</v>
      </c>
      <c r="AE568" s="12" t="s">
        <v>1420</v>
      </c>
      <c r="AF568" s="12" t="s">
        <v>1420</v>
      </c>
      <c r="AG568" s="12" t="s">
        <v>1420</v>
      </c>
    </row>
    <row r="569" spans="1:33" ht="14.4" x14ac:dyDescent="0.3">
      <c r="A569" s="12" t="s">
        <v>11</v>
      </c>
      <c r="B569" s="12" t="s">
        <v>605</v>
      </c>
      <c r="C569" s="12" t="s">
        <v>604</v>
      </c>
      <c r="D569" s="12" t="s">
        <v>1410</v>
      </c>
      <c r="E569" s="12" t="s">
        <v>2373</v>
      </c>
      <c r="F569" s="12" t="s">
        <v>2374</v>
      </c>
      <c r="G569" s="12" t="s">
        <v>2375</v>
      </c>
      <c r="H569" s="12" t="s">
        <v>1452</v>
      </c>
      <c r="I569" s="12" t="s">
        <v>1420</v>
      </c>
      <c r="J569" s="12" t="s">
        <v>1420</v>
      </c>
      <c r="K569" s="12" t="s">
        <v>1420</v>
      </c>
      <c r="L569" s="12" t="s">
        <v>1420</v>
      </c>
      <c r="M569" s="12" t="s">
        <v>1420</v>
      </c>
      <c r="N569" s="12" t="s">
        <v>1420</v>
      </c>
      <c r="O569" s="12" t="s">
        <v>1420</v>
      </c>
      <c r="P569" s="12" t="s">
        <v>1420</v>
      </c>
      <c r="Q569" s="12" t="s">
        <v>1420</v>
      </c>
      <c r="R569" s="12" t="s">
        <v>1420</v>
      </c>
      <c r="S569" s="12" t="s">
        <v>1420</v>
      </c>
      <c r="T569" s="12" t="s">
        <v>1420</v>
      </c>
      <c r="U569" s="12" t="s">
        <v>1420</v>
      </c>
      <c r="V569" s="12" t="s">
        <v>1420</v>
      </c>
      <c r="W569" s="12" t="s">
        <v>1420</v>
      </c>
      <c r="X569" s="12" t="s">
        <v>1420</v>
      </c>
      <c r="Y569" s="12" t="s">
        <v>1420</v>
      </c>
      <c r="Z569" s="12" t="s">
        <v>1420</v>
      </c>
      <c r="AA569" s="12" t="s">
        <v>1420</v>
      </c>
      <c r="AB569" s="12" t="s">
        <v>1420</v>
      </c>
      <c r="AC569" s="12" t="s">
        <v>1420</v>
      </c>
      <c r="AD569" s="12" t="s">
        <v>1414</v>
      </c>
      <c r="AE569" s="12" t="s">
        <v>1420</v>
      </c>
      <c r="AF569" s="12" t="s">
        <v>1420</v>
      </c>
      <c r="AG569" s="12" t="s">
        <v>1420</v>
      </c>
    </row>
    <row r="570" spans="1:33" ht="14.4" x14ac:dyDescent="0.3">
      <c r="A570" s="12" t="s">
        <v>25</v>
      </c>
      <c r="B570" s="12" t="s">
        <v>934</v>
      </c>
      <c r="C570" s="12" t="s">
        <v>5846</v>
      </c>
      <c r="D570" s="12" t="s">
        <v>1410</v>
      </c>
      <c r="E570" s="12" t="s">
        <v>5847</v>
      </c>
      <c r="F570" s="12" t="s">
        <v>5848</v>
      </c>
      <c r="G570" s="12" t="s">
        <v>5471</v>
      </c>
      <c r="H570" s="12" t="s">
        <v>1424</v>
      </c>
      <c r="I570" s="12" t="s">
        <v>1420</v>
      </c>
      <c r="J570" s="12" t="s">
        <v>1420</v>
      </c>
      <c r="K570" s="12" t="s">
        <v>1420</v>
      </c>
      <c r="L570" s="12" t="s">
        <v>1420</v>
      </c>
      <c r="M570" s="12" t="s">
        <v>1420</v>
      </c>
      <c r="N570" s="12" t="s">
        <v>1420</v>
      </c>
      <c r="O570" s="12" t="s">
        <v>1420</v>
      </c>
      <c r="P570" s="12" t="s">
        <v>1420</v>
      </c>
      <c r="Q570" s="12" t="s">
        <v>1420</v>
      </c>
      <c r="R570" s="12" t="s">
        <v>1420</v>
      </c>
      <c r="S570" s="12" t="s">
        <v>1420</v>
      </c>
      <c r="T570" s="12" t="s">
        <v>1420</v>
      </c>
      <c r="U570" s="12" t="s">
        <v>1414</v>
      </c>
      <c r="V570" s="12" t="s">
        <v>1420</v>
      </c>
      <c r="W570" s="12" t="s">
        <v>1420</v>
      </c>
      <c r="X570" s="12" t="s">
        <v>1420</v>
      </c>
      <c r="Y570" s="12" t="s">
        <v>1414</v>
      </c>
      <c r="Z570" s="12" t="s">
        <v>1420</v>
      </c>
      <c r="AA570" s="12" t="s">
        <v>1420</v>
      </c>
      <c r="AB570" s="12" t="s">
        <v>1420</v>
      </c>
      <c r="AC570" s="12" t="s">
        <v>1420</v>
      </c>
      <c r="AD570" s="12" t="s">
        <v>1420</v>
      </c>
      <c r="AE570" s="12" t="s">
        <v>1414</v>
      </c>
      <c r="AF570" s="12" t="s">
        <v>1420</v>
      </c>
      <c r="AG570" s="12" t="s">
        <v>1420</v>
      </c>
    </row>
    <row r="571" spans="1:33" ht="14.4" x14ac:dyDescent="0.3">
      <c r="A571" s="12" t="s">
        <v>123</v>
      </c>
      <c r="B571" s="12" t="s">
        <v>934</v>
      </c>
      <c r="C571" s="12" t="s">
        <v>933</v>
      </c>
      <c r="D571" s="12" t="s">
        <v>1410</v>
      </c>
      <c r="E571" s="12" t="s">
        <v>3060</v>
      </c>
      <c r="F571" s="12" t="s">
        <v>3061</v>
      </c>
      <c r="G571" s="12" t="s">
        <v>3062</v>
      </c>
      <c r="H571" s="12" t="s">
        <v>1452</v>
      </c>
      <c r="I571" s="12" t="s">
        <v>1420</v>
      </c>
      <c r="J571" s="12" t="s">
        <v>1420</v>
      </c>
      <c r="K571" s="12" t="s">
        <v>1420</v>
      </c>
      <c r="L571" s="12" t="s">
        <v>1420</v>
      </c>
      <c r="M571" s="12" t="s">
        <v>1420</v>
      </c>
      <c r="N571" s="12" t="s">
        <v>1420</v>
      </c>
      <c r="O571" s="12" t="s">
        <v>1420</v>
      </c>
      <c r="P571" s="12" t="s">
        <v>1420</v>
      </c>
      <c r="Q571" s="12" t="s">
        <v>1420</v>
      </c>
      <c r="R571" s="12" t="s">
        <v>1420</v>
      </c>
      <c r="S571" s="12" t="s">
        <v>1420</v>
      </c>
      <c r="T571" s="12" t="s">
        <v>1420</v>
      </c>
      <c r="U571" s="12" t="s">
        <v>1420</v>
      </c>
      <c r="V571" s="12" t="s">
        <v>1420</v>
      </c>
      <c r="W571" s="12" t="s">
        <v>1420</v>
      </c>
      <c r="X571" s="12" t="s">
        <v>1420</v>
      </c>
      <c r="Y571" s="12" t="s">
        <v>1420</v>
      </c>
      <c r="Z571" s="12" t="s">
        <v>1420</v>
      </c>
      <c r="AA571" s="12" t="s">
        <v>1420</v>
      </c>
      <c r="AB571" s="12" t="s">
        <v>1420</v>
      </c>
      <c r="AC571" s="12" t="s">
        <v>1420</v>
      </c>
      <c r="AD571" s="12" t="s">
        <v>1414</v>
      </c>
      <c r="AE571" s="12" t="s">
        <v>1420</v>
      </c>
      <c r="AF571" s="12" t="s">
        <v>1420</v>
      </c>
      <c r="AG571" s="12" t="s">
        <v>1420</v>
      </c>
    </row>
    <row r="572" spans="1:33" ht="14.4" x14ac:dyDescent="0.3">
      <c r="A572" s="12" t="s">
        <v>123</v>
      </c>
      <c r="B572" s="12" t="s">
        <v>934</v>
      </c>
      <c r="C572" s="12" t="s">
        <v>935</v>
      </c>
      <c r="D572" s="12" t="s">
        <v>1410</v>
      </c>
      <c r="E572" s="12" t="s">
        <v>3014</v>
      </c>
      <c r="F572" s="12" t="s">
        <v>3015</v>
      </c>
      <c r="G572" s="12" t="s">
        <v>3016</v>
      </c>
      <c r="H572" s="12" t="s">
        <v>1452</v>
      </c>
      <c r="I572" s="12" t="s">
        <v>1420</v>
      </c>
      <c r="J572" s="12" t="s">
        <v>1420</v>
      </c>
      <c r="K572" s="12" t="s">
        <v>1420</v>
      </c>
      <c r="L572" s="12" t="s">
        <v>1420</v>
      </c>
      <c r="M572" s="12" t="s">
        <v>1420</v>
      </c>
      <c r="N572" s="12" t="s">
        <v>1420</v>
      </c>
      <c r="O572" s="12" t="s">
        <v>1420</v>
      </c>
      <c r="P572" s="12" t="s">
        <v>1420</v>
      </c>
      <c r="Q572" s="12" t="s">
        <v>1420</v>
      </c>
      <c r="R572" s="12" t="s">
        <v>1420</v>
      </c>
      <c r="S572" s="12" t="s">
        <v>1414</v>
      </c>
      <c r="T572" s="12" t="s">
        <v>1420</v>
      </c>
      <c r="U572" s="12" t="s">
        <v>1420</v>
      </c>
      <c r="V572" s="12" t="s">
        <v>1420</v>
      </c>
      <c r="W572" s="12" t="s">
        <v>1420</v>
      </c>
      <c r="X572" s="12" t="s">
        <v>1420</v>
      </c>
      <c r="Y572" s="12" t="s">
        <v>1420</v>
      </c>
      <c r="Z572" s="12" t="s">
        <v>1420</v>
      </c>
      <c r="AA572" s="12" t="s">
        <v>1420</v>
      </c>
      <c r="AB572" s="12" t="s">
        <v>1420</v>
      </c>
      <c r="AC572" s="12" t="s">
        <v>1420</v>
      </c>
      <c r="AD572" s="12" t="s">
        <v>1420</v>
      </c>
      <c r="AE572" s="12" t="s">
        <v>1420</v>
      </c>
      <c r="AF572" s="12" t="s">
        <v>1420</v>
      </c>
      <c r="AG572" s="12" t="s">
        <v>1420</v>
      </c>
    </row>
    <row r="573" spans="1:33" ht="14.4" x14ac:dyDescent="0.3">
      <c r="A573" s="12" t="s">
        <v>350</v>
      </c>
      <c r="B573" s="12" t="s">
        <v>934</v>
      </c>
      <c r="C573" s="12" t="s">
        <v>936</v>
      </c>
      <c r="D573" s="12" t="s">
        <v>1410</v>
      </c>
      <c r="E573" s="12" t="s">
        <v>3159</v>
      </c>
      <c r="F573" s="12" t="s">
        <v>3162</v>
      </c>
      <c r="G573" s="12" t="s">
        <v>1460</v>
      </c>
      <c r="H573" s="12" t="s">
        <v>1452</v>
      </c>
      <c r="I573" s="12" t="s">
        <v>1420</v>
      </c>
      <c r="J573" s="12" t="s">
        <v>1420</v>
      </c>
      <c r="K573" s="12" t="s">
        <v>1420</v>
      </c>
      <c r="L573" s="12" t="s">
        <v>1420</v>
      </c>
      <c r="M573" s="12" t="s">
        <v>1420</v>
      </c>
      <c r="N573" s="12" t="s">
        <v>1420</v>
      </c>
      <c r="O573" s="12" t="s">
        <v>1414</v>
      </c>
      <c r="P573" s="12" t="s">
        <v>1420</v>
      </c>
      <c r="Q573" s="12" t="s">
        <v>1420</v>
      </c>
      <c r="R573" s="12" t="s">
        <v>1420</v>
      </c>
      <c r="S573" s="12" t="s">
        <v>1420</v>
      </c>
      <c r="T573" s="12" t="s">
        <v>1420</v>
      </c>
      <c r="U573" s="12" t="s">
        <v>1420</v>
      </c>
      <c r="V573" s="12" t="s">
        <v>1420</v>
      </c>
      <c r="W573" s="12" t="s">
        <v>1420</v>
      </c>
      <c r="X573" s="12" t="s">
        <v>1420</v>
      </c>
      <c r="Y573" s="12" t="s">
        <v>1420</v>
      </c>
      <c r="Z573" s="12" t="s">
        <v>1420</v>
      </c>
      <c r="AA573" s="12" t="s">
        <v>1420</v>
      </c>
      <c r="AB573" s="12" t="s">
        <v>1420</v>
      </c>
      <c r="AC573" s="12" t="s">
        <v>1420</v>
      </c>
      <c r="AD573" s="12" t="s">
        <v>1420</v>
      </c>
      <c r="AE573" s="12" t="s">
        <v>1420</v>
      </c>
      <c r="AF573" s="12" t="s">
        <v>1420</v>
      </c>
      <c r="AG573" s="12" t="s">
        <v>1420</v>
      </c>
    </row>
    <row r="574" spans="1:33" ht="14.4" x14ac:dyDescent="0.3">
      <c r="A574" s="12" t="s">
        <v>71</v>
      </c>
      <c r="B574" s="12" t="s">
        <v>1234</v>
      </c>
      <c r="C574" s="12" t="s">
        <v>1233</v>
      </c>
      <c r="D574" s="12" t="s">
        <v>1410</v>
      </c>
      <c r="E574" s="12" t="s">
        <v>2989</v>
      </c>
      <c r="F574" s="12" t="s">
        <v>2990</v>
      </c>
      <c r="G574" s="12" t="s">
        <v>2991</v>
      </c>
      <c r="H574" s="12" t="s">
        <v>1464</v>
      </c>
      <c r="I574" s="12" t="s">
        <v>1420</v>
      </c>
      <c r="J574" s="12" t="s">
        <v>1420</v>
      </c>
      <c r="K574" s="12" t="s">
        <v>1420</v>
      </c>
      <c r="L574" s="12" t="s">
        <v>1420</v>
      </c>
      <c r="M574" s="12" t="s">
        <v>1420</v>
      </c>
      <c r="N574" s="12" t="s">
        <v>1420</v>
      </c>
      <c r="O574" s="12" t="s">
        <v>1420</v>
      </c>
      <c r="P574" s="12" t="s">
        <v>1420</v>
      </c>
      <c r="Q574" s="12" t="s">
        <v>1420</v>
      </c>
      <c r="R574" s="12" t="s">
        <v>1420</v>
      </c>
      <c r="S574" s="12" t="s">
        <v>1420</v>
      </c>
      <c r="T574" s="12" t="s">
        <v>1420</v>
      </c>
      <c r="U574" s="12" t="s">
        <v>1420</v>
      </c>
      <c r="V574" s="12" t="s">
        <v>1420</v>
      </c>
      <c r="W574" s="12" t="s">
        <v>1420</v>
      </c>
      <c r="X574" s="12" t="s">
        <v>1420</v>
      </c>
      <c r="Y574" s="12" t="s">
        <v>1420</v>
      </c>
      <c r="Z574" s="12" t="s">
        <v>1420</v>
      </c>
      <c r="AA574" s="12" t="s">
        <v>1420</v>
      </c>
      <c r="AB574" s="12" t="s">
        <v>1420</v>
      </c>
      <c r="AC574" s="12" t="s">
        <v>1420</v>
      </c>
      <c r="AD574" s="12" t="s">
        <v>1420</v>
      </c>
      <c r="AE574" s="12" t="s">
        <v>1420</v>
      </c>
      <c r="AF574" s="12" t="s">
        <v>1420</v>
      </c>
      <c r="AG574" s="12" t="s">
        <v>1420</v>
      </c>
    </row>
    <row r="575" spans="1:33" ht="14.4" x14ac:dyDescent="0.3">
      <c r="A575" s="12" t="s">
        <v>939</v>
      </c>
      <c r="B575" s="12" t="s">
        <v>938</v>
      </c>
      <c r="C575" s="12" t="s">
        <v>937</v>
      </c>
      <c r="D575" s="12" t="s">
        <v>1410</v>
      </c>
      <c r="E575" s="12" t="s">
        <v>2957</v>
      </c>
      <c r="F575" s="12" t="s">
        <v>2958</v>
      </c>
      <c r="G575" s="12" t="s">
        <v>2175</v>
      </c>
      <c r="H575" s="12" t="s">
        <v>1419</v>
      </c>
      <c r="I575" s="12" t="s">
        <v>1420</v>
      </c>
      <c r="J575" s="12" t="s">
        <v>1420</v>
      </c>
      <c r="K575" s="12" t="s">
        <v>1420</v>
      </c>
      <c r="L575" s="12" t="s">
        <v>1420</v>
      </c>
      <c r="M575" s="12" t="s">
        <v>1420</v>
      </c>
      <c r="N575" s="12" t="s">
        <v>1420</v>
      </c>
      <c r="O575" s="12" t="s">
        <v>1420</v>
      </c>
      <c r="P575" s="12" t="s">
        <v>1420</v>
      </c>
      <c r="Q575" s="12" t="s">
        <v>1420</v>
      </c>
      <c r="R575" s="12" t="s">
        <v>1420</v>
      </c>
      <c r="S575" s="12" t="s">
        <v>1414</v>
      </c>
      <c r="T575" s="12" t="s">
        <v>1420</v>
      </c>
      <c r="U575" s="12" t="s">
        <v>1420</v>
      </c>
      <c r="V575" s="12" t="s">
        <v>1420</v>
      </c>
      <c r="W575" s="12" t="s">
        <v>1420</v>
      </c>
      <c r="X575" s="12" t="s">
        <v>1420</v>
      </c>
      <c r="Y575" s="12" t="s">
        <v>1420</v>
      </c>
      <c r="Z575" s="12" t="s">
        <v>1420</v>
      </c>
      <c r="AA575" s="12" t="s">
        <v>1420</v>
      </c>
      <c r="AB575" s="12" t="s">
        <v>1414</v>
      </c>
      <c r="AC575" s="12" t="s">
        <v>1420</v>
      </c>
      <c r="AD575" s="12" t="s">
        <v>1420</v>
      </c>
      <c r="AE575" s="12" t="s">
        <v>1420</v>
      </c>
      <c r="AF575" s="12" t="s">
        <v>1420</v>
      </c>
      <c r="AG575" s="12" t="s">
        <v>1420</v>
      </c>
    </row>
    <row r="576" spans="1:33" ht="14.4" x14ac:dyDescent="0.3">
      <c r="A576" s="12" t="s">
        <v>5849</v>
      </c>
      <c r="B576" s="12" t="s">
        <v>5850</v>
      </c>
      <c r="C576" s="12" t="s">
        <v>5851</v>
      </c>
      <c r="D576" s="12" t="s">
        <v>1410</v>
      </c>
      <c r="E576" s="12" t="s">
        <v>5852</v>
      </c>
      <c r="F576" s="12" t="s">
        <v>5853</v>
      </c>
      <c r="G576" s="12" t="s">
        <v>5854</v>
      </c>
      <c r="H576" s="12" t="s">
        <v>1464</v>
      </c>
      <c r="I576" s="12" t="s">
        <v>1420</v>
      </c>
      <c r="J576" s="12" t="s">
        <v>1420</v>
      </c>
      <c r="K576" s="12" t="s">
        <v>1420</v>
      </c>
      <c r="L576" s="12" t="s">
        <v>1420</v>
      </c>
      <c r="M576" s="12" t="s">
        <v>1420</v>
      </c>
      <c r="N576" s="12" t="s">
        <v>1420</v>
      </c>
      <c r="O576" s="12" t="s">
        <v>1420</v>
      </c>
      <c r="P576" s="12" t="s">
        <v>1420</v>
      </c>
      <c r="Q576" s="12" t="s">
        <v>1420</v>
      </c>
      <c r="R576" s="12" t="s">
        <v>1420</v>
      </c>
      <c r="S576" s="12" t="s">
        <v>1420</v>
      </c>
      <c r="T576" s="12" t="s">
        <v>1420</v>
      </c>
      <c r="U576" s="12" t="s">
        <v>1420</v>
      </c>
      <c r="V576" s="12" t="s">
        <v>1420</v>
      </c>
      <c r="W576" s="12" t="s">
        <v>1420</v>
      </c>
      <c r="X576" s="12" t="s">
        <v>1420</v>
      </c>
      <c r="Y576" s="12" t="s">
        <v>1420</v>
      </c>
      <c r="Z576" s="12" t="s">
        <v>1420</v>
      </c>
      <c r="AA576" s="12" t="s">
        <v>1420</v>
      </c>
      <c r="AB576" s="12" t="s">
        <v>1420</v>
      </c>
      <c r="AC576" s="12" t="s">
        <v>1420</v>
      </c>
      <c r="AD576" s="12" t="s">
        <v>1420</v>
      </c>
      <c r="AE576" s="12" t="s">
        <v>1420</v>
      </c>
      <c r="AF576" s="12" t="s">
        <v>1420</v>
      </c>
      <c r="AG576" s="12" t="s">
        <v>1420</v>
      </c>
    </row>
    <row r="577" spans="1:33" ht="14.4" x14ac:dyDescent="0.3">
      <c r="A577" s="12" t="s">
        <v>19</v>
      </c>
      <c r="B577" s="12" t="s">
        <v>1364</v>
      </c>
      <c r="C577" s="12" t="s">
        <v>1363</v>
      </c>
      <c r="D577" s="12" t="s">
        <v>1410</v>
      </c>
      <c r="E577" s="12" t="s">
        <v>3015</v>
      </c>
      <c r="F577" s="12" t="s">
        <v>3028</v>
      </c>
      <c r="G577" s="12" t="s">
        <v>3029</v>
      </c>
      <c r="H577" s="12" t="s">
        <v>1452</v>
      </c>
      <c r="I577" s="12" t="s">
        <v>1420</v>
      </c>
      <c r="J577" s="12" t="s">
        <v>1420</v>
      </c>
      <c r="K577" s="12" t="s">
        <v>1420</v>
      </c>
      <c r="L577" s="12" t="s">
        <v>1420</v>
      </c>
      <c r="M577" s="12" t="s">
        <v>1420</v>
      </c>
      <c r="N577" s="12" t="s">
        <v>1420</v>
      </c>
      <c r="O577" s="12" t="s">
        <v>1420</v>
      </c>
      <c r="P577" s="12" t="s">
        <v>1420</v>
      </c>
      <c r="Q577" s="12" t="s">
        <v>1420</v>
      </c>
      <c r="R577" s="12" t="s">
        <v>1420</v>
      </c>
      <c r="S577" s="12" t="s">
        <v>1420</v>
      </c>
      <c r="T577" s="12" t="s">
        <v>1420</v>
      </c>
      <c r="U577" s="12" t="s">
        <v>1420</v>
      </c>
      <c r="V577" s="12" t="s">
        <v>1420</v>
      </c>
      <c r="W577" s="12" t="s">
        <v>1420</v>
      </c>
      <c r="X577" s="12" t="s">
        <v>1420</v>
      </c>
      <c r="Y577" s="12" t="s">
        <v>1420</v>
      </c>
      <c r="Z577" s="12" t="s">
        <v>1420</v>
      </c>
      <c r="AA577" s="12" t="s">
        <v>1420</v>
      </c>
      <c r="AB577" s="12" t="s">
        <v>1420</v>
      </c>
      <c r="AC577" s="12" t="s">
        <v>1420</v>
      </c>
      <c r="AD577" s="12" t="s">
        <v>1414</v>
      </c>
      <c r="AE577" s="12" t="s">
        <v>1420</v>
      </c>
      <c r="AF577" s="12" t="s">
        <v>1420</v>
      </c>
      <c r="AG577" s="12" t="s">
        <v>1420</v>
      </c>
    </row>
    <row r="578" spans="1:33" ht="14.4" x14ac:dyDescent="0.3">
      <c r="A578" s="12" t="s">
        <v>28</v>
      </c>
      <c r="B578" s="12" t="s">
        <v>165</v>
      </c>
      <c r="C578" s="12" t="s">
        <v>164</v>
      </c>
      <c r="D578" s="12" t="s">
        <v>1410</v>
      </c>
      <c r="E578" s="12" t="s">
        <v>2574</v>
      </c>
      <c r="F578" s="12" t="s">
        <v>2575</v>
      </c>
      <c r="G578" s="12" t="s">
        <v>2576</v>
      </c>
      <c r="H578" s="12" t="s">
        <v>1448</v>
      </c>
      <c r="I578" s="12" t="s">
        <v>1420</v>
      </c>
      <c r="J578" s="12" t="s">
        <v>1414</v>
      </c>
      <c r="K578" s="12" t="s">
        <v>1420</v>
      </c>
      <c r="L578" s="12" t="s">
        <v>1420</v>
      </c>
      <c r="M578" s="12" t="s">
        <v>1420</v>
      </c>
      <c r="N578" s="12" t="s">
        <v>1414</v>
      </c>
      <c r="O578" s="12" t="s">
        <v>1420</v>
      </c>
      <c r="P578" s="12" t="s">
        <v>1414</v>
      </c>
      <c r="Q578" s="12" t="s">
        <v>1420</v>
      </c>
      <c r="R578" s="12" t="s">
        <v>1420</v>
      </c>
      <c r="S578" s="12" t="s">
        <v>1420</v>
      </c>
      <c r="T578" s="12" t="s">
        <v>1420</v>
      </c>
      <c r="U578" s="12" t="s">
        <v>1420</v>
      </c>
      <c r="V578" s="12" t="s">
        <v>1420</v>
      </c>
      <c r="W578" s="12" t="s">
        <v>1414</v>
      </c>
      <c r="X578" s="12" t="s">
        <v>1420</v>
      </c>
      <c r="Y578" s="12" t="s">
        <v>1420</v>
      </c>
      <c r="Z578" s="12" t="s">
        <v>1420</v>
      </c>
      <c r="AA578" s="12" t="s">
        <v>1420</v>
      </c>
      <c r="AB578" s="12" t="s">
        <v>1420</v>
      </c>
      <c r="AC578" s="12" t="s">
        <v>1420</v>
      </c>
      <c r="AD578" s="12" t="s">
        <v>1420</v>
      </c>
      <c r="AE578" s="12" t="s">
        <v>1420</v>
      </c>
      <c r="AF578" s="12" t="s">
        <v>1420</v>
      </c>
      <c r="AG578" s="12" t="s">
        <v>1414</v>
      </c>
    </row>
    <row r="579" spans="1:33" ht="14.4" x14ac:dyDescent="0.3">
      <c r="A579" s="12" t="s">
        <v>42</v>
      </c>
      <c r="B579" s="12" t="s">
        <v>1236</v>
      </c>
      <c r="C579" s="12" t="s">
        <v>1235</v>
      </c>
      <c r="D579" s="12" t="s">
        <v>1410</v>
      </c>
      <c r="E579" s="12" t="s">
        <v>3022</v>
      </c>
      <c r="F579" s="12" t="s">
        <v>3046</v>
      </c>
      <c r="G579" s="12" t="s">
        <v>3047</v>
      </c>
      <c r="H579" s="12" t="s">
        <v>1452</v>
      </c>
      <c r="I579" s="12" t="s">
        <v>1420</v>
      </c>
      <c r="J579" s="12" t="s">
        <v>1420</v>
      </c>
      <c r="K579" s="12" t="s">
        <v>1420</v>
      </c>
      <c r="L579" s="12" t="s">
        <v>1420</v>
      </c>
      <c r="M579" s="12" t="s">
        <v>1420</v>
      </c>
      <c r="N579" s="12" t="s">
        <v>1420</v>
      </c>
      <c r="O579" s="12" t="s">
        <v>1420</v>
      </c>
      <c r="P579" s="12" t="s">
        <v>1420</v>
      </c>
      <c r="Q579" s="12" t="s">
        <v>1420</v>
      </c>
      <c r="R579" s="12" t="s">
        <v>1420</v>
      </c>
      <c r="S579" s="12" t="s">
        <v>1420</v>
      </c>
      <c r="T579" s="12" t="s">
        <v>1414</v>
      </c>
      <c r="U579" s="12" t="s">
        <v>1420</v>
      </c>
      <c r="V579" s="12" t="s">
        <v>1420</v>
      </c>
      <c r="W579" s="12" t="s">
        <v>1420</v>
      </c>
      <c r="X579" s="12" t="s">
        <v>1420</v>
      </c>
      <c r="Y579" s="12" t="s">
        <v>1420</v>
      </c>
      <c r="Z579" s="12" t="s">
        <v>1420</v>
      </c>
      <c r="AA579" s="12" t="s">
        <v>1420</v>
      </c>
      <c r="AB579" s="12" t="s">
        <v>1420</v>
      </c>
      <c r="AC579" s="12" t="s">
        <v>1420</v>
      </c>
      <c r="AD579" s="12" t="s">
        <v>1420</v>
      </c>
      <c r="AE579" s="12" t="s">
        <v>1420</v>
      </c>
      <c r="AF579" s="12" t="s">
        <v>1420</v>
      </c>
      <c r="AG579" s="12" t="s">
        <v>1420</v>
      </c>
    </row>
    <row r="580" spans="1:33" ht="14.4" x14ac:dyDescent="0.3">
      <c r="A580" s="12" t="s">
        <v>31</v>
      </c>
      <c r="B580" s="12" t="s">
        <v>167</v>
      </c>
      <c r="C580" s="12" t="s">
        <v>166</v>
      </c>
      <c r="D580" s="12" t="s">
        <v>1410</v>
      </c>
      <c r="E580" s="12" t="s">
        <v>2411</v>
      </c>
      <c r="F580" s="12" t="s">
        <v>2412</v>
      </c>
      <c r="G580" s="12" t="s">
        <v>2413</v>
      </c>
      <c r="H580" s="12" t="s">
        <v>1424</v>
      </c>
      <c r="I580" s="12" t="s">
        <v>1420</v>
      </c>
      <c r="J580" s="12" t="s">
        <v>1420</v>
      </c>
      <c r="K580" s="12" t="s">
        <v>1420</v>
      </c>
      <c r="L580" s="12" t="s">
        <v>1420</v>
      </c>
      <c r="M580" s="12" t="s">
        <v>1420</v>
      </c>
      <c r="N580" s="12" t="s">
        <v>1420</v>
      </c>
      <c r="O580" s="12" t="s">
        <v>1420</v>
      </c>
      <c r="P580" s="12" t="s">
        <v>1414</v>
      </c>
      <c r="Q580" s="12" t="s">
        <v>1420</v>
      </c>
      <c r="R580" s="12" t="s">
        <v>1420</v>
      </c>
      <c r="S580" s="12" t="s">
        <v>1420</v>
      </c>
      <c r="T580" s="12" t="s">
        <v>1420</v>
      </c>
      <c r="U580" s="12" t="s">
        <v>1420</v>
      </c>
      <c r="V580" s="12" t="s">
        <v>1420</v>
      </c>
      <c r="W580" s="12" t="s">
        <v>1420</v>
      </c>
      <c r="X580" s="12" t="s">
        <v>1420</v>
      </c>
      <c r="Y580" s="12" t="s">
        <v>1420</v>
      </c>
      <c r="Z580" s="12" t="s">
        <v>1420</v>
      </c>
      <c r="AA580" s="12" t="s">
        <v>1420</v>
      </c>
      <c r="AB580" s="12" t="s">
        <v>1420</v>
      </c>
      <c r="AC580" s="12" t="s">
        <v>1420</v>
      </c>
      <c r="AD580" s="12" t="s">
        <v>1414</v>
      </c>
      <c r="AE580" s="12" t="s">
        <v>1420</v>
      </c>
      <c r="AF580" s="12" t="s">
        <v>1420</v>
      </c>
      <c r="AG580" s="12" t="s">
        <v>1414</v>
      </c>
    </row>
    <row r="581" spans="1:33" ht="14.4" x14ac:dyDescent="0.3">
      <c r="A581" s="12" t="s">
        <v>170</v>
      </c>
      <c r="B581" s="12" t="s">
        <v>169</v>
      </c>
      <c r="C581" s="12" t="s">
        <v>168</v>
      </c>
      <c r="D581" s="12" t="s">
        <v>1410</v>
      </c>
      <c r="E581" s="12" t="s">
        <v>2468</v>
      </c>
      <c r="F581" s="12" t="s">
        <v>2488</v>
      </c>
      <c r="G581" s="12" t="s">
        <v>2489</v>
      </c>
      <c r="H581" s="12" t="s">
        <v>1488</v>
      </c>
      <c r="I581" s="12" t="s">
        <v>1420</v>
      </c>
      <c r="J581" s="12" t="s">
        <v>1420</v>
      </c>
      <c r="K581" s="12" t="s">
        <v>1420</v>
      </c>
      <c r="L581" s="12" t="s">
        <v>1420</v>
      </c>
      <c r="M581" s="12" t="s">
        <v>1420</v>
      </c>
      <c r="N581" s="12" t="s">
        <v>1420</v>
      </c>
      <c r="O581" s="12" t="s">
        <v>1420</v>
      </c>
      <c r="P581" s="12" t="s">
        <v>1414</v>
      </c>
      <c r="Q581" s="12" t="s">
        <v>1420</v>
      </c>
      <c r="R581" s="12" t="s">
        <v>1420</v>
      </c>
      <c r="S581" s="12" t="s">
        <v>1414</v>
      </c>
      <c r="T581" s="12" t="s">
        <v>1420</v>
      </c>
      <c r="U581" s="12" t="s">
        <v>1420</v>
      </c>
      <c r="V581" s="12" t="s">
        <v>1420</v>
      </c>
      <c r="W581" s="12" t="s">
        <v>1420</v>
      </c>
      <c r="X581" s="12" t="s">
        <v>1414</v>
      </c>
      <c r="Y581" s="12" t="s">
        <v>1420</v>
      </c>
      <c r="Z581" s="12" t="s">
        <v>1420</v>
      </c>
      <c r="AA581" s="12" t="s">
        <v>1414</v>
      </c>
      <c r="AB581" s="12" t="s">
        <v>1420</v>
      </c>
      <c r="AC581" s="12" t="s">
        <v>1420</v>
      </c>
      <c r="AD581" s="12" t="s">
        <v>1420</v>
      </c>
      <c r="AE581" s="12" t="s">
        <v>1420</v>
      </c>
      <c r="AF581" s="12" t="s">
        <v>1420</v>
      </c>
      <c r="AG581" s="12" t="s">
        <v>1420</v>
      </c>
    </row>
    <row r="582" spans="1:33" ht="14.4" x14ac:dyDescent="0.3">
      <c r="A582" s="12" t="s">
        <v>28</v>
      </c>
      <c r="B582" s="12" t="s">
        <v>941</v>
      </c>
      <c r="C582" s="12" t="s">
        <v>940</v>
      </c>
      <c r="D582" s="12" t="s">
        <v>1410</v>
      </c>
      <c r="E582" s="12" t="s">
        <v>2530</v>
      </c>
      <c r="F582" s="12" t="s">
        <v>2531</v>
      </c>
      <c r="G582" s="12" t="s">
        <v>2532</v>
      </c>
      <c r="H582" s="12" t="s">
        <v>1452</v>
      </c>
      <c r="I582" s="12" t="s">
        <v>1420</v>
      </c>
      <c r="J582" s="12" t="s">
        <v>1420</v>
      </c>
      <c r="K582" s="12" t="s">
        <v>1420</v>
      </c>
      <c r="L582" s="12" t="s">
        <v>1420</v>
      </c>
      <c r="M582" s="12" t="s">
        <v>1420</v>
      </c>
      <c r="N582" s="12" t="s">
        <v>1420</v>
      </c>
      <c r="O582" s="12" t="s">
        <v>1420</v>
      </c>
      <c r="P582" s="12" t="s">
        <v>1420</v>
      </c>
      <c r="Q582" s="12" t="s">
        <v>1420</v>
      </c>
      <c r="R582" s="12" t="s">
        <v>1420</v>
      </c>
      <c r="S582" s="12" t="s">
        <v>1420</v>
      </c>
      <c r="T582" s="12" t="s">
        <v>1420</v>
      </c>
      <c r="U582" s="12" t="s">
        <v>1420</v>
      </c>
      <c r="V582" s="12" t="s">
        <v>1420</v>
      </c>
      <c r="W582" s="12" t="s">
        <v>1420</v>
      </c>
      <c r="X582" s="12" t="s">
        <v>1420</v>
      </c>
      <c r="Y582" s="12" t="s">
        <v>1420</v>
      </c>
      <c r="Z582" s="12" t="s">
        <v>1420</v>
      </c>
      <c r="AA582" s="12" t="s">
        <v>1420</v>
      </c>
      <c r="AB582" s="12" t="s">
        <v>1420</v>
      </c>
      <c r="AC582" s="12" t="s">
        <v>1414</v>
      </c>
      <c r="AD582" s="12" t="s">
        <v>1420</v>
      </c>
      <c r="AE582" s="12" t="s">
        <v>1420</v>
      </c>
      <c r="AF582" s="12" t="s">
        <v>1420</v>
      </c>
      <c r="AG582" s="12" t="s">
        <v>1420</v>
      </c>
    </row>
    <row r="583" spans="1:33" ht="14.4" x14ac:dyDescent="0.3">
      <c r="A583" s="12" t="s">
        <v>8</v>
      </c>
      <c r="B583" s="12" t="s">
        <v>381</v>
      </c>
      <c r="C583" s="12" t="s">
        <v>380</v>
      </c>
      <c r="D583" s="12" t="s">
        <v>1410</v>
      </c>
      <c r="E583" s="12" t="s">
        <v>1453</v>
      </c>
      <c r="F583" s="12" t="s">
        <v>1454</v>
      </c>
      <c r="G583" s="12" t="s">
        <v>1455</v>
      </c>
      <c r="H583" s="12" t="s">
        <v>1452</v>
      </c>
      <c r="I583" s="12" t="s">
        <v>1420</v>
      </c>
      <c r="J583" s="12" t="s">
        <v>1420</v>
      </c>
      <c r="K583" s="12" t="s">
        <v>1420</v>
      </c>
      <c r="L583" s="12" t="s">
        <v>1420</v>
      </c>
      <c r="M583" s="12" t="s">
        <v>1420</v>
      </c>
      <c r="N583" s="12" t="s">
        <v>1420</v>
      </c>
      <c r="O583" s="12" t="s">
        <v>1420</v>
      </c>
      <c r="P583" s="12" t="s">
        <v>1420</v>
      </c>
      <c r="Q583" s="12" t="s">
        <v>1420</v>
      </c>
      <c r="R583" s="12" t="s">
        <v>1420</v>
      </c>
      <c r="S583" s="12" t="s">
        <v>1420</v>
      </c>
      <c r="T583" s="12" t="s">
        <v>1420</v>
      </c>
      <c r="U583" s="12" t="s">
        <v>1420</v>
      </c>
      <c r="V583" s="12" t="s">
        <v>1420</v>
      </c>
      <c r="W583" s="12" t="s">
        <v>1420</v>
      </c>
      <c r="X583" s="12" t="s">
        <v>1420</v>
      </c>
      <c r="Y583" s="12" t="s">
        <v>1420</v>
      </c>
      <c r="Z583" s="12" t="s">
        <v>1420</v>
      </c>
      <c r="AA583" s="12" t="s">
        <v>1420</v>
      </c>
      <c r="AB583" s="12" t="s">
        <v>1420</v>
      </c>
      <c r="AC583" s="12" t="s">
        <v>1420</v>
      </c>
      <c r="AD583" s="12" t="s">
        <v>1420</v>
      </c>
      <c r="AE583" s="12" t="s">
        <v>1420</v>
      </c>
      <c r="AF583" s="12" t="s">
        <v>1414</v>
      </c>
      <c r="AG583" s="12" t="s">
        <v>1420</v>
      </c>
    </row>
    <row r="584" spans="1:33" ht="14.4" x14ac:dyDescent="0.3">
      <c r="A584" s="12" t="s">
        <v>8</v>
      </c>
      <c r="B584" s="12" t="s">
        <v>381</v>
      </c>
      <c r="C584" s="12" t="s">
        <v>380</v>
      </c>
      <c r="D584" s="12" t="s">
        <v>1456</v>
      </c>
      <c r="E584" s="12" t="s">
        <v>1457</v>
      </c>
      <c r="F584" s="12" t="s">
        <v>1415</v>
      </c>
      <c r="G584" s="12" t="s">
        <v>1415</v>
      </c>
      <c r="H584" s="12" t="s">
        <v>1415</v>
      </c>
      <c r="I584" s="12" t="s">
        <v>1415</v>
      </c>
      <c r="J584" s="12" t="s">
        <v>1415</v>
      </c>
      <c r="K584" s="12" t="s">
        <v>1415</v>
      </c>
      <c r="L584" s="12" t="s">
        <v>1415</v>
      </c>
      <c r="M584" s="12" t="s">
        <v>1415</v>
      </c>
      <c r="N584" s="12" t="s">
        <v>1415</v>
      </c>
      <c r="O584" s="12" t="s">
        <v>1415</v>
      </c>
      <c r="P584" s="12" t="s">
        <v>1415</v>
      </c>
      <c r="Q584" s="12" t="s">
        <v>1415</v>
      </c>
      <c r="R584" s="12" t="s">
        <v>1415</v>
      </c>
      <c r="S584" s="12" t="s">
        <v>1415</v>
      </c>
      <c r="T584" s="12" t="s">
        <v>1415</v>
      </c>
      <c r="U584" s="12" t="s">
        <v>1415</v>
      </c>
      <c r="V584" s="12" t="s">
        <v>1415</v>
      </c>
      <c r="W584" s="12" t="s">
        <v>1415</v>
      </c>
      <c r="X584" s="12" t="s">
        <v>1415</v>
      </c>
      <c r="Y584" s="12" t="s">
        <v>1415</v>
      </c>
      <c r="Z584" s="12" t="s">
        <v>1415</v>
      </c>
      <c r="AA584" s="12" t="s">
        <v>1415</v>
      </c>
      <c r="AB584" s="12" t="s">
        <v>1415</v>
      </c>
      <c r="AC584" s="12" t="s">
        <v>1415</v>
      </c>
      <c r="AD584" s="12" t="s">
        <v>1415</v>
      </c>
      <c r="AE584" s="12" t="s">
        <v>1415</v>
      </c>
      <c r="AF584" s="12" t="s">
        <v>1415</v>
      </c>
      <c r="AG584" s="12" t="s">
        <v>1415</v>
      </c>
    </row>
    <row r="585" spans="1:33" ht="14.4" x14ac:dyDescent="0.3">
      <c r="A585" s="12" t="s">
        <v>11</v>
      </c>
      <c r="B585" s="12" t="s">
        <v>172</v>
      </c>
      <c r="C585" s="12" t="s">
        <v>171</v>
      </c>
      <c r="D585" s="12" t="s">
        <v>1410</v>
      </c>
      <c r="E585" s="12" t="s">
        <v>2505</v>
      </c>
      <c r="F585" s="12" t="s">
        <v>2506</v>
      </c>
      <c r="G585" s="12" t="s">
        <v>2507</v>
      </c>
      <c r="H585" s="12" t="s">
        <v>1419</v>
      </c>
      <c r="I585" s="12" t="s">
        <v>1420</v>
      </c>
      <c r="J585" s="12" t="s">
        <v>1420</v>
      </c>
      <c r="K585" s="12" t="s">
        <v>1420</v>
      </c>
      <c r="L585" s="12" t="s">
        <v>1420</v>
      </c>
      <c r="M585" s="12" t="s">
        <v>1420</v>
      </c>
      <c r="N585" s="12" t="s">
        <v>1420</v>
      </c>
      <c r="O585" s="12" t="s">
        <v>1420</v>
      </c>
      <c r="P585" s="12" t="s">
        <v>1414</v>
      </c>
      <c r="Q585" s="12" t="s">
        <v>1420</v>
      </c>
      <c r="R585" s="12" t="s">
        <v>1420</v>
      </c>
      <c r="S585" s="12" t="s">
        <v>1420</v>
      </c>
      <c r="T585" s="12" t="s">
        <v>1420</v>
      </c>
      <c r="U585" s="12" t="s">
        <v>1420</v>
      </c>
      <c r="V585" s="12" t="s">
        <v>1420</v>
      </c>
      <c r="W585" s="12" t="s">
        <v>1420</v>
      </c>
      <c r="X585" s="12" t="s">
        <v>1420</v>
      </c>
      <c r="Y585" s="12" t="s">
        <v>1420</v>
      </c>
      <c r="Z585" s="12" t="s">
        <v>1420</v>
      </c>
      <c r="AA585" s="12" t="s">
        <v>1420</v>
      </c>
      <c r="AB585" s="12" t="s">
        <v>1420</v>
      </c>
      <c r="AC585" s="12" t="s">
        <v>1420</v>
      </c>
      <c r="AD585" s="12" t="s">
        <v>1414</v>
      </c>
      <c r="AE585" s="12" t="s">
        <v>1420</v>
      </c>
      <c r="AF585" s="12" t="s">
        <v>1420</v>
      </c>
      <c r="AG585" s="12" t="s">
        <v>1420</v>
      </c>
    </row>
    <row r="586" spans="1:33" ht="14.4" x14ac:dyDescent="0.3">
      <c r="A586" s="12" t="s">
        <v>8</v>
      </c>
      <c r="B586" s="12" t="s">
        <v>172</v>
      </c>
      <c r="C586" s="12" t="s">
        <v>606</v>
      </c>
      <c r="D586" s="12" t="s">
        <v>1410</v>
      </c>
      <c r="E586" s="12" t="s">
        <v>1442</v>
      </c>
      <c r="F586" s="12" t="s">
        <v>1443</v>
      </c>
      <c r="G586" s="12" t="s">
        <v>1444</v>
      </c>
      <c r="H586" s="12" t="s">
        <v>1424</v>
      </c>
      <c r="I586" s="12" t="s">
        <v>1420</v>
      </c>
      <c r="J586" s="12" t="s">
        <v>1414</v>
      </c>
      <c r="K586" s="12" t="s">
        <v>1420</v>
      </c>
      <c r="L586" s="12" t="s">
        <v>1420</v>
      </c>
      <c r="M586" s="12" t="s">
        <v>1420</v>
      </c>
      <c r="N586" s="12" t="s">
        <v>1420</v>
      </c>
      <c r="O586" s="12" t="s">
        <v>1414</v>
      </c>
      <c r="P586" s="12" t="s">
        <v>1420</v>
      </c>
      <c r="Q586" s="12" t="s">
        <v>1420</v>
      </c>
      <c r="R586" s="12" t="s">
        <v>1420</v>
      </c>
      <c r="S586" s="12" t="s">
        <v>1420</v>
      </c>
      <c r="T586" s="12" t="s">
        <v>1420</v>
      </c>
      <c r="U586" s="12" t="s">
        <v>1420</v>
      </c>
      <c r="V586" s="12" t="s">
        <v>1420</v>
      </c>
      <c r="W586" s="12" t="s">
        <v>1420</v>
      </c>
      <c r="X586" s="12" t="s">
        <v>1420</v>
      </c>
      <c r="Y586" s="12" t="s">
        <v>1420</v>
      </c>
      <c r="Z586" s="12" t="s">
        <v>1420</v>
      </c>
      <c r="AA586" s="12" t="s">
        <v>1420</v>
      </c>
      <c r="AB586" s="12" t="s">
        <v>1420</v>
      </c>
      <c r="AC586" s="12" t="s">
        <v>1420</v>
      </c>
      <c r="AD586" s="12" t="s">
        <v>1414</v>
      </c>
      <c r="AE586" s="12" t="s">
        <v>1420</v>
      </c>
      <c r="AF586" s="12" t="s">
        <v>1420</v>
      </c>
      <c r="AG586" s="12" t="s">
        <v>1420</v>
      </c>
    </row>
    <row r="587" spans="1:33" ht="14.4" x14ac:dyDescent="0.3">
      <c r="A587" s="12" t="s">
        <v>8</v>
      </c>
      <c r="B587" s="12" t="s">
        <v>172</v>
      </c>
      <c r="C587" s="12" t="s">
        <v>5855</v>
      </c>
      <c r="D587" s="12" t="s">
        <v>1410</v>
      </c>
      <c r="E587" s="12" t="s">
        <v>5503</v>
      </c>
      <c r="F587" s="12" t="s">
        <v>5856</v>
      </c>
      <c r="G587" s="12" t="s">
        <v>3041</v>
      </c>
      <c r="H587" s="12" t="s">
        <v>1464</v>
      </c>
      <c r="I587" s="12" t="s">
        <v>1420</v>
      </c>
      <c r="J587" s="12" t="s">
        <v>1420</v>
      </c>
      <c r="K587" s="12" t="s">
        <v>1420</v>
      </c>
      <c r="L587" s="12" t="s">
        <v>1420</v>
      </c>
      <c r="M587" s="12" t="s">
        <v>1420</v>
      </c>
      <c r="N587" s="12" t="s">
        <v>1420</v>
      </c>
      <c r="O587" s="12" t="s">
        <v>1420</v>
      </c>
      <c r="P587" s="12" t="s">
        <v>1420</v>
      </c>
      <c r="Q587" s="12" t="s">
        <v>1420</v>
      </c>
      <c r="R587" s="12" t="s">
        <v>1420</v>
      </c>
      <c r="S587" s="12" t="s">
        <v>1420</v>
      </c>
      <c r="T587" s="12" t="s">
        <v>1420</v>
      </c>
      <c r="U587" s="12" t="s">
        <v>1420</v>
      </c>
      <c r="V587" s="12" t="s">
        <v>1420</v>
      </c>
      <c r="W587" s="12" t="s">
        <v>1420</v>
      </c>
      <c r="X587" s="12" t="s">
        <v>1420</v>
      </c>
      <c r="Y587" s="12" t="s">
        <v>1420</v>
      </c>
      <c r="Z587" s="12" t="s">
        <v>1420</v>
      </c>
      <c r="AA587" s="12" t="s">
        <v>1420</v>
      </c>
      <c r="AB587" s="12" t="s">
        <v>1420</v>
      </c>
      <c r="AC587" s="12" t="s">
        <v>1420</v>
      </c>
      <c r="AD587" s="12" t="s">
        <v>1420</v>
      </c>
      <c r="AE587" s="12" t="s">
        <v>1420</v>
      </c>
      <c r="AF587" s="12" t="s">
        <v>1420</v>
      </c>
      <c r="AG587" s="12" t="s">
        <v>1420</v>
      </c>
    </row>
    <row r="588" spans="1:33" ht="14.4" x14ac:dyDescent="0.3">
      <c r="A588" s="12" t="s">
        <v>42</v>
      </c>
      <c r="B588" s="12" t="s">
        <v>1238</v>
      </c>
      <c r="C588" s="12" t="s">
        <v>1237</v>
      </c>
      <c r="D588" s="12" t="s">
        <v>1410</v>
      </c>
      <c r="E588" s="12" t="s">
        <v>2807</v>
      </c>
      <c r="F588" s="12" t="s">
        <v>2805</v>
      </c>
      <c r="G588" s="12" t="s">
        <v>1743</v>
      </c>
      <c r="H588" s="12" t="s">
        <v>1452</v>
      </c>
      <c r="I588" s="12" t="s">
        <v>1420</v>
      </c>
      <c r="J588" s="12" t="s">
        <v>1420</v>
      </c>
      <c r="K588" s="12" t="s">
        <v>1420</v>
      </c>
      <c r="L588" s="12" t="s">
        <v>1420</v>
      </c>
      <c r="M588" s="12" t="s">
        <v>1420</v>
      </c>
      <c r="N588" s="12" t="s">
        <v>1420</v>
      </c>
      <c r="O588" s="12" t="s">
        <v>1414</v>
      </c>
      <c r="P588" s="12" t="s">
        <v>1420</v>
      </c>
      <c r="Q588" s="12" t="s">
        <v>1420</v>
      </c>
      <c r="R588" s="12" t="s">
        <v>1420</v>
      </c>
      <c r="S588" s="12" t="s">
        <v>1420</v>
      </c>
      <c r="T588" s="12" t="s">
        <v>1420</v>
      </c>
      <c r="U588" s="12" t="s">
        <v>1420</v>
      </c>
      <c r="V588" s="12" t="s">
        <v>1420</v>
      </c>
      <c r="W588" s="12" t="s">
        <v>1420</v>
      </c>
      <c r="X588" s="12" t="s">
        <v>1420</v>
      </c>
      <c r="Y588" s="12" t="s">
        <v>1420</v>
      </c>
      <c r="Z588" s="12" t="s">
        <v>1420</v>
      </c>
      <c r="AA588" s="12" t="s">
        <v>1420</v>
      </c>
      <c r="AB588" s="12" t="s">
        <v>1420</v>
      </c>
      <c r="AC588" s="12" t="s">
        <v>1420</v>
      </c>
      <c r="AD588" s="12" t="s">
        <v>1420</v>
      </c>
      <c r="AE588" s="12" t="s">
        <v>1420</v>
      </c>
      <c r="AF588" s="12" t="s">
        <v>1420</v>
      </c>
      <c r="AG588" s="12" t="s">
        <v>1420</v>
      </c>
    </row>
    <row r="589" spans="1:33" ht="14.4" x14ac:dyDescent="0.3">
      <c r="A589" s="12" t="s">
        <v>55</v>
      </c>
      <c r="B589" s="12" t="s">
        <v>608</v>
      </c>
      <c r="C589" s="12" t="s">
        <v>607</v>
      </c>
      <c r="D589" s="12" t="s">
        <v>1410</v>
      </c>
      <c r="E589" s="12" t="s">
        <v>2334</v>
      </c>
      <c r="F589" s="12" t="s">
        <v>2335</v>
      </c>
      <c r="G589" s="12" t="s">
        <v>2336</v>
      </c>
      <c r="H589" s="12" t="s">
        <v>1452</v>
      </c>
      <c r="I589" s="12" t="s">
        <v>1420</v>
      </c>
      <c r="J589" s="12" t="s">
        <v>1414</v>
      </c>
      <c r="K589" s="12" t="s">
        <v>1420</v>
      </c>
      <c r="L589" s="12" t="s">
        <v>1420</v>
      </c>
      <c r="M589" s="12" t="s">
        <v>1420</v>
      </c>
      <c r="N589" s="12" t="s">
        <v>1420</v>
      </c>
      <c r="O589" s="12" t="s">
        <v>1420</v>
      </c>
      <c r="P589" s="12" t="s">
        <v>1420</v>
      </c>
      <c r="Q589" s="12" t="s">
        <v>1420</v>
      </c>
      <c r="R589" s="12" t="s">
        <v>1420</v>
      </c>
      <c r="S589" s="12" t="s">
        <v>1420</v>
      </c>
      <c r="T589" s="12" t="s">
        <v>1420</v>
      </c>
      <c r="U589" s="12" t="s">
        <v>1420</v>
      </c>
      <c r="V589" s="12" t="s">
        <v>1420</v>
      </c>
      <c r="W589" s="12" t="s">
        <v>1420</v>
      </c>
      <c r="X589" s="12" t="s">
        <v>1420</v>
      </c>
      <c r="Y589" s="12" t="s">
        <v>1420</v>
      </c>
      <c r="Z589" s="12" t="s">
        <v>1420</v>
      </c>
      <c r="AA589" s="12" t="s">
        <v>1420</v>
      </c>
      <c r="AB589" s="12" t="s">
        <v>1420</v>
      </c>
      <c r="AC589" s="12" t="s">
        <v>1420</v>
      </c>
      <c r="AD589" s="12" t="s">
        <v>1420</v>
      </c>
      <c r="AE589" s="12" t="s">
        <v>1420</v>
      </c>
      <c r="AF589" s="12" t="s">
        <v>1420</v>
      </c>
      <c r="AG589" s="12" t="s">
        <v>1420</v>
      </c>
    </row>
    <row r="590" spans="1:33" ht="14.4" x14ac:dyDescent="0.3">
      <c r="A590" s="12" t="s">
        <v>55</v>
      </c>
      <c r="B590" s="12" t="s">
        <v>275</v>
      </c>
      <c r="C590" s="12" t="s">
        <v>274</v>
      </c>
      <c r="D590" s="12" t="s">
        <v>1410</v>
      </c>
      <c r="E590" s="12" t="s">
        <v>2143</v>
      </c>
      <c r="F590" s="12" t="s">
        <v>2109</v>
      </c>
      <c r="G590" s="12" t="s">
        <v>2144</v>
      </c>
      <c r="H590" s="12" t="s">
        <v>1464</v>
      </c>
      <c r="I590" s="12" t="s">
        <v>1420</v>
      </c>
      <c r="J590" s="12" t="s">
        <v>1420</v>
      </c>
      <c r="K590" s="12" t="s">
        <v>1420</v>
      </c>
      <c r="L590" s="12" t="s">
        <v>1420</v>
      </c>
      <c r="M590" s="12" t="s">
        <v>1420</v>
      </c>
      <c r="N590" s="12" t="s">
        <v>1420</v>
      </c>
      <c r="O590" s="12" t="s">
        <v>1420</v>
      </c>
      <c r="P590" s="12" t="s">
        <v>1420</v>
      </c>
      <c r="Q590" s="12" t="s">
        <v>1420</v>
      </c>
      <c r="R590" s="12" t="s">
        <v>1420</v>
      </c>
      <c r="S590" s="12" t="s">
        <v>1420</v>
      </c>
      <c r="T590" s="12" t="s">
        <v>1420</v>
      </c>
      <c r="U590" s="12" t="s">
        <v>1420</v>
      </c>
      <c r="V590" s="12" t="s">
        <v>1420</v>
      </c>
      <c r="W590" s="12" t="s">
        <v>1420</v>
      </c>
      <c r="X590" s="12" t="s">
        <v>1420</v>
      </c>
      <c r="Y590" s="12" t="s">
        <v>1420</v>
      </c>
      <c r="Z590" s="12" t="s">
        <v>1420</v>
      </c>
      <c r="AA590" s="12" t="s">
        <v>1420</v>
      </c>
      <c r="AB590" s="12" t="s">
        <v>1420</v>
      </c>
      <c r="AC590" s="12" t="s">
        <v>1420</v>
      </c>
      <c r="AD590" s="12" t="s">
        <v>1420</v>
      </c>
      <c r="AE590" s="12" t="s">
        <v>1420</v>
      </c>
      <c r="AF590" s="12" t="s">
        <v>1420</v>
      </c>
      <c r="AG590" s="12" t="s">
        <v>1420</v>
      </c>
    </row>
    <row r="591" spans="1:33" ht="14.4" x14ac:dyDescent="0.3">
      <c r="A591" s="12" t="s">
        <v>8</v>
      </c>
      <c r="B591" s="12" t="s">
        <v>5857</v>
      </c>
      <c r="C591" s="12" t="s">
        <v>5858</v>
      </c>
      <c r="D591" s="12" t="s">
        <v>1456</v>
      </c>
      <c r="E591" s="12" t="s">
        <v>5859</v>
      </c>
      <c r="F591" s="12" t="s">
        <v>1415</v>
      </c>
      <c r="G591" s="12" t="s">
        <v>1415</v>
      </c>
      <c r="H591" s="12" t="s">
        <v>1415</v>
      </c>
      <c r="I591" s="12" t="s">
        <v>1415</v>
      </c>
      <c r="J591" s="12" t="s">
        <v>1415</v>
      </c>
      <c r="K591" s="12" t="s">
        <v>1415</v>
      </c>
      <c r="L591" s="12" t="s">
        <v>1415</v>
      </c>
      <c r="M591" s="12" t="s">
        <v>1415</v>
      </c>
      <c r="N591" s="12" t="s">
        <v>1415</v>
      </c>
      <c r="O591" s="12" t="s">
        <v>1415</v>
      </c>
      <c r="P591" s="12" t="s">
        <v>1415</v>
      </c>
      <c r="Q591" s="12" t="s">
        <v>1415</v>
      </c>
      <c r="R591" s="12" t="s">
        <v>1415</v>
      </c>
      <c r="S591" s="12" t="s">
        <v>1415</v>
      </c>
      <c r="T591" s="12" t="s">
        <v>1415</v>
      </c>
      <c r="U591" s="12" t="s">
        <v>1415</v>
      </c>
      <c r="V591" s="12" t="s">
        <v>1415</v>
      </c>
      <c r="W591" s="12" t="s">
        <v>1415</v>
      </c>
      <c r="X591" s="12" t="s">
        <v>1415</v>
      </c>
      <c r="Y591" s="12" t="s">
        <v>1415</v>
      </c>
      <c r="Z591" s="12" t="s">
        <v>1415</v>
      </c>
      <c r="AA591" s="12" t="s">
        <v>1415</v>
      </c>
      <c r="AB591" s="12" t="s">
        <v>1415</v>
      </c>
      <c r="AC591" s="12" t="s">
        <v>1415</v>
      </c>
      <c r="AD591" s="12" t="s">
        <v>1415</v>
      </c>
      <c r="AE591" s="12" t="s">
        <v>1415</v>
      </c>
      <c r="AF591" s="12" t="s">
        <v>1415</v>
      </c>
      <c r="AG591" s="12" t="s">
        <v>1415</v>
      </c>
    </row>
    <row r="592" spans="1:33" ht="14.4" x14ac:dyDescent="0.3">
      <c r="A592" s="12" t="s">
        <v>5860</v>
      </c>
      <c r="B592" s="12" t="s">
        <v>5861</v>
      </c>
      <c r="C592" s="12" t="s">
        <v>5862</v>
      </c>
      <c r="D592" s="12" t="s">
        <v>1410</v>
      </c>
      <c r="E592" s="12" t="s">
        <v>5863</v>
      </c>
      <c r="F592" s="12" t="s">
        <v>5864</v>
      </c>
      <c r="G592" s="12" t="s">
        <v>2416</v>
      </c>
      <c r="H592" s="12" t="s">
        <v>1419</v>
      </c>
      <c r="I592" s="12" t="s">
        <v>1420</v>
      </c>
      <c r="J592" s="12" t="s">
        <v>1420</v>
      </c>
      <c r="K592" s="12" t="s">
        <v>1420</v>
      </c>
      <c r="L592" s="12" t="s">
        <v>1420</v>
      </c>
      <c r="M592" s="12" t="s">
        <v>1420</v>
      </c>
      <c r="N592" s="12" t="s">
        <v>1414</v>
      </c>
      <c r="O592" s="12" t="s">
        <v>1420</v>
      </c>
      <c r="P592" s="12" t="s">
        <v>1420</v>
      </c>
      <c r="Q592" s="12" t="s">
        <v>1420</v>
      </c>
      <c r="R592" s="12" t="s">
        <v>1420</v>
      </c>
      <c r="S592" s="12" t="s">
        <v>1420</v>
      </c>
      <c r="T592" s="12" t="s">
        <v>1420</v>
      </c>
      <c r="U592" s="12" t="s">
        <v>1420</v>
      </c>
      <c r="V592" s="12" t="s">
        <v>1420</v>
      </c>
      <c r="W592" s="12" t="s">
        <v>1420</v>
      </c>
      <c r="X592" s="12" t="s">
        <v>1420</v>
      </c>
      <c r="Y592" s="12" t="s">
        <v>1420</v>
      </c>
      <c r="Z592" s="12" t="s">
        <v>1420</v>
      </c>
      <c r="AA592" s="12" t="s">
        <v>1420</v>
      </c>
      <c r="AB592" s="12" t="s">
        <v>1420</v>
      </c>
      <c r="AC592" s="12" t="s">
        <v>1420</v>
      </c>
      <c r="AD592" s="12" t="s">
        <v>1414</v>
      </c>
      <c r="AE592" s="12" t="s">
        <v>1420</v>
      </c>
      <c r="AF592" s="12" t="s">
        <v>1420</v>
      </c>
      <c r="AG592" s="12" t="s">
        <v>1420</v>
      </c>
    </row>
    <row r="593" spans="1:33" ht="14.4" x14ac:dyDescent="0.3">
      <c r="A593" s="12" t="s">
        <v>8</v>
      </c>
      <c r="B593" s="12" t="s">
        <v>1061</v>
      </c>
      <c r="C593" s="12" t="s">
        <v>1060</v>
      </c>
      <c r="D593" s="12" t="s">
        <v>1410</v>
      </c>
      <c r="E593" s="12" t="s">
        <v>2900</v>
      </c>
      <c r="F593" s="12" t="s">
        <v>2901</v>
      </c>
      <c r="G593" s="12" t="s">
        <v>2902</v>
      </c>
      <c r="H593" s="12" t="s">
        <v>1464</v>
      </c>
      <c r="I593" s="12" t="s">
        <v>1420</v>
      </c>
      <c r="J593" s="12" t="s">
        <v>1420</v>
      </c>
      <c r="K593" s="12" t="s">
        <v>1420</v>
      </c>
      <c r="L593" s="12" t="s">
        <v>1420</v>
      </c>
      <c r="M593" s="12" t="s">
        <v>1420</v>
      </c>
      <c r="N593" s="12" t="s">
        <v>1420</v>
      </c>
      <c r="O593" s="12" t="s">
        <v>1420</v>
      </c>
      <c r="P593" s="12" t="s">
        <v>1420</v>
      </c>
      <c r="Q593" s="12" t="s">
        <v>1420</v>
      </c>
      <c r="R593" s="12" t="s">
        <v>1420</v>
      </c>
      <c r="S593" s="12" t="s">
        <v>1420</v>
      </c>
      <c r="T593" s="12" t="s">
        <v>1420</v>
      </c>
      <c r="U593" s="12" t="s">
        <v>1420</v>
      </c>
      <c r="V593" s="12" t="s">
        <v>1420</v>
      </c>
      <c r="W593" s="12" t="s">
        <v>1420</v>
      </c>
      <c r="X593" s="12" t="s">
        <v>1420</v>
      </c>
      <c r="Y593" s="12" t="s">
        <v>1420</v>
      </c>
      <c r="Z593" s="12" t="s">
        <v>1420</v>
      </c>
      <c r="AA593" s="12" t="s">
        <v>1420</v>
      </c>
      <c r="AB593" s="12" t="s">
        <v>1420</v>
      </c>
      <c r="AC593" s="12" t="s">
        <v>1420</v>
      </c>
      <c r="AD593" s="12" t="s">
        <v>1420</v>
      </c>
      <c r="AE593" s="12" t="s">
        <v>1420</v>
      </c>
      <c r="AF593" s="12" t="s">
        <v>1420</v>
      </c>
      <c r="AG593" s="12" t="s">
        <v>1420</v>
      </c>
    </row>
    <row r="594" spans="1:33" ht="14.4" x14ac:dyDescent="0.3">
      <c r="A594" s="12" t="s">
        <v>123</v>
      </c>
      <c r="B594" s="12" t="s">
        <v>5865</v>
      </c>
      <c r="C594" s="12" t="s">
        <v>5866</v>
      </c>
      <c r="D594" s="12" t="s">
        <v>1410</v>
      </c>
      <c r="E594" s="12" t="s">
        <v>5867</v>
      </c>
      <c r="F594" s="12" t="s">
        <v>5868</v>
      </c>
      <c r="G594" s="12" t="s">
        <v>2859</v>
      </c>
      <c r="H594" s="12" t="s">
        <v>1464</v>
      </c>
      <c r="I594" s="12" t="s">
        <v>1420</v>
      </c>
      <c r="J594" s="12" t="s">
        <v>1420</v>
      </c>
      <c r="K594" s="12" t="s">
        <v>1420</v>
      </c>
      <c r="L594" s="12" t="s">
        <v>1420</v>
      </c>
      <c r="M594" s="12" t="s">
        <v>1420</v>
      </c>
      <c r="N594" s="12" t="s">
        <v>1420</v>
      </c>
      <c r="O594" s="12" t="s">
        <v>1420</v>
      </c>
      <c r="P594" s="12" t="s">
        <v>1420</v>
      </c>
      <c r="Q594" s="12" t="s">
        <v>1420</v>
      </c>
      <c r="R594" s="12" t="s">
        <v>1420</v>
      </c>
      <c r="S594" s="12" t="s">
        <v>1420</v>
      </c>
      <c r="T594" s="12" t="s">
        <v>1420</v>
      </c>
      <c r="U594" s="12" t="s">
        <v>1420</v>
      </c>
      <c r="V594" s="12" t="s">
        <v>1420</v>
      </c>
      <c r="W594" s="12" t="s">
        <v>1420</v>
      </c>
      <c r="X594" s="12" t="s">
        <v>1420</v>
      </c>
      <c r="Y594" s="12" t="s">
        <v>1420</v>
      </c>
      <c r="Z594" s="12" t="s">
        <v>1420</v>
      </c>
      <c r="AA594" s="12" t="s">
        <v>1420</v>
      </c>
      <c r="AB594" s="12" t="s">
        <v>1420</v>
      </c>
      <c r="AC594" s="12" t="s">
        <v>1420</v>
      </c>
      <c r="AD594" s="12" t="s">
        <v>1420</v>
      </c>
      <c r="AE594" s="12" t="s">
        <v>1420</v>
      </c>
      <c r="AF594" s="12" t="s">
        <v>1420</v>
      </c>
      <c r="AG594" s="12" t="s">
        <v>1420</v>
      </c>
    </row>
    <row r="595" spans="1:33" ht="14.4" x14ac:dyDescent="0.3">
      <c r="A595" s="12" t="s">
        <v>42</v>
      </c>
      <c r="B595" s="12" t="s">
        <v>943</v>
      </c>
      <c r="C595" s="12" t="s">
        <v>942</v>
      </c>
      <c r="D595" s="12" t="s">
        <v>1410</v>
      </c>
      <c r="E595" s="12" t="s">
        <v>3150</v>
      </c>
      <c r="F595" s="12" t="s">
        <v>3155</v>
      </c>
      <c r="G595" s="12" t="s">
        <v>3156</v>
      </c>
      <c r="H595" s="12" t="s">
        <v>1419</v>
      </c>
      <c r="I595" s="12" t="s">
        <v>1420</v>
      </c>
      <c r="J595" s="12" t="s">
        <v>1420</v>
      </c>
      <c r="K595" s="12" t="s">
        <v>1420</v>
      </c>
      <c r="L595" s="12" t="s">
        <v>1420</v>
      </c>
      <c r="M595" s="12" t="s">
        <v>1420</v>
      </c>
      <c r="N595" s="12" t="s">
        <v>1420</v>
      </c>
      <c r="O595" s="12" t="s">
        <v>1414</v>
      </c>
      <c r="P595" s="12" t="s">
        <v>1420</v>
      </c>
      <c r="Q595" s="12" t="s">
        <v>1420</v>
      </c>
      <c r="R595" s="12" t="s">
        <v>1420</v>
      </c>
      <c r="S595" s="12" t="s">
        <v>1420</v>
      </c>
      <c r="T595" s="12" t="s">
        <v>1420</v>
      </c>
      <c r="U595" s="12" t="s">
        <v>1420</v>
      </c>
      <c r="V595" s="12" t="s">
        <v>1420</v>
      </c>
      <c r="W595" s="12" t="s">
        <v>1420</v>
      </c>
      <c r="X595" s="12" t="s">
        <v>1420</v>
      </c>
      <c r="Y595" s="12" t="s">
        <v>1420</v>
      </c>
      <c r="Z595" s="12" t="s">
        <v>1420</v>
      </c>
      <c r="AA595" s="12" t="s">
        <v>1420</v>
      </c>
      <c r="AB595" s="12" t="s">
        <v>1420</v>
      </c>
      <c r="AC595" s="12" t="s">
        <v>1414</v>
      </c>
      <c r="AD595" s="12" t="s">
        <v>1420</v>
      </c>
      <c r="AE595" s="12" t="s">
        <v>1420</v>
      </c>
      <c r="AF595" s="12" t="s">
        <v>1420</v>
      </c>
      <c r="AG595" s="12" t="s">
        <v>1420</v>
      </c>
    </row>
    <row r="596" spans="1:33" ht="14.4" x14ac:dyDescent="0.3">
      <c r="A596" s="12" t="s">
        <v>66</v>
      </c>
      <c r="B596" s="12" t="s">
        <v>943</v>
      </c>
      <c r="C596" s="12" t="s">
        <v>944</v>
      </c>
      <c r="D596" s="12" t="s">
        <v>1410</v>
      </c>
      <c r="E596" s="12" t="s">
        <v>2942</v>
      </c>
      <c r="F596" s="12" t="s">
        <v>2943</v>
      </c>
      <c r="G596" s="12" t="s">
        <v>2604</v>
      </c>
      <c r="H596" s="12" t="s">
        <v>1438</v>
      </c>
      <c r="I596" s="12" t="s">
        <v>1420</v>
      </c>
      <c r="J596" s="12" t="s">
        <v>1414</v>
      </c>
      <c r="K596" s="12" t="s">
        <v>1414</v>
      </c>
      <c r="L596" s="12" t="s">
        <v>1420</v>
      </c>
      <c r="M596" s="12" t="s">
        <v>1420</v>
      </c>
      <c r="N596" s="12" t="s">
        <v>1420</v>
      </c>
      <c r="O596" s="12" t="s">
        <v>1414</v>
      </c>
      <c r="P596" s="12" t="s">
        <v>1420</v>
      </c>
      <c r="Q596" s="12" t="s">
        <v>1420</v>
      </c>
      <c r="R596" s="12" t="s">
        <v>1420</v>
      </c>
      <c r="S596" s="12" t="s">
        <v>1420</v>
      </c>
      <c r="T596" s="12" t="s">
        <v>1420</v>
      </c>
      <c r="U596" s="12" t="s">
        <v>1420</v>
      </c>
      <c r="V596" s="12" t="s">
        <v>1414</v>
      </c>
      <c r="W596" s="12" t="s">
        <v>1420</v>
      </c>
      <c r="X596" s="12" t="s">
        <v>1420</v>
      </c>
      <c r="Y596" s="12" t="s">
        <v>1420</v>
      </c>
      <c r="Z596" s="12" t="s">
        <v>1420</v>
      </c>
      <c r="AA596" s="12" t="s">
        <v>1420</v>
      </c>
      <c r="AB596" s="12" t="s">
        <v>1420</v>
      </c>
      <c r="AC596" s="12" t="s">
        <v>1414</v>
      </c>
      <c r="AD596" s="12" t="s">
        <v>1420</v>
      </c>
      <c r="AE596" s="12" t="s">
        <v>1420</v>
      </c>
      <c r="AF596" s="12" t="s">
        <v>1420</v>
      </c>
      <c r="AG596" s="12" t="s">
        <v>1414</v>
      </c>
    </row>
    <row r="597" spans="1:33" ht="14.4" x14ac:dyDescent="0.3">
      <c r="A597" s="12" t="s">
        <v>55</v>
      </c>
      <c r="B597" s="12" t="s">
        <v>383</v>
      </c>
      <c r="C597" s="12" t="s">
        <v>382</v>
      </c>
      <c r="D597" s="12" t="s">
        <v>1410</v>
      </c>
      <c r="E597" s="12" t="s">
        <v>1704</v>
      </c>
      <c r="F597" s="12" t="s">
        <v>1705</v>
      </c>
      <c r="G597" s="12" t="s">
        <v>1706</v>
      </c>
      <c r="H597" s="12" t="s">
        <v>1448</v>
      </c>
      <c r="I597" s="12" t="s">
        <v>1420</v>
      </c>
      <c r="J597" s="12" t="s">
        <v>1414</v>
      </c>
      <c r="K597" s="12" t="s">
        <v>1420</v>
      </c>
      <c r="L597" s="12" t="s">
        <v>1420</v>
      </c>
      <c r="M597" s="12" t="s">
        <v>1420</v>
      </c>
      <c r="N597" s="12" t="s">
        <v>1414</v>
      </c>
      <c r="O597" s="12" t="s">
        <v>1414</v>
      </c>
      <c r="P597" s="12" t="s">
        <v>1420</v>
      </c>
      <c r="Q597" s="12" t="s">
        <v>1420</v>
      </c>
      <c r="R597" s="12" t="s">
        <v>1420</v>
      </c>
      <c r="S597" s="12" t="s">
        <v>1420</v>
      </c>
      <c r="T597" s="12" t="s">
        <v>1420</v>
      </c>
      <c r="U597" s="12" t="s">
        <v>1420</v>
      </c>
      <c r="V597" s="12" t="s">
        <v>1420</v>
      </c>
      <c r="W597" s="12" t="s">
        <v>1420</v>
      </c>
      <c r="X597" s="12" t="s">
        <v>1414</v>
      </c>
      <c r="Y597" s="12" t="s">
        <v>1420</v>
      </c>
      <c r="Z597" s="12" t="s">
        <v>1420</v>
      </c>
      <c r="AA597" s="12" t="s">
        <v>1420</v>
      </c>
      <c r="AB597" s="12" t="s">
        <v>1420</v>
      </c>
      <c r="AC597" s="12" t="s">
        <v>1414</v>
      </c>
      <c r="AD597" s="12" t="s">
        <v>1420</v>
      </c>
      <c r="AE597" s="12" t="s">
        <v>1420</v>
      </c>
      <c r="AF597" s="12" t="s">
        <v>1420</v>
      </c>
      <c r="AG597" s="12" t="s">
        <v>1420</v>
      </c>
    </row>
    <row r="598" spans="1:33" ht="14.4" x14ac:dyDescent="0.3">
      <c r="A598" s="12" t="s">
        <v>947</v>
      </c>
      <c r="B598" s="12" t="s">
        <v>946</v>
      </c>
      <c r="C598" s="12" t="s">
        <v>945</v>
      </c>
      <c r="D598" s="12" t="s">
        <v>1410</v>
      </c>
      <c r="E598" s="12" t="s">
        <v>2710</v>
      </c>
      <c r="F598" s="12" t="s">
        <v>2711</v>
      </c>
      <c r="G598" s="12" t="s">
        <v>2712</v>
      </c>
      <c r="H598" s="12" t="s">
        <v>1464</v>
      </c>
      <c r="I598" s="12" t="s">
        <v>1420</v>
      </c>
      <c r="J598" s="12" t="s">
        <v>1420</v>
      </c>
      <c r="K598" s="12" t="s">
        <v>1420</v>
      </c>
      <c r="L598" s="12" t="s">
        <v>1420</v>
      </c>
      <c r="M598" s="12" t="s">
        <v>1420</v>
      </c>
      <c r="N598" s="12" t="s">
        <v>1420</v>
      </c>
      <c r="O598" s="12" t="s">
        <v>1420</v>
      </c>
      <c r="P598" s="12" t="s">
        <v>1420</v>
      </c>
      <c r="Q598" s="12" t="s">
        <v>1420</v>
      </c>
      <c r="R598" s="12" t="s">
        <v>1420</v>
      </c>
      <c r="S598" s="12" t="s">
        <v>1420</v>
      </c>
      <c r="T598" s="12" t="s">
        <v>1420</v>
      </c>
      <c r="U598" s="12" t="s">
        <v>1420</v>
      </c>
      <c r="V598" s="12" t="s">
        <v>1420</v>
      </c>
      <c r="W598" s="12" t="s">
        <v>1420</v>
      </c>
      <c r="X598" s="12" t="s">
        <v>1420</v>
      </c>
      <c r="Y598" s="12" t="s">
        <v>1420</v>
      </c>
      <c r="Z598" s="12" t="s">
        <v>1420</v>
      </c>
      <c r="AA598" s="12" t="s">
        <v>1420</v>
      </c>
      <c r="AB598" s="12" t="s">
        <v>1420</v>
      </c>
      <c r="AC598" s="12" t="s">
        <v>1420</v>
      </c>
      <c r="AD598" s="12" t="s">
        <v>1420</v>
      </c>
      <c r="AE598" s="12" t="s">
        <v>1420</v>
      </c>
      <c r="AF598" s="12" t="s">
        <v>1420</v>
      </c>
      <c r="AG598" s="12" t="s">
        <v>1420</v>
      </c>
    </row>
    <row r="599" spans="1:33" ht="14.4" x14ac:dyDescent="0.3">
      <c r="A599" s="12" t="s">
        <v>28</v>
      </c>
      <c r="B599" s="12" t="s">
        <v>5869</v>
      </c>
      <c r="C599" s="12" t="s">
        <v>5870</v>
      </c>
      <c r="D599" s="12" t="s">
        <v>1410</v>
      </c>
      <c r="E599" s="12" t="s">
        <v>5871</v>
      </c>
      <c r="F599" s="12" t="s">
        <v>5872</v>
      </c>
      <c r="G599" s="12" t="s">
        <v>2820</v>
      </c>
      <c r="H599" s="12" t="s">
        <v>1419</v>
      </c>
      <c r="I599" s="12" t="s">
        <v>1420</v>
      </c>
      <c r="J599" s="12" t="s">
        <v>1420</v>
      </c>
      <c r="K599" s="12" t="s">
        <v>1420</v>
      </c>
      <c r="L599" s="12" t="s">
        <v>1420</v>
      </c>
      <c r="M599" s="12" t="s">
        <v>1420</v>
      </c>
      <c r="N599" s="12" t="s">
        <v>1420</v>
      </c>
      <c r="O599" s="12" t="s">
        <v>1420</v>
      </c>
      <c r="P599" s="12" t="s">
        <v>1414</v>
      </c>
      <c r="Q599" s="12" t="s">
        <v>1420</v>
      </c>
      <c r="R599" s="12" t="s">
        <v>1420</v>
      </c>
      <c r="S599" s="12" t="s">
        <v>1420</v>
      </c>
      <c r="T599" s="12" t="s">
        <v>1420</v>
      </c>
      <c r="U599" s="12" t="s">
        <v>1420</v>
      </c>
      <c r="V599" s="12" t="s">
        <v>1420</v>
      </c>
      <c r="W599" s="12" t="s">
        <v>1420</v>
      </c>
      <c r="X599" s="12" t="s">
        <v>1420</v>
      </c>
      <c r="Y599" s="12" t="s">
        <v>1420</v>
      </c>
      <c r="Z599" s="12" t="s">
        <v>1420</v>
      </c>
      <c r="AA599" s="12" t="s">
        <v>1420</v>
      </c>
      <c r="AB599" s="12" t="s">
        <v>1420</v>
      </c>
      <c r="AC599" s="12" t="s">
        <v>1420</v>
      </c>
      <c r="AD599" s="12" t="s">
        <v>1420</v>
      </c>
      <c r="AE599" s="12" t="s">
        <v>1414</v>
      </c>
      <c r="AF599" s="12" t="s">
        <v>1420</v>
      </c>
      <c r="AG599" s="12" t="s">
        <v>1420</v>
      </c>
    </row>
    <row r="600" spans="1:33" ht="14.4" x14ac:dyDescent="0.3">
      <c r="A600" s="12" t="s">
        <v>28</v>
      </c>
      <c r="B600" s="12" t="s">
        <v>5869</v>
      </c>
      <c r="C600" s="12" t="s">
        <v>5870</v>
      </c>
      <c r="D600" s="12" t="s">
        <v>1456</v>
      </c>
      <c r="E600" s="12" t="s">
        <v>5873</v>
      </c>
      <c r="F600" s="12" t="s">
        <v>1415</v>
      </c>
      <c r="G600" s="12" t="s">
        <v>1415</v>
      </c>
      <c r="H600" s="12" t="s">
        <v>1415</v>
      </c>
      <c r="I600" s="12" t="s">
        <v>1415</v>
      </c>
      <c r="J600" s="12" t="s">
        <v>1415</v>
      </c>
      <c r="K600" s="12" t="s">
        <v>1415</v>
      </c>
      <c r="L600" s="12" t="s">
        <v>1415</v>
      </c>
      <c r="M600" s="12" t="s">
        <v>1415</v>
      </c>
      <c r="N600" s="12" t="s">
        <v>1415</v>
      </c>
      <c r="O600" s="12" t="s">
        <v>1415</v>
      </c>
      <c r="P600" s="12" t="s">
        <v>1415</v>
      </c>
      <c r="Q600" s="12" t="s">
        <v>1415</v>
      </c>
      <c r="R600" s="12" t="s">
        <v>1415</v>
      </c>
      <c r="S600" s="12" t="s">
        <v>1415</v>
      </c>
      <c r="T600" s="12" t="s">
        <v>1415</v>
      </c>
      <c r="U600" s="12" t="s">
        <v>1415</v>
      </c>
      <c r="V600" s="12" t="s">
        <v>1415</v>
      </c>
      <c r="W600" s="12" t="s">
        <v>1415</v>
      </c>
      <c r="X600" s="12" t="s">
        <v>1415</v>
      </c>
      <c r="Y600" s="12" t="s">
        <v>1415</v>
      </c>
      <c r="Z600" s="12" t="s">
        <v>1415</v>
      </c>
      <c r="AA600" s="12" t="s">
        <v>1415</v>
      </c>
      <c r="AB600" s="12" t="s">
        <v>1415</v>
      </c>
      <c r="AC600" s="12" t="s">
        <v>1415</v>
      </c>
      <c r="AD600" s="12" t="s">
        <v>1415</v>
      </c>
      <c r="AE600" s="12" t="s">
        <v>1415</v>
      </c>
      <c r="AF600" s="12" t="s">
        <v>1415</v>
      </c>
      <c r="AG600" s="12" t="s">
        <v>1415</v>
      </c>
    </row>
    <row r="601" spans="1:33" ht="14.4" x14ac:dyDescent="0.3">
      <c r="A601" s="12" t="s">
        <v>133</v>
      </c>
      <c r="B601" s="12" t="s">
        <v>610</v>
      </c>
      <c r="C601" s="12" t="s">
        <v>609</v>
      </c>
      <c r="D601" s="12" t="s">
        <v>1410</v>
      </c>
      <c r="E601" s="12" t="s">
        <v>3065</v>
      </c>
      <c r="F601" s="12" t="s">
        <v>3066</v>
      </c>
      <c r="G601" s="12" t="s">
        <v>3067</v>
      </c>
      <c r="H601" s="12" t="s">
        <v>1419</v>
      </c>
      <c r="I601" s="12" t="s">
        <v>1420</v>
      </c>
      <c r="J601" s="12" t="s">
        <v>1420</v>
      </c>
      <c r="K601" s="12" t="s">
        <v>1420</v>
      </c>
      <c r="L601" s="12" t="s">
        <v>1420</v>
      </c>
      <c r="M601" s="12" t="s">
        <v>1420</v>
      </c>
      <c r="N601" s="12" t="s">
        <v>1420</v>
      </c>
      <c r="O601" s="12" t="s">
        <v>1420</v>
      </c>
      <c r="P601" s="12" t="s">
        <v>1420</v>
      </c>
      <c r="Q601" s="12" t="s">
        <v>1420</v>
      </c>
      <c r="R601" s="12" t="s">
        <v>1420</v>
      </c>
      <c r="S601" s="12" t="s">
        <v>1420</v>
      </c>
      <c r="T601" s="12" t="s">
        <v>1420</v>
      </c>
      <c r="U601" s="12" t="s">
        <v>1420</v>
      </c>
      <c r="V601" s="12" t="s">
        <v>1420</v>
      </c>
      <c r="W601" s="12" t="s">
        <v>1414</v>
      </c>
      <c r="X601" s="12" t="s">
        <v>1420</v>
      </c>
      <c r="Y601" s="12" t="s">
        <v>1420</v>
      </c>
      <c r="Z601" s="12" t="s">
        <v>1420</v>
      </c>
      <c r="AA601" s="12" t="s">
        <v>1420</v>
      </c>
      <c r="AB601" s="12" t="s">
        <v>1420</v>
      </c>
      <c r="AC601" s="12" t="s">
        <v>1414</v>
      </c>
      <c r="AD601" s="12" t="s">
        <v>1420</v>
      </c>
      <c r="AE601" s="12" t="s">
        <v>1420</v>
      </c>
      <c r="AF601" s="12" t="s">
        <v>1420</v>
      </c>
      <c r="AG601" s="12" t="s">
        <v>1420</v>
      </c>
    </row>
    <row r="602" spans="1:33" ht="14.4" x14ac:dyDescent="0.3">
      <c r="A602" s="12" t="s">
        <v>5874</v>
      </c>
      <c r="B602" s="12" t="s">
        <v>5875</v>
      </c>
      <c r="C602" s="12" t="s">
        <v>5876</v>
      </c>
      <c r="D602" s="12" t="s">
        <v>1410</v>
      </c>
      <c r="E602" s="12" t="s">
        <v>5576</v>
      </c>
      <c r="F602" s="12" t="s">
        <v>5877</v>
      </c>
      <c r="G602" s="12" t="s">
        <v>5878</v>
      </c>
      <c r="H602" s="12" t="s">
        <v>1448</v>
      </c>
      <c r="I602" s="12" t="s">
        <v>1420</v>
      </c>
      <c r="J602" s="12" t="s">
        <v>1420</v>
      </c>
      <c r="K602" s="12" t="s">
        <v>1420</v>
      </c>
      <c r="L602" s="12" t="s">
        <v>1420</v>
      </c>
      <c r="M602" s="12" t="s">
        <v>1420</v>
      </c>
      <c r="N602" s="12" t="s">
        <v>1420</v>
      </c>
      <c r="O602" s="12" t="s">
        <v>1420</v>
      </c>
      <c r="P602" s="12" t="s">
        <v>1420</v>
      </c>
      <c r="Q602" s="12" t="s">
        <v>1420</v>
      </c>
      <c r="R602" s="12" t="s">
        <v>1420</v>
      </c>
      <c r="S602" s="12" t="s">
        <v>1414</v>
      </c>
      <c r="T602" s="12" t="s">
        <v>1420</v>
      </c>
      <c r="U602" s="12" t="s">
        <v>1420</v>
      </c>
      <c r="V602" s="12" t="s">
        <v>1420</v>
      </c>
      <c r="W602" s="12" t="s">
        <v>1420</v>
      </c>
      <c r="X602" s="12" t="s">
        <v>1414</v>
      </c>
      <c r="Y602" s="12" t="s">
        <v>1420</v>
      </c>
      <c r="Z602" s="12" t="s">
        <v>1420</v>
      </c>
      <c r="AA602" s="12" t="s">
        <v>1420</v>
      </c>
      <c r="AB602" s="12" t="s">
        <v>1420</v>
      </c>
      <c r="AC602" s="12" t="s">
        <v>1414</v>
      </c>
      <c r="AD602" s="12" t="s">
        <v>1414</v>
      </c>
      <c r="AE602" s="12" t="s">
        <v>1420</v>
      </c>
      <c r="AF602" s="12" t="s">
        <v>1420</v>
      </c>
      <c r="AG602" s="12" t="s">
        <v>1414</v>
      </c>
    </row>
    <row r="603" spans="1:33" ht="14.4" x14ac:dyDescent="0.3">
      <c r="A603" s="12" t="s">
        <v>71</v>
      </c>
      <c r="B603" s="12" t="s">
        <v>174</v>
      </c>
      <c r="C603" s="12" t="s">
        <v>173</v>
      </c>
      <c r="D603" s="12" t="s">
        <v>1410</v>
      </c>
      <c r="E603" s="12" t="s">
        <v>2653</v>
      </c>
      <c r="F603" s="12" t="s">
        <v>2654</v>
      </c>
      <c r="G603" s="12" t="s">
        <v>2576</v>
      </c>
      <c r="H603" s="12" t="s">
        <v>1464</v>
      </c>
      <c r="I603" s="12" t="s">
        <v>1420</v>
      </c>
      <c r="J603" s="12" t="s">
        <v>1420</v>
      </c>
      <c r="K603" s="12" t="s">
        <v>1420</v>
      </c>
      <c r="L603" s="12" t="s">
        <v>1420</v>
      </c>
      <c r="M603" s="12" t="s">
        <v>1420</v>
      </c>
      <c r="N603" s="12" t="s">
        <v>1420</v>
      </c>
      <c r="O603" s="12" t="s">
        <v>1420</v>
      </c>
      <c r="P603" s="12" t="s">
        <v>1420</v>
      </c>
      <c r="Q603" s="12" t="s">
        <v>1420</v>
      </c>
      <c r="R603" s="12" t="s">
        <v>1420</v>
      </c>
      <c r="S603" s="12" t="s">
        <v>1420</v>
      </c>
      <c r="T603" s="12" t="s">
        <v>1420</v>
      </c>
      <c r="U603" s="12" t="s">
        <v>1420</v>
      </c>
      <c r="V603" s="12" t="s">
        <v>1420</v>
      </c>
      <c r="W603" s="12" t="s">
        <v>1420</v>
      </c>
      <c r="X603" s="12" t="s">
        <v>1420</v>
      </c>
      <c r="Y603" s="12" t="s">
        <v>1420</v>
      </c>
      <c r="Z603" s="12" t="s">
        <v>1420</v>
      </c>
      <c r="AA603" s="12" t="s">
        <v>1420</v>
      </c>
      <c r="AB603" s="12" t="s">
        <v>1420</v>
      </c>
      <c r="AC603" s="12" t="s">
        <v>1420</v>
      </c>
      <c r="AD603" s="12" t="s">
        <v>1420</v>
      </c>
      <c r="AE603" s="12" t="s">
        <v>1420</v>
      </c>
      <c r="AF603" s="12" t="s">
        <v>1420</v>
      </c>
      <c r="AG603" s="12" t="s">
        <v>1420</v>
      </c>
    </row>
    <row r="604" spans="1:33" ht="14.4" x14ac:dyDescent="0.3">
      <c r="A604" s="12" t="s">
        <v>8</v>
      </c>
      <c r="B604" s="12" t="s">
        <v>949</v>
      </c>
      <c r="C604" s="12" t="s">
        <v>948</v>
      </c>
      <c r="D604" s="12" t="s">
        <v>1410</v>
      </c>
      <c r="E604" s="12" t="s">
        <v>2741</v>
      </c>
      <c r="F604" s="12" t="s">
        <v>2742</v>
      </c>
      <c r="G604" s="12" t="s">
        <v>2743</v>
      </c>
      <c r="H604" s="12" t="s">
        <v>2744</v>
      </c>
      <c r="I604" s="12" t="s">
        <v>1420</v>
      </c>
      <c r="J604" s="12" t="s">
        <v>1414</v>
      </c>
      <c r="K604" s="12" t="s">
        <v>1420</v>
      </c>
      <c r="L604" s="12" t="s">
        <v>1420</v>
      </c>
      <c r="M604" s="12" t="s">
        <v>1414</v>
      </c>
      <c r="N604" s="12" t="s">
        <v>1414</v>
      </c>
      <c r="O604" s="12" t="s">
        <v>1414</v>
      </c>
      <c r="P604" s="12" t="s">
        <v>1414</v>
      </c>
      <c r="Q604" s="12" t="s">
        <v>1420</v>
      </c>
      <c r="R604" s="12" t="s">
        <v>1414</v>
      </c>
      <c r="S604" s="12" t="s">
        <v>1414</v>
      </c>
      <c r="T604" s="12" t="s">
        <v>1420</v>
      </c>
      <c r="U604" s="12" t="s">
        <v>1420</v>
      </c>
      <c r="V604" s="12" t="s">
        <v>1420</v>
      </c>
      <c r="W604" s="12" t="s">
        <v>1414</v>
      </c>
      <c r="X604" s="12" t="s">
        <v>1420</v>
      </c>
      <c r="Y604" s="12" t="s">
        <v>1414</v>
      </c>
      <c r="Z604" s="12" t="s">
        <v>1414</v>
      </c>
      <c r="AA604" s="12" t="s">
        <v>1420</v>
      </c>
      <c r="AB604" s="12" t="s">
        <v>1414</v>
      </c>
      <c r="AC604" s="12" t="s">
        <v>1414</v>
      </c>
      <c r="AD604" s="12" t="s">
        <v>1420</v>
      </c>
      <c r="AE604" s="12" t="s">
        <v>1414</v>
      </c>
      <c r="AF604" s="12" t="s">
        <v>1420</v>
      </c>
      <c r="AG604" s="12" t="s">
        <v>1414</v>
      </c>
    </row>
    <row r="605" spans="1:33" ht="14.4" x14ac:dyDescent="0.3">
      <c r="A605" s="12" t="s">
        <v>8</v>
      </c>
      <c r="B605" s="12" t="s">
        <v>1240</v>
      </c>
      <c r="C605" s="12" t="s">
        <v>1239</v>
      </c>
      <c r="D605" s="12" t="s">
        <v>1410</v>
      </c>
      <c r="E605" s="12" t="s">
        <v>3024</v>
      </c>
      <c r="F605" s="12" t="s">
        <v>3025</v>
      </c>
      <c r="G605" s="12" t="s">
        <v>1573</v>
      </c>
      <c r="H605" s="12" t="s">
        <v>1424</v>
      </c>
      <c r="I605" s="12" t="s">
        <v>1420</v>
      </c>
      <c r="J605" s="12" t="s">
        <v>1420</v>
      </c>
      <c r="K605" s="12" t="s">
        <v>1420</v>
      </c>
      <c r="L605" s="12" t="s">
        <v>1420</v>
      </c>
      <c r="M605" s="12" t="s">
        <v>1420</v>
      </c>
      <c r="N605" s="12" t="s">
        <v>1420</v>
      </c>
      <c r="O605" s="12" t="s">
        <v>1414</v>
      </c>
      <c r="P605" s="12" t="s">
        <v>1420</v>
      </c>
      <c r="Q605" s="12" t="s">
        <v>1420</v>
      </c>
      <c r="R605" s="12" t="s">
        <v>1420</v>
      </c>
      <c r="S605" s="12" t="s">
        <v>1420</v>
      </c>
      <c r="T605" s="12" t="s">
        <v>1420</v>
      </c>
      <c r="U605" s="12" t="s">
        <v>1420</v>
      </c>
      <c r="V605" s="12" t="s">
        <v>1420</v>
      </c>
      <c r="W605" s="12" t="s">
        <v>1420</v>
      </c>
      <c r="X605" s="12" t="s">
        <v>1414</v>
      </c>
      <c r="Y605" s="12" t="s">
        <v>1420</v>
      </c>
      <c r="Z605" s="12" t="s">
        <v>1420</v>
      </c>
      <c r="AA605" s="12" t="s">
        <v>1420</v>
      </c>
      <c r="AB605" s="12" t="s">
        <v>1420</v>
      </c>
      <c r="AC605" s="12" t="s">
        <v>1420</v>
      </c>
      <c r="AD605" s="12" t="s">
        <v>1420</v>
      </c>
      <c r="AE605" s="12" t="s">
        <v>1414</v>
      </c>
      <c r="AF605" s="12" t="s">
        <v>1420</v>
      </c>
      <c r="AG605" s="12" t="s">
        <v>1420</v>
      </c>
    </row>
    <row r="606" spans="1:33" ht="14.4" x14ac:dyDescent="0.3">
      <c r="A606" s="12" t="s">
        <v>8</v>
      </c>
      <c r="B606" s="12" t="s">
        <v>176</v>
      </c>
      <c r="C606" s="12" t="s">
        <v>175</v>
      </c>
      <c r="D606" s="12" t="s">
        <v>1410</v>
      </c>
      <c r="E606" s="12" t="s">
        <v>2098</v>
      </c>
      <c r="F606" s="12" t="s">
        <v>2109</v>
      </c>
      <c r="G606" s="12" t="s">
        <v>2110</v>
      </c>
      <c r="H606" s="12" t="s">
        <v>1452</v>
      </c>
      <c r="I606" s="12" t="s">
        <v>1420</v>
      </c>
      <c r="J606" s="12" t="s">
        <v>1420</v>
      </c>
      <c r="K606" s="12" t="s">
        <v>1420</v>
      </c>
      <c r="L606" s="12" t="s">
        <v>1420</v>
      </c>
      <c r="M606" s="12" t="s">
        <v>1420</v>
      </c>
      <c r="N606" s="12" t="s">
        <v>1420</v>
      </c>
      <c r="O606" s="12" t="s">
        <v>1414</v>
      </c>
      <c r="P606" s="12" t="s">
        <v>1420</v>
      </c>
      <c r="Q606" s="12" t="s">
        <v>1420</v>
      </c>
      <c r="R606" s="12" t="s">
        <v>1420</v>
      </c>
      <c r="S606" s="12" t="s">
        <v>1420</v>
      </c>
      <c r="T606" s="12" t="s">
        <v>1420</v>
      </c>
      <c r="U606" s="12" t="s">
        <v>1420</v>
      </c>
      <c r="V606" s="12" t="s">
        <v>1420</v>
      </c>
      <c r="W606" s="12" t="s">
        <v>1420</v>
      </c>
      <c r="X606" s="12" t="s">
        <v>1420</v>
      </c>
      <c r="Y606" s="12" t="s">
        <v>1420</v>
      </c>
      <c r="Z606" s="12" t="s">
        <v>1420</v>
      </c>
      <c r="AA606" s="12" t="s">
        <v>1420</v>
      </c>
      <c r="AB606" s="12" t="s">
        <v>1420</v>
      </c>
      <c r="AC606" s="12" t="s">
        <v>1420</v>
      </c>
      <c r="AD606" s="12" t="s">
        <v>1420</v>
      </c>
      <c r="AE606" s="12" t="s">
        <v>1420</v>
      </c>
      <c r="AF606" s="12" t="s">
        <v>1420</v>
      </c>
      <c r="AG606" s="12" t="s">
        <v>1420</v>
      </c>
    </row>
    <row r="607" spans="1:33" ht="14.4" x14ac:dyDescent="0.3">
      <c r="A607" s="12" t="s">
        <v>8</v>
      </c>
      <c r="B607" s="12" t="s">
        <v>5879</v>
      </c>
      <c r="C607" s="12" t="s">
        <v>5880</v>
      </c>
      <c r="D607" s="12" t="s">
        <v>1410</v>
      </c>
      <c r="E607" s="12" t="s">
        <v>5881</v>
      </c>
      <c r="F607" s="12" t="s">
        <v>5590</v>
      </c>
      <c r="G607" s="12" t="s">
        <v>5882</v>
      </c>
      <c r="H607" s="12" t="s">
        <v>1464</v>
      </c>
      <c r="I607" s="12" t="s">
        <v>1420</v>
      </c>
      <c r="J607" s="12" t="s">
        <v>1420</v>
      </c>
      <c r="K607" s="12" t="s">
        <v>1420</v>
      </c>
      <c r="L607" s="12" t="s">
        <v>1420</v>
      </c>
      <c r="M607" s="12" t="s">
        <v>1420</v>
      </c>
      <c r="N607" s="12" t="s">
        <v>1420</v>
      </c>
      <c r="O607" s="12" t="s">
        <v>1420</v>
      </c>
      <c r="P607" s="12" t="s">
        <v>1420</v>
      </c>
      <c r="Q607" s="12" t="s">
        <v>1420</v>
      </c>
      <c r="R607" s="12" t="s">
        <v>1420</v>
      </c>
      <c r="S607" s="12" t="s">
        <v>1420</v>
      </c>
      <c r="T607" s="12" t="s">
        <v>1420</v>
      </c>
      <c r="U607" s="12" t="s">
        <v>1420</v>
      </c>
      <c r="V607" s="12" t="s">
        <v>1420</v>
      </c>
      <c r="W607" s="12" t="s">
        <v>1420</v>
      </c>
      <c r="X607" s="12" t="s">
        <v>1420</v>
      </c>
      <c r="Y607" s="12" t="s">
        <v>1420</v>
      </c>
      <c r="Z607" s="12" t="s">
        <v>1420</v>
      </c>
      <c r="AA607" s="12" t="s">
        <v>1420</v>
      </c>
      <c r="AB607" s="12" t="s">
        <v>1420</v>
      </c>
      <c r="AC607" s="12" t="s">
        <v>1420</v>
      </c>
      <c r="AD607" s="12" t="s">
        <v>1420</v>
      </c>
      <c r="AE607" s="12" t="s">
        <v>1420</v>
      </c>
      <c r="AF607" s="12" t="s">
        <v>1420</v>
      </c>
      <c r="AG607" s="12" t="s">
        <v>1420</v>
      </c>
    </row>
    <row r="608" spans="1:33" ht="14.4" x14ac:dyDescent="0.3">
      <c r="A608" s="12" t="s">
        <v>8</v>
      </c>
      <c r="B608" s="12" t="s">
        <v>5883</v>
      </c>
      <c r="C608" s="12" t="s">
        <v>5884</v>
      </c>
      <c r="D608" s="12" t="s">
        <v>1410</v>
      </c>
      <c r="E608" s="12" t="s">
        <v>5885</v>
      </c>
      <c r="F608" s="12" t="s">
        <v>5591</v>
      </c>
      <c r="G608" s="12" t="s">
        <v>1890</v>
      </c>
      <c r="H608" s="12" t="s">
        <v>1488</v>
      </c>
      <c r="I608" s="12" t="s">
        <v>1420</v>
      </c>
      <c r="J608" s="12" t="s">
        <v>1420</v>
      </c>
      <c r="K608" s="12" t="s">
        <v>1420</v>
      </c>
      <c r="L608" s="12" t="s">
        <v>1420</v>
      </c>
      <c r="M608" s="12" t="s">
        <v>1420</v>
      </c>
      <c r="N608" s="12" t="s">
        <v>1420</v>
      </c>
      <c r="O608" s="12" t="s">
        <v>1420</v>
      </c>
      <c r="P608" s="12" t="s">
        <v>1414</v>
      </c>
      <c r="Q608" s="12" t="s">
        <v>1420</v>
      </c>
      <c r="R608" s="12" t="s">
        <v>1420</v>
      </c>
      <c r="S608" s="12" t="s">
        <v>1420</v>
      </c>
      <c r="T608" s="12" t="s">
        <v>1420</v>
      </c>
      <c r="U608" s="12" t="s">
        <v>1420</v>
      </c>
      <c r="V608" s="12" t="s">
        <v>1420</v>
      </c>
      <c r="W608" s="12" t="s">
        <v>1420</v>
      </c>
      <c r="X608" s="12" t="s">
        <v>1414</v>
      </c>
      <c r="Y608" s="12" t="s">
        <v>1420</v>
      </c>
      <c r="Z608" s="12" t="s">
        <v>1420</v>
      </c>
      <c r="AA608" s="12" t="s">
        <v>1420</v>
      </c>
      <c r="AB608" s="12" t="s">
        <v>1414</v>
      </c>
      <c r="AC608" s="12" t="s">
        <v>1420</v>
      </c>
      <c r="AD608" s="12" t="s">
        <v>1420</v>
      </c>
      <c r="AE608" s="12" t="s">
        <v>1414</v>
      </c>
      <c r="AF608" s="12" t="s">
        <v>1420</v>
      </c>
      <c r="AG608" s="12" t="s">
        <v>1420</v>
      </c>
    </row>
    <row r="609" spans="1:33" ht="14.4" x14ac:dyDescent="0.3">
      <c r="A609" s="12" t="s">
        <v>825</v>
      </c>
      <c r="B609" s="12" t="s">
        <v>1242</v>
      </c>
      <c r="C609" s="12" t="s">
        <v>1241</v>
      </c>
      <c r="D609" s="12" t="s">
        <v>1410</v>
      </c>
      <c r="E609" s="12" t="s">
        <v>3111</v>
      </c>
      <c r="F609" s="12" t="s">
        <v>3113</v>
      </c>
      <c r="G609" s="12" t="s">
        <v>3114</v>
      </c>
      <c r="H609" s="12" t="s">
        <v>1464</v>
      </c>
      <c r="I609" s="12" t="s">
        <v>1420</v>
      </c>
      <c r="J609" s="12" t="s">
        <v>1420</v>
      </c>
      <c r="K609" s="12" t="s">
        <v>1420</v>
      </c>
      <c r="L609" s="12" t="s">
        <v>1420</v>
      </c>
      <c r="M609" s="12" t="s">
        <v>1420</v>
      </c>
      <c r="N609" s="12" t="s">
        <v>1420</v>
      </c>
      <c r="O609" s="12" t="s">
        <v>1420</v>
      </c>
      <c r="P609" s="12" t="s">
        <v>1420</v>
      </c>
      <c r="Q609" s="12" t="s">
        <v>1420</v>
      </c>
      <c r="R609" s="12" t="s">
        <v>1420</v>
      </c>
      <c r="S609" s="12" t="s">
        <v>1420</v>
      </c>
      <c r="T609" s="12" t="s">
        <v>1420</v>
      </c>
      <c r="U609" s="12" t="s">
        <v>1420</v>
      </c>
      <c r="V609" s="12" t="s">
        <v>1420</v>
      </c>
      <c r="W609" s="12" t="s">
        <v>1420</v>
      </c>
      <c r="X609" s="12" t="s">
        <v>1420</v>
      </c>
      <c r="Y609" s="12" t="s">
        <v>1420</v>
      </c>
      <c r="Z609" s="12" t="s">
        <v>1420</v>
      </c>
      <c r="AA609" s="12" t="s">
        <v>1420</v>
      </c>
      <c r="AB609" s="12" t="s">
        <v>1420</v>
      </c>
      <c r="AC609" s="12" t="s">
        <v>1420</v>
      </c>
      <c r="AD609" s="12" t="s">
        <v>1420</v>
      </c>
      <c r="AE609" s="12" t="s">
        <v>1420</v>
      </c>
      <c r="AF609" s="12" t="s">
        <v>1420</v>
      </c>
      <c r="AG609" s="12" t="s">
        <v>1420</v>
      </c>
    </row>
    <row r="610" spans="1:33" ht="14.4" x14ac:dyDescent="0.3">
      <c r="A610" s="12" t="s">
        <v>1245</v>
      </c>
      <c r="B610" s="12" t="s">
        <v>1244</v>
      </c>
      <c r="C610" s="12" t="s">
        <v>1243</v>
      </c>
      <c r="D610" s="12" t="s">
        <v>1410</v>
      </c>
      <c r="E610" s="12" t="s">
        <v>3022</v>
      </c>
      <c r="F610" s="12" t="s">
        <v>3048</v>
      </c>
      <c r="G610" s="12" t="s">
        <v>3049</v>
      </c>
      <c r="H610" s="12" t="s">
        <v>1452</v>
      </c>
      <c r="I610" s="12" t="s">
        <v>1420</v>
      </c>
      <c r="J610" s="12" t="s">
        <v>1420</v>
      </c>
      <c r="K610" s="12" t="s">
        <v>1420</v>
      </c>
      <c r="L610" s="12" t="s">
        <v>1420</v>
      </c>
      <c r="M610" s="12" t="s">
        <v>1420</v>
      </c>
      <c r="N610" s="12" t="s">
        <v>1420</v>
      </c>
      <c r="O610" s="12" t="s">
        <v>1420</v>
      </c>
      <c r="P610" s="12" t="s">
        <v>1420</v>
      </c>
      <c r="Q610" s="12" t="s">
        <v>1420</v>
      </c>
      <c r="R610" s="12" t="s">
        <v>1420</v>
      </c>
      <c r="S610" s="12" t="s">
        <v>1420</v>
      </c>
      <c r="T610" s="12" t="s">
        <v>1420</v>
      </c>
      <c r="U610" s="12" t="s">
        <v>1420</v>
      </c>
      <c r="V610" s="12" t="s">
        <v>1420</v>
      </c>
      <c r="W610" s="12" t="s">
        <v>1420</v>
      </c>
      <c r="X610" s="12" t="s">
        <v>1420</v>
      </c>
      <c r="Y610" s="12" t="s">
        <v>1420</v>
      </c>
      <c r="Z610" s="12" t="s">
        <v>1420</v>
      </c>
      <c r="AA610" s="12" t="s">
        <v>1420</v>
      </c>
      <c r="AB610" s="12" t="s">
        <v>1420</v>
      </c>
      <c r="AC610" s="12" t="s">
        <v>1420</v>
      </c>
      <c r="AD610" s="12" t="s">
        <v>1414</v>
      </c>
      <c r="AE610" s="12" t="s">
        <v>1420</v>
      </c>
      <c r="AF610" s="12" t="s">
        <v>1420</v>
      </c>
      <c r="AG610" s="12" t="s">
        <v>1420</v>
      </c>
    </row>
    <row r="611" spans="1:33" ht="14.4" x14ac:dyDescent="0.3">
      <c r="A611" s="12" t="s">
        <v>179</v>
      </c>
      <c r="B611" s="12" t="s">
        <v>178</v>
      </c>
      <c r="C611" s="12" t="s">
        <v>177</v>
      </c>
      <c r="D611" s="12" t="s">
        <v>1410</v>
      </c>
      <c r="E611" s="12" t="s">
        <v>2457</v>
      </c>
      <c r="F611" s="12" t="s">
        <v>2458</v>
      </c>
      <c r="G611" s="12" t="s">
        <v>2459</v>
      </c>
      <c r="H611" s="12" t="s">
        <v>1438</v>
      </c>
      <c r="I611" s="12" t="s">
        <v>1420</v>
      </c>
      <c r="J611" s="12" t="s">
        <v>1414</v>
      </c>
      <c r="K611" s="12" t="s">
        <v>1420</v>
      </c>
      <c r="L611" s="12" t="s">
        <v>1420</v>
      </c>
      <c r="M611" s="12" t="s">
        <v>1420</v>
      </c>
      <c r="N611" s="12" t="s">
        <v>1414</v>
      </c>
      <c r="O611" s="12" t="s">
        <v>1420</v>
      </c>
      <c r="P611" s="12" t="s">
        <v>1420</v>
      </c>
      <c r="Q611" s="12" t="s">
        <v>1420</v>
      </c>
      <c r="R611" s="12" t="s">
        <v>1420</v>
      </c>
      <c r="S611" s="12" t="s">
        <v>1420</v>
      </c>
      <c r="T611" s="12" t="s">
        <v>1414</v>
      </c>
      <c r="U611" s="12" t="s">
        <v>1414</v>
      </c>
      <c r="V611" s="12" t="s">
        <v>1420</v>
      </c>
      <c r="W611" s="12" t="s">
        <v>1420</v>
      </c>
      <c r="X611" s="12" t="s">
        <v>1420</v>
      </c>
      <c r="Y611" s="12" t="s">
        <v>1420</v>
      </c>
      <c r="Z611" s="12" t="s">
        <v>1420</v>
      </c>
      <c r="AA611" s="12" t="s">
        <v>1420</v>
      </c>
      <c r="AB611" s="12" t="s">
        <v>1420</v>
      </c>
      <c r="AC611" s="12" t="s">
        <v>1420</v>
      </c>
      <c r="AD611" s="12" t="s">
        <v>1414</v>
      </c>
      <c r="AE611" s="12" t="s">
        <v>1414</v>
      </c>
      <c r="AF611" s="12" t="s">
        <v>1420</v>
      </c>
      <c r="AG611" s="12" t="s">
        <v>1420</v>
      </c>
    </row>
    <row r="612" spans="1:33" ht="14.4" x14ac:dyDescent="0.3">
      <c r="A612" s="12" t="s">
        <v>8</v>
      </c>
      <c r="B612" s="12" t="s">
        <v>612</v>
      </c>
      <c r="C612" s="12" t="s">
        <v>611</v>
      </c>
      <c r="D612" s="12" t="s">
        <v>1410</v>
      </c>
      <c r="E612" s="12" t="s">
        <v>2386</v>
      </c>
      <c r="F612" s="12" t="s">
        <v>2387</v>
      </c>
      <c r="G612" s="12" t="s">
        <v>2388</v>
      </c>
      <c r="H612" s="12" t="s">
        <v>1452</v>
      </c>
      <c r="I612" s="12" t="s">
        <v>1420</v>
      </c>
      <c r="J612" s="12" t="s">
        <v>1420</v>
      </c>
      <c r="K612" s="12" t="s">
        <v>1420</v>
      </c>
      <c r="L612" s="12" t="s">
        <v>1420</v>
      </c>
      <c r="M612" s="12" t="s">
        <v>1420</v>
      </c>
      <c r="N612" s="12" t="s">
        <v>1420</v>
      </c>
      <c r="O612" s="12" t="s">
        <v>1420</v>
      </c>
      <c r="P612" s="12" t="s">
        <v>1420</v>
      </c>
      <c r="Q612" s="12" t="s">
        <v>1420</v>
      </c>
      <c r="R612" s="12" t="s">
        <v>1420</v>
      </c>
      <c r="S612" s="12" t="s">
        <v>1420</v>
      </c>
      <c r="T612" s="12" t="s">
        <v>1420</v>
      </c>
      <c r="U612" s="12" t="s">
        <v>1420</v>
      </c>
      <c r="V612" s="12" t="s">
        <v>1420</v>
      </c>
      <c r="W612" s="12" t="s">
        <v>1414</v>
      </c>
      <c r="X612" s="12" t="s">
        <v>1420</v>
      </c>
      <c r="Y612" s="12" t="s">
        <v>1420</v>
      </c>
      <c r="Z612" s="12" t="s">
        <v>1420</v>
      </c>
      <c r="AA612" s="12" t="s">
        <v>1420</v>
      </c>
      <c r="AB612" s="12" t="s">
        <v>1420</v>
      </c>
      <c r="AC612" s="12" t="s">
        <v>1420</v>
      </c>
      <c r="AD612" s="12" t="s">
        <v>1420</v>
      </c>
      <c r="AE612" s="12" t="s">
        <v>1420</v>
      </c>
      <c r="AF612" s="12" t="s">
        <v>1420</v>
      </c>
      <c r="AG612" s="12" t="s">
        <v>1420</v>
      </c>
    </row>
    <row r="613" spans="1:33" ht="14.4" x14ac:dyDescent="0.3">
      <c r="A613" s="12" t="s">
        <v>55</v>
      </c>
      <c r="B613" s="12" t="s">
        <v>5886</v>
      </c>
      <c r="C613" s="12" t="s">
        <v>5887</v>
      </c>
      <c r="D613" s="12" t="s">
        <v>1410</v>
      </c>
      <c r="E613" s="12" t="s">
        <v>5888</v>
      </c>
      <c r="F613" s="12" t="s">
        <v>5889</v>
      </c>
      <c r="G613" s="12" t="s">
        <v>5890</v>
      </c>
      <c r="H613" s="12" t="s">
        <v>1488</v>
      </c>
      <c r="I613" s="12" t="s">
        <v>1420</v>
      </c>
      <c r="J613" s="12" t="s">
        <v>1420</v>
      </c>
      <c r="K613" s="12" t="s">
        <v>1420</v>
      </c>
      <c r="L613" s="12" t="s">
        <v>1420</v>
      </c>
      <c r="M613" s="12" t="s">
        <v>1420</v>
      </c>
      <c r="N613" s="12" t="s">
        <v>1420</v>
      </c>
      <c r="O613" s="12" t="s">
        <v>1414</v>
      </c>
      <c r="P613" s="12" t="s">
        <v>1420</v>
      </c>
      <c r="Q613" s="12" t="s">
        <v>1420</v>
      </c>
      <c r="R613" s="12" t="s">
        <v>1420</v>
      </c>
      <c r="S613" s="12" t="s">
        <v>1420</v>
      </c>
      <c r="T613" s="12" t="s">
        <v>1420</v>
      </c>
      <c r="U613" s="12" t="s">
        <v>1420</v>
      </c>
      <c r="V613" s="12" t="s">
        <v>1420</v>
      </c>
      <c r="W613" s="12" t="s">
        <v>1420</v>
      </c>
      <c r="X613" s="12" t="s">
        <v>1414</v>
      </c>
      <c r="Y613" s="12" t="s">
        <v>1420</v>
      </c>
      <c r="Z613" s="12" t="s">
        <v>1420</v>
      </c>
      <c r="AA613" s="12" t="s">
        <v>1414</v>
      </c>
      <c r="AB613" s="12" t="s">
        <v>1420</v>
      </c>
      <c r="AC613" s="12" t="s">
        <v>1414</v>
      </c>
      <c r="AD613" s="12" t="s">
        <v>1420</v>
      </c>
      <c r="AE613" s="12" t="s">
        <v>1420</v>
      </c>
      <c r="AF613" s="12" t="s">
        <v>1420</v>
      </c>
      <c r="AG613" s="12" t="s">
        <v>1420</v>
      </c>
    </row>
    <row r="614" spans="1:33" ht="14.4" x14ac:dyDescent="0.3">
      <c r="A614" s="12" t="s">
        <v>31</v>
      </c>
      <c r="B614" s="12" t="s">
        <v>614</v>
      </c>
      <c r="C614" s="12" t="s">
        <v>613</v>
      </c>
      <c r="D614" s="12" t="s">
        <v>1410</v>
      </c>
      <c r="E614" s="12" t="s">
        <v>2772</v>
      </c>
      <c r="F614" s="12" t="s">
        <v>2773</v>
      </c>
      <c r="G614" s="12" t="s">
        <v>2774</v>
      </c>
      <c r="H614" s="12" t="s">
        <v>1452</v>
      </c>
      <c r="I614" s="12" t="s">
        <v>1420</v>
      </c>
      <c r="J614" s="12" t="s">
        <v>1420</v>
      </c>
      <c r="K614" s="12" t="s">
        <v>1420</v>
      </c>
      <c r="L614" s="12" t="s">
        <v>1420</v>
      </c>
      <c r="M614" s="12" t="s">
        <v>1420</v>
      </c>
      <c r="N614" s="12" t="s">
        <v>1420</v>
      </c>
      <c r="O614" s="12" t="s">
        <v>1420</v>
      </c>
      <c r="P614" s="12" t="s">
        <v>1420</v>
      </c>
      <c r="Q614" s="12" t="s">
        <v>1420</v>
      </c>
      <c r="R614" s="12" t="s">
        <v>1420</v>
      </c>
      <c r="S614" s="12" t="s">
        <v>1420</v>
      </c>
      <c r="T614" s="12" t="s">
        <v>1420</v>
      </c>
      <c r="U614" s="12" t="s">
        <v>1420</v>
      </c>
      <c r="V614" s="12" t="s">
        <v>1420</v>
      </c>
      <c r="W614" s="12" t="s">
        <v>1420</v>
      </c>
      <c r="X614" s="12" t="s">
        <v>1420</v>
      </c>
      <c r="Y614" s="12" t="s">
        <v>1420</v>
      </c>
      <c r="Z614" s="12" t="s">
        <v>1420</v>
      </c>
      <c r="AA614" s="12" t="s">
        <v>1420</v>
      </c>
      <c r="AB614" s="12" t="s">
        <v>1420</v>
      </c>
      <c r="AC614" s="12" t="s">
        <v>1420</v>
      </c>
      <c r="AD614" s="12" t="s">
        <v>1414</v>
      </c>
      <c r="AE614" s="12" t="s">
        <v>1420</v>
      </c>
      <c r="AF614" s="12" t="s">
        <v>1420</v>
      </c>
      <c r="AG614" s="12" t="s">
        <v>1420</v>
      </c>
    </row>
    <row r="615" spans="1:33" ht="14.4" x14ac:dyDescent="0.3">
      <c r="A615" s="12" t="s">
        <v>133</v>
      </c>
      <c r="B615" s="12" t="s">
        <v>951</v>
      </c>
      <c r="C615" s="12" t="s">
        <v>950</v>
      </c>
      <c r="D615" s="12" t="s">
        <v>1410</v>
      </c>
      <c r="E615" s="12" t="s">
        <v>2439</v>
      </c>
      <c r="F615" s="12" t="s">
        <v>2440</v>
      </c>
      <c r="G615" s="12" t="s">
        <v>2441</v>
      </c>
      <c r="H615" s="12" t="s">
        <v>1464</v>
      </c>
      <c r="I615" s="12" t="s">
        <v>1420</v>
      </c>
      <c r="J615" s="12" t="s">
        <v>1420</v>
      </c>
      <c r="K615" s="12" t="s">
        <v>1420</v>
      </c>
      <c r="L615" s="12" t="s">
        <v>1420</v>
      </c>
      <c r="M615" s="12" t="s">
        <v>1420</v>
      </c>
      <c r="N615" s="12" t="s">
        <v>1420</v>
      </c>
      <c r="O615" s="12" t="s">
        <v>1420</v>
      </c>
      <c r="P615" s="12" t="s">
        <v>1420</v>
      </c>
      <c r="Q615" s="12" t="s">
        <v>1420</v>
      </c>
      <c r="R615" s="12" t="s">
        <v>1420</v>
      </c>
      <c r="S615" s="12" t="s">
        <v>1420</v>
      </c>
      <c r="T615" s="12" t="s">
        <v>1420</v>
      </c>
      <c r="U615" s="12" t="s">
        <v>1420</v>
      </c>
      <c r="V615" s="12" t="s">
        <v>1420</v>
      </c>
      <c r="W615" s="12" t="s">
        <v>1420</v>
      </c>
      <c r="X615" s="12" t="s">
        <v>1420</v>
      </c>
      <c r="Y615" s="12" t="s">
        <v>1420</v>
      </c>
      <c r="Z615" s="12" t="s">
        <v>1420</v>
      </c>
      <c r="AA615" s="12" t="s">
        <v>1420</v>
      </c>
      <c r="AB615" s="12" t="s">
        <v>1420</v>
      </c>
      <c r="AC615" s="12" t="s">
        <v>1420</v>
      </c>
      <c r="AD615" s="12" t="s">
        <v>1420</v>
      </c>
      <c r="AE615" s="12" t="s">
        <v>1420</v>
      </c>
      <c r="AF615" s="12" t="s">
        <v>1420</v>
      </c>
      <c r="AG615" s="12" t="s">
        <v>1420</v>
      </c>
    </row>
    <row r="616" spans="1:33" ht="14.4" x14ac:dyDescent="0.3">
      <c r="A616" s="12" t="s">
        <v>8</v>
      </c>
      <c r="B616" s="12" t="s">
        <v>181</v>
      </c>
      <c r="C616" s="12" t="s">
        <v>180</v>
      </c>
      <c r="D616" s="12" t="s">
        <v>1410</v>
      </c>
      <c r="E616" s="12" t="s">
        <v>2442</v>
      </c>
      <c r="F616" s="12" t="s">
        <v>2445</v>
      </c>
      <c r="G616" s="12" t="s">
        <v>2267</v>
      </c>
      <c r="H616" s="12" t="s">
        <v>1419</v>
      </c>
      <c r="I616" s="12" t="s">
        <v>1420</v>
      </c>
      <c r="J616" s="12" t="s">
        <v>1420</v>
      </c>
      <c r="K616" s="12" t="s">
        <v>1420</v>
      </c>
      <c r="L616" s="12" t="s">
        <v>1420</v>
      </c>
      <c r="M616" s="12" t="s">
        <v>1420</v>
      </c>
      <c r="N616" s="12" t="s">
        <v>1420</v>
      </c>
      <c r="O616" s="12" t="s">
        <v>1420</v>
      </c>
      <c r="P616" s="12" t="s">
        <v>1420</v>
      </c>
      <c r="Q616" s="12" t="s">
        <v>1420</v>
      </c>
      <c r="R616" s="12" t="s">
        <v>1420</v>
      </c>
      <c r="S616" s="12" t="s">
        <v>1414</v>
      </c>
      <c r="T616" s="12" t="s">
        <v>1420</v>
      </c>
      <c r="U616" s="12" t="s">
        <v>1420</v>
      </c>
      <c r="V616" s="12" t="s">
        <v>1420</v>
      </c>
      <c r="W616" s="12" t="s">
        <v>1420</v>
      </c>
      <c r="X616" s="12" t="s">
        <v>1414</v>
      </c>
      <c r="Y616" s="12" t="s">
        <v>1420</v>
      </c>
      <c r="Z616" s="12" t="s">
        <v>1420</v>
      </c>
      <c r="AA616" s="12" t="s">
        <v>1420</v>
      </c>
      <c r="AB616" s="12" t="s">
        <v>1420</v>
      </c>
      <c r="AC616" s="12" t="s">
        <v>1420</v>
      </c>
      <c r="AD616" s="12" t="s">
        <v>1420</v>
      </c>
      <c r="AE616" s="12" t="s">
        <v>1420</v>
      </c>
      <c r="AF616" s="12" t="s">
        <v>1420</v>
      </c>
      <c r="AG616" s="12" t="s">
        <v>1420</v>
      </c>
    </row>
    <row r="617" spans="1:33" ht="14.4" x14ac:dyDescent="0.3">
      <c r="A617" s="12" t="s">
        <v>42</v>
      </c>
      <c r="B617" s="12" t="s">
        <v>953</v>
      </c>
      <c r="C617" s="12" t="s">
        <v>952</v>
      </c>
      <c r="D617" s="12" t="s">
        <v>1410</v>
      </c>
      <c r="E617" s="12" t="s">
        <v>2300</v>
      </c>
      <c r="F617" s="12" t="s">
        <v>2301</v>
      </c>
      <c r="G617" s="12" t="s">
        <v>2302</v>
      </c>
      <c r="H617" s="12" t="s">
        <v>1452</v>
      </c>
      <c r="I617" s="12" t="s">
        <v>1420</v>
      </c>
      <c r="J617" s="12" t="s">
        <v>1420</v>
      </c>
      <c r="K617" s="12" t="s">
        <v>1420</v>
      </c>
      <c r="L617" s="12" t="s">
        <v>1420</v>
      </c>
      <c r="M617" s="12" t="s">
        <v>1420</v>
      </c>
      <c r="N617" s="12" t="s">
        <v>1420</v>
      </c>
      <c r="O617" s="12" t="s">
        <v>1420</v>
      </c>
      <c r="P617" s="12" t="s">
        <v>1420</v>
      </c>
      <c r="Q617" s="12" t="s">
        <v>1420</v>
      </c>
      <c r="R617" s="12" t="s">
        <v>1420</v>
      </c>
      <c r="S617" s="12" t="s">
        <v>1420</v>
      </c>
      <c r="T617" s="12" t="s">
        <v>1420</v>
      </c>
      <c r="U617" s="12" t="s">
        <v>1420</v>
      </c>
      <c r="V617" s="12" t="s">
        <v>1414</v>
      </c>
      <c r="W617" s="12" t="s">
        <v>1420</v>
      </c>
      <c r="X617" s="12" t="s">
        <v>1420</v>
      </c>
      <c r="Y617" s="12" t="s">
        <v>1420</v>
      </c>
      <c r="Z617" s="12" t="s">
        <v>1420</v>
      </c>
      <c r="AA617" s="12" t="s">
        <v>1420</v>
      </c>
      <c r="AB617" s="12" t="s">
        <v>1420</v>
      </c>
      <c r="AC617" s="12" t="s">
        <v>1420</v>
      </c>
      <c r="AD617" s="12" t="s">
        <v>1420</v>
      </c>
      <c r="AE617" s="12" t="s">
        <v>1420</v>
      </c>
      <c r="AF617" s="12" t="s">
        <v>1420</v>
      </c>
      <c r="AG617" s="12" t="s">
        <v>1420</v>
      </c>
    </row>
    <row r="618" spans="1:33" ht="14.4" x14ac:dyDescent="0.3">
      <c r="A618" s="12" t="s">
        <v>528</v>
      </c>
      <c r="B618" s="12" t="s">
        <v>1247</v>
      </c>
      <c r="C618" s="12" t="s">
        <v>1246</v>
      </c>
      <c r="D618" s="12" t="s">
        <v>1410</v>
      </c>
      <c r="E618" s="12" t="s">
        <v>2328</v>
      </c>
      <c r="F618" s="12" t="s">
        <v>2329</v>
      </c>
      <c r="G618" s="12" t="s">
        <v>2330</v>
      </c>
      <c r="H618" s="12" t="s">
        <v>1419</v>
      </c>
      <c r="I618" s="12" t="s">
        <v>1420</v>
      </c>
      <c r="J618" s="12" t="s">
        <v>1420</v>
      </c>
      <c r="K618" s="12" t="s">
        <v>1420</v>
      </c>
      <c r="L618" s="12" t="s">
        <v>1420</v>
      </c>
      <c r="M618" s="12" t="s">
        <v>1420</v>
      </c>
      <c r="N618" s="12" t="s">
        <v>1420</v>
      </c>
      <c r="O618" s="12" t="s">
        <v>1420</v>
      </c>
      <c r="P618" s="12" t="s">
        <v>1414</v>
      </c>
      <c r="Q618" s="12" t="s">
        <v>1420</v>
      </c>
      <c r="R618" s="12" t="s">
        <v>1420</v>
      </c>
      <c r="S618" s="12" t="s">
        <v>1420</v>
      </c>
      <c r="T618" s="12" t="s">
        <v>1420</v>
      </c>
      <c r="U618" s="12" t="s">
        <v>1420</v>
      </c>
      <c r="V618" s="12" t="s">
        <v>1420</v>
      </c>
      <c r="W618" s="12" t="s">
        <v>1420</v>
      </c>
      <c r="X618" s="12" t="s">
        <v>1414</v>
      </c>
      <c r="Y618" s="12" t="s">
        <v>1420</v>
      </c>
      <c r="Z618" s="12" t="s">
        <v>1420</v>
      </c>
      <c r="AA618" s="12" t="s">
        <v>1420</v>
      </c>
      <c r="AB618" s="12" t="s">
        <v>1420</v>
      </c>
      <c r="AC618" s="12" t="s">
        <v>1420</v>
      </c>
      <c r="AD618" s="12" t="s">
        <v>1420</v>
      </c>
      <c r="AE618" s="12" t="s">
        <v>1420</v>
      </c>
      <c r="AF618" s="12" t="s">
        <v>1420</v>
      </c>
      <c r="AG618" s="12" t="s">
        <v>1420</v>
      </c>
    </row>
    <row r="619" spans="1:33" ht="14.4" x14ac:dyDescent="0.3">
      <c r="A619" s="12" t="s">
        <v>528</v>
      </c>
      <c r="B619" s="12" t="s">
        <v>1247</v>
      </c>
      <c r="C619" s="12" t="s">
        <v>1246</v>
      </c>
      <c r="D619" s="12" t="s">
        <v>1410</v>
      </c>
      <c r="E619" s="12" t="s">
        <v>2341</v>
      </c>
      <c r="F619" s="12" t="s">
        <v>2342</v>
      </c>
      <c r="G619" s="12" t="s">
        <v>1898</v>
      </c>
      <c r="H619" s="12" t="s">
        <v>1452</v>
      </c>
      <c r="I619" s="12" t="s">
        <v>1420</v>
      </c>
      <c r="J619" s="12" t="s">
        <v>1420</v>
      </c>
      <c r="K619" s="12" t="s">
        <v>1420</v>
      </c>
      <c r="L619" s="12" t="s">
        <v>1420</v>
      </c>
      <c r="M619" s="12" t="s">
        <v>1420</v>
      </c>
      <c r="N619" s="12" t="s">
        <v>1420</v>
      </c>
      <c r="O619" s="12" t="s">
        <v>1414</v>
      </c>
      <c r="P619" s="12" t="s">
        <v>1420</v>
      </c>
      <c r="Q619" s="12" t="s">
        <v>1420</v>
      </c>
      <c r="R619" s="12" t="s">
        <v>1420</v>
      </c>
      <c r="S619" s="12" t="s">
        <v>1420</v>
      </c>
      <c r="T619" s="12" t="s">
        <v>1420</v>
      </c>
      <c r="U619" s="12" t="s">
        <v>1420</v>
      </c>
      <c r="V619" s="12" t="s">
        <v>1420</v>
      </c>
      <c r="W619" s="12" t="s">
        <v>1420</v>
      </c>
      <c r="X619" s="12" t="s">
        <v>1420</v>
      </c>
      <c r="Y619" s="12" t="s">
        <v>1420</v>
      </c>
      <c r="Z619" s="12" t="s">
        <v>1420</v>
      </c>
      <c r="AA619" s="12" t="s">
        <v>1420</v>
      </c>
      <c r="AB619" s="12" t="s">
        <v>1420</v>
      </c>
      <c r="AC619" s="12" t="s">
        <v>1420</v>
      </c>
      <c r="AD619" s="12" t="s">
        <v>1420</v>
      </c>
      <c r="AE619" s="12" t="s">
        <v>1420</v>
      </c>
      <c r="AF619" s="12" t="s">
        <v>1420</v>
      </c>
      <c r="AG619" s="12" t="s">
        <v>1420</v>
      </c>
    </row>
    <row r="620" spans="1:33" ht="14.4" x14ac:dyDescent="0.3">
      <c r="A620" s="12" t="s">
        <v>528</v>
      </c>
      <c r="B620" s="12" t="s">
        <v>1247</v>
      </c>
      <c r="C620" s="12" t="s">
        <v>1246</v>
      </c>
      <c r="D620" s="12" t="s">
        <v>1410</v>
      </c>
      <c r="E620" s="12" t="s">
        <v>2368</v>
      </c>
      <c r="F620" s="12" t="s">
        <v>2367</v>
      </c>
      <c r="G620" s="12" t="s">
        <v>2369</v>
      </c>
      <c r="H620" s="12" t="s">
        <v>1464</v>
      </c>
      <c r="I620" s="12" t="s">
        <v>1420</v>
      </c>
      <c r="J620" s="12" t="s">
        <v>1420</v>
      </c>
      <c r="K620" s="12" t="s">
        <v>1420</v>
      </c>
      <c r="L620" s="12" t="s">
        <v>1420</v>
      </c>
      <c r="M620" s="12" t="s">
        <v>1420</v>
      </c>
      <c r="N620" s="12" t="s">
        <v>1420</v>
      </c>
      <c r="O620" s="12" t="s">
        <v>1420</v>
      </c>
      <c r="P620" s="12" t="s">
        <v>1420</v>
      </c>
      <c r="Q620" s="12" t="s">
        <v>1420</v>
      </c>
      <c r="R620" s="12" t="s">
        <v>1420</v>
      </c>
      <c r="S620" s="12" t="s">
        <v>1420</v>
      </c>
      <c r="T620" s="12" t="s">
        <v>1420</v>
      </c>
      <c r="U620" s="12" t="s">
        <v>1420</v>
      </c>
      <c r="V620" s="12" t="s">
        <v>1420</v>
      </c>
      <c r="W620" s="12" t="s">
        <v>1420</v>
      </c>
      <c r="X620" s="12" t="s">
        <v>1420</v>
      </c>
      <c r="Y620" s="12" t="s">
        <v>1420</v>
      </c>
      <c r="Z620" s="12" t="s">
        <v>1420</v>
      </c>
      <c r="AA620" s="12" t="s">
        <v>1420</v>
      </c>
      <c r="AB620" s="12" t="s">
        <v>1420</v>
      </c>
      <c r="AC620" s="12" t="s">
        <v>1420</v>
      </c>
      <c r="AD620" s="12" t="s">
        <v>1420</v>
      </c>
      <c r="AE620" s="12" t="s">
        <v>1420</v>
      </c>
      <c r="AF620" s="12" t="s">
        <v>1420</v>
      </c>
      <c r="AG620" s="12" t="s">
        <v>1420</v>
      </c>
    </row>
    <row r="621" spans="1:33" ht="14.4" x14ac:dyDescent="0.3">
      <c r="A621" s="12" t="s">
        <v>585</v>
      </c>
      <c r="B621" s="12" t="s">
        <v>616</v>
      </c>
      <c r="C621" s="12" t="s">
        <v>615</v>
      </c>
      <c r="D621" s="12" t="s">
        <v>1410</v>
      </c>
      <c r="E621" s="12" t="s">
        <v>2030</v>
      </c>
      <c r="F621" s="12" t="s">
        <v>2031</v>
      </c>
      <c r="G621" s="12" t="s">
        <v>2032</v>
      </c>
      <c r="H621" s="12" t="s">
        <v>1464</v>
      </c>
      <c r="I621" s="12" t="s">
        <v>1420</v>
      </c>
      <c r="J621" s="12" t="s">
        <v>1420</v>
      </c>
      <c r="K621" s="12" t="s">
        <v>1420</v>
      </c>
      <c r="L621" s="12" t="s">
        <v>1420</v>
      </c>
      <c r="M621" s="12" t="s">
        <v>1420</v>
      </c>
      <c r="N621" s="12" t="s">
        <v>1420</v>
      </c>
      <c r="O621" s="12" t="s">
        <v>1420</v>
      </c>
      <c r="P621" s="12" t="s">
        <v>1420</v>
      </c>
      <c r="Q621" s="12" t="s">
        <v>1420</v>
      </c>
      <c r="R621" s="12" t="s">
        <v>1420</v>
      </c>
      <c r="S621" s="12" t="s">
        <v>1420</v>
      </c>
      <c r="T621" s="12" t="s">
        <v>1420</v>
      </c>
      <c r="U621" s="12" t="s">
        <v>1420</v>
      </c>
      <c r="V621" s="12" t="s">
        <v>1420</v>
      </c>
      <c r="W621" s="12" t="s">
        <v>1420</v>
      </c>
      <c r="X621" s="12" t="s">
        <v>1420</v>
      </c>
      <c r="Y621" s="12" t="s">
        <v>1420</v>
      </c>
      <c r="Z621" s="12" t="s">
        <v>1420</v>
      </c>
      <c r="AA621" s="12" t="s">
        <v>1420</v>
      </c>
      <c r="AB621" s="12" t="s">
        <v>1420</v>
      </c>
      <c r="AC621" s="12" t="s">
        <v>1420</v>
      </c>
      <c r="AD621" s="12" t="s">
        <v>1420</v>
      </c>
      <c r="AE621" s="12" t="s">
        <v>1420</v>
      </c>
      <c r="AF621" s="12" t="s">
        <v>1420</v>
      </c>
      <c r="AG621" s="12" t="s">
        <v>1420</v>
      </c>
    </row>
    <row r="622" spans="1:33" ht="14.4" x14ac:dyDescent="0.3">
      <c r="A622" s="12" t="s">
        <v>8</v>
      </c>
      <c r="B622" s="12" t="s">
        <v>385</v>
      </c>
      <c r="C622" s="12" t="s">
        <v>384</v>
      </c>
      <c r="D622" s="12" t="s">
        <v>1410</v>
      </c>
      <c r="E622" s="12" t="s">
        <v>1800</v>
      </c>
      <c r="F622" s="12" t="s">
        <v>1787</v>
      </c>
      <c r="G622" s="12" t="s">
        <v>1801</v>
      </c>
      <c r="H622" s="12" t="s">
        <v>1464</v>
      </c>
      <c r="I622" s="12" t="s">
        <v>1420</v>
      </c>
      <c r="J622" s="12" t="s">
        <v>1420</v>
      </c>
      <c r="K622" s="12" t="s">
        <v>1420</v>
      </c>
      <c r="L622" s="12" t="s">
        <v>1420</v>
      </c>
      <c r="M622" s="12" t="s">
        <v>1420</v>
      </c>
      <c r="N622" s="12" t="s">
        <v>1420</v>
      </c>
      <c r="O622" s="12" t="s">
        <v>1420</v>
      </c>
      <c r="P622" s="12" t="s">
        <v>1420</v>
      </c>
      <c r="Q622" s="12" t="s">
        <v>1420</v>
      </c>
      <c r="R622" s="12" t="s">
        <v>1420</v>
      </c>
      <c r="S622" s="12" t="s">
        <v>1420</v>
      </c>
      <c r="T622" s="12" t="s">
        <v>1420</v>
      </c>
      <c r="U622" s="12" t="s">
        <v>1420</v>
      </c>
      <c r="V622" s="12" t="s">
        <v>1420</v>
      </c>
      <c r="W622" s="12" t="s">
        <v>1420</v>
      </c>
      <c r="X622" s="12" t="s">
        <v>1420</v>
      </c>
      <c r="Y622" s="12" t="s">
        <v>1420</v>
      </c>
      <c r="Z622" s="12" t="s">
        <v>1420</v>
      </c>
      <c r="AA622" s="12" t="s">
        <v>1420</v>
      </c>
      <c r="AB622" s="12" t="s">
        <v>1420</v>
      </c>
      <c r="AC622" s="12" t="s">
        <v>1420</v>
      </c>
      <c r="AD622" s="12" t="s">
        <v>1420</v>
      </c>
      <c r="AE622" s="12" t="s">
        <v>1420</v>
      </c>
      <c r="AF622" s="12" t="s">
        <v>1420</v>
      </c>
      <c r="AG622" s="12" t="s">
        <v>1420</v>
      </c>
    </row>
    <row r="623" spans="1:33" ht="14.4" x14ac:dyDescent="0.3">
      <c r="A623" s="12" t="s">
        <v>8</v>
      </c>
      <c r="B623" s="12" t="s">
        <v>385</v>
      </c>
      <c r="C623" s="12" t="s">
        <v>384</v>
      </c>
      <c r="D623" s="12" t="s">
        <v>1456</v>
      </c>
      <c r="E623" s="12" t="s">
        <v>5891</v>
      </c>
      <c r="F623" s="12" t="s">
        <v>1415</v>
      </c>
      <c r="G623" s="12" t="s">
        <v>1415</v>
      </c>
      <c r="H623" s="12" t="s">
        <v>1415</v>
      </c>
      <c r="I623" s="12" t="s">
        <v>1415</v>
      </c>
      <c r="J623" s="12" t="s">
        <v>1415</v>
      </c>
      <c r="K623" s="12" t="s">
        <v>1415</v>
      </c>
      <c r="L623" s="12" t="s">
        <v>1415</v>
      </c>
      <c r="M623" s="12" t="s">
        <v>1415</v>
      </c>
      <c r="N623" s="12" t="s">
        <v>1415</v>
      </c>
      <c r="O623" s="12" t="s">
        <v>1415</v>
      </c>
      <c r="P623" s="12" t="s">
        <v>1415</v>
      </c>
      <c r="Q623" s="12" t="s">
        <v>1415</v>
      </c>
      <c r="R623" s="12" t="s">
        <v>1415</v>
      </c>
      <c r="S623" s="12" t="s">
        <v>1415</v>
      </c>
      <c r="T623" s="12" t="s">
        <v>1415</v>
      </c>
      <c r="U623" s="12" t="s">
        <v>1415</v>
      </c>
      <c r="V623" s="12" t="s">
        <v>1415</v>
      </c>
      <c r="W623" s="12" t="s">
        <v>1415</v>
      </c>
      <c r="X623" s="12" t="s">
        <v>1415</v>
      </c>
      <c r="Y623" s="12" t="s">
        <v>1415</v>
      </c>
      <c r="Z623" s="12" t="s">
        <v>1415</v>
      </c>
      <c r="AA623" s="12" t="s">
        <v>1415</v>
      </c>
      <c r="AB623" s="12" t="s">
        <v>1415</v>
      </c>
      <c r="AC623" s="12" t="s">
        <v>1415</v>
      </c>
      <c r="AD623" s="12" t="s">
        <v>1415</v>
      </c>
      <c r="AE623" s="12" t="s">
        <v>1415</v>
      </c>
      <c r="AF623" s="12" t="s">
        <v>1415</v>
      </c>
      <c r="AG623" s="12" t="s">
        <v>1415</v>
      </c>
    </row>
    <row r="624" spans="1:33" ht="14.4" x14ac:dyDescent="0.3">
      <c r="A624" s="12" t="s">
        <v>123</v>
      </c>
      <c r="B624" s="12" t="s">
        <v>618</v>
      </c>
      <c r="C624" s="12" t="s">
        <v>617</v>
      </c>
      <c r="D624" s="12" t="s">
        <v>1410</v>
      </c>
      <c r="E624" s="12" t="s">
        <v>1549</v>
      </c>
      <c r="F624" s="12" t="s">
        <v>1558</v>
      </c>
      <c r="G624" s="12" t="s">
        <v>1559</v>
      </c>
      <c r="H624" s="12" t="s">
        <v>1464</v>
      </c>
      <c r="I624" s="12" t="s">
        <v>1420</v>
      </c>
      <c r="J624" s="12" t="s">
        <v>1420</v>
      </c>
      <c r="K624" s="12" t="s">
        <v>1420</v>
      </c>
      <c r="L624" s="12" t="s">
        <v>1420</v>
      </c>
      <c r="M624" s="12" t="s">
        <v>1420</v>
      </c>
      <c r="N624" s="12" t="s">
        <v>1420</v>
      </c>
      <c r="O624" s="12" t="s">
        <v>1420</v>
      </c>
      <c r="P624" s="12" t="s">
        <v>1420</v>
      </c>
      <c r="Q624" s="12" t="s">
        <v>1420</v>
      </c>
      <c r="R624" s="12" t="s">
        <v>1420</v>
      </c>
      <c r="S624" s="12" t="s">
        <v>1420</v>
      </c>
      <c r="T624" s="12" t="s">
        <v>1420</v>
      </c>
      <c r="U624" s="12" t="s">
        <v>1420</v>
      </c>
      <c r="V624" s="12" t="s">
        <v>1420</v>
      </c>
      <c r="W624" s="12" t="s">
        <v>1420</v>
      </c>
      <c r="X624" s="12" t="s">
        <v>1420</v>
      </c>
      <c r="Y624" s="12" t="s">
        <v>1420</v>
      </c>
      <c r="Z624" s="12" t="s">
        <v>1420</v>
      </c>
      <c r="AA624" s="12" t="s">
        <v>1420</v>
      </c>
      <c r="AB624" s="12" t="s">
        <v>1420</v>
      </c>
      <c r="AC624" s="12" t="s">
        <v>1420</v>
      </c>
      <c r="AD624" s="12" t="s">
        <v>1420</v>
      </c>
      <c r="AE624" s="12" t="s">
        <v>1420</v>
      </c>
      <c r="AF624" s="12" t="s">
        <v>1420</v>
      </c>
      <c r="AG624" s="12" t="s">
        <v>1420</v>
      </c>
    </row>
    <row r="625" spans="1:33" ht="14.4" x14ac:dyDescent="0.3">
      <c r="A625" s="12" t="s">
        <v>42</v>
      </c>
      <c r="B625" s="12" t="s">
        <v>955</v>
      </c>
      <c r="C625" s="12" t="s">
        <v>954</v>
      </c>
      <c r="D625" s="12" t="s">
        <v>1410</v>
      </c>
      <c r="E625" s="12" t="s">
        <v>3061</v>
      </c>
      <c r="F625" s="12" t="s">
        <v>3071</v>
      </c>
      <c r="G625" s="12" t="s">
        <v>1494</v>
      </c>
      <c r="H625" s="12" t="s">
        <v>1419</v>
      </c>
      <c r="I625" s="12" t="s">
        <v>1420</v>
      </c>
      <c r="J625" s="12" t="s">
        <v>1420</v>
      </c>
      <c r="K625" s="12" t="s">
        <v>1420</v>
      </c>
      <c r="L625" s="12" t="s">
        <v>1420</v>
      </c>
      <c r="M625" s="12" t="s">
        <v>1420</v>
      </c>
      <c r="N625" s="12" t="s">
        <v>1420</v>
      </c>
      <c r="O625" s="12" t="s">
        <v>1420</v>
      </c>
      <c r="P625" s="12" t="s">
        <v>1420</v>
      </c>
      <c r="Q625" s="12" t="s">
        <v>1420</v>
      </c>
      <c r="R625" s="12" t="s">
        <v>1420</v>
      </c>
      <c r="S625" s="12" t="s">
        <v>1420</v>
      </c>
      <c r="T625" s="12" t="s">
        <v>1414</v>
      </c>
      <c r="U625" s="12" t="s">
        <v>1420</v>
      </c>
      <c r="V625" s="12" t="s">
        <v>1420</v>
      </c>
      <c r="W625" s="12" t="s">
        <v>1420</v>
      </c>
      <c r="X625" s="12" t="s">
        <v>1420</v>
      </c>
      <c r="Y625" s="12" t="s">
        <v>1420</v>
      </c>
      <c r="Z625" s="12" t="s">
        <v>1420</v>
      </c>
      <c r="AA625" s="12" t="s">
        <v>1420</v>
      </c>
      <c r="AB625" s="12" t="s">
        <v>1420</v>
      </c>
      <c r="AC625" s="12" t="s">
        <v>1420</v>
      </c>
      <c r="AD625" s="12" t="s">
        <v>1420</v>
      </c>
      <c r="AE625" s="12" t="s">
        <v>1420</v>
      </c>
      <c r="AF625" s="12" t="s">
        <v>1414</v>
      </c>
      <c r="AG625" s="12" t="s">
        <v>1420</v>
      </c>
    </row>
    <row r="626" spans="1:33" ht="14.4" x14ac:dyDescent="0.3">
      <c r="A626" s="12" t="s">
        <v>31</v>
      </c>
      <c r="B626" s="12" t="s">
        <v>5892</v>
      </c>
      <c r="C626" s="12" t="s">
        <v>5893</v>
      </c>
      <c r="D626" s="12" t="s">
        <v>1410</v>
      </c>
      <c r="E626" s="12" t="s">
        <v>5894</v>
      </c>
      <c r="F626" s="12" t="s">
        <v>5895</v>
      </c>
      <c r="G626" s="12" t="s">
        <v>5896</v>
      </c>
      <c r="H626" s="12" t="s">
        <v>1488</v>
      </c>
      <c r="I626" s="12" t="s">
        <v>1420</v>
      </c>
      <c r="J626" s="12" t="s">
        <v>1420</v>
      </c>
      <c r="K626" s="12" t="s">
        <v>1420</v>
      </c>
      <c r="L626" s="12" t="s">
        <v>1420</v>
      </c>
      <c r="M626" s="12" t="s">
        <v>1420</v>
      </c>
      <c r="N626" s="12" t="s">
        <v>1420</v>
      </c>
      <c r="O626" s="12" t="s">
        <v>1414</v>
      </c>
      <c r="P626" s="12" t="s">
        <v>1414</v>
      </c>
      <c r="Q626" s="12" t="s">
        <v>1420</v>
      </c>
      <c r="R626" s="12" t="s">
        <v>1420</v>
      </c>
      <c r="S626" s="12" t="s">
        <v>1414</v>
      </c>
      <c r="T626" s="12" t="s">
        <v>1414</v>
      </c>
      <c r="U626" s="12" t="s">
        <v>1420</v>
      </c>
      <c r="V626" s="12" t="s">
        <v>1420</v>
      </c>
      <c r="W626" s="12" t="s">
        <v>1420</v>
      </c>
      <c r="X626" s="12" t="s">
        <v>1420</v>
      </c>
      <c r="Y626" s="12" t="s">
        <v>1420</v>
      </c>
      <c r="Z626" s="12" t="s">
        <v>1420</v>
      </c>
      <c r="AA626" s="12" t="s">
        <v>1420</v>
      </c>
      <c r="AB626" s="12" t="s">
        <v>1420</v>
      </c>
      <c r="AC626" s="12" t="s">
        <v>1420</v>
      </c>
      <c r="AD626" s="12" t="s">
        <v>1420</v>
      </c>
      <c r="AE626" s="12" t="s">
        <v>1420</v>
      </c>
      <c r="AF626" s="12" t="s">
        <v>1420</v>
      </c>
      <c r="AG626" s="12" t="s">
        <v>1420</v>
      </c>
    </row>
    <row r="627" spans="1:33" ht="14.4" x14ac:dyDescent="0.3">
      <c r="A627" s="12" t="s">
        <v>8</v>
      </c>
      <c r="B627" s="12" t="s">
        <v>183</v>
      </c>
      <c r="C627" s="12" t="s">
        <v>182</v>
      </c>
      <c r="D627" s="12" t="s">
        <v>1410</v>
      </c>
      <c r="E627" s="12" t="s">
        <v>2427</v>
      </c>
      <c r="F627" s="12" t="s">
        <v>2428</v>
      </c>
      <c r="G627" s="12" t="s">
        <v>2429</v>
      </c>
      <c r="H627" s="12" t="s">
        <v>1488</v>
      </c>
      <c r="I627" s="12" t="s">
        <v>1420</v>
      </c>
      <c r="J627" s="12" t="s">
        <v>1420</v>
      </c>
      <c r="K627" s="12" t="s">
        <v>1420</v>
      </c>
      <c r="L627" s="12" t="s">
        <v>1420</v>
      </c>
      <c r="M627" s="12" t="s">
        <v>1420</v>
      </c>
      <c r="N627" s="12" t="s">
        <v>1420</v>
      </c>
      <c r="O627" s="12" t="s">
        <v>1414</v>
      </c>
      <c r="P627" s="12" t="s">
        <v>1414</v>
      </c>
      <c r="Q627" s="12" t="s">
        <v>1420</v>
      </c>
      <c r="R627" s="12" t="s">
        <v>1420</v>
      </c>
      <c r="S627" s="12" t="s">
        <v>1420</v>
      </c>
      <c r="T627" s="12" t="s">
        <v>1420</v>
      </c>
      <c r="U627" s="12" t="s">
        <v>1420</v>
      </c>
      <c r="V627" s="12" t="s">
        <v>1420</v>
      </c>
      <c r="W627" s="12" t="s">
        <v>1414</v>
      </c>
      <c r="X627" s="12" t="s">
        <v>1420</v>
      </c>
      <c r="Y627" s="12" t="s">
        <v>1420</v>
      </c>
      <c r="Z627" s="12" t="s">
        <v>1420</v>
      </c>
      <c r="AA627" s="12" t="s">
        <v>1420</v>
      </c>
      <c r="AB627" s="12" t="s">
        <v>1420</v>
      </c>
      <c r="AC627" s="12" t="s">
        <v>1414</v>
      </c>
      <c r="AD627" s="12" t="s">
        <v>1420</v>
      </c>
      <c r="AE627" s="12" t="s">
        <v>1420</v>
      </c>
      <c r="AF627" s="12" t="s">
        <v>1420</v>
      </c>
      <c r="AG627" s="12" t="s">
        <v>1420</v>
      </c>
    </row>
    <row r="628" spans="1:33" ht="14.4" x14ac:dyDescent="0.3">
      <c r="A628" s="12" t="s">
        <v>293</v>
      </c>
      <c r="B628" s="12" t="s">
        <v>292</v>
      </c>
      <c r="C628" s="12" t="s">
        <v>291</v>
      </c>
      <c r="D628" s="12" t="s">
        <v>1410</v>
      </c>
      <c r="E628" s="12" t="s">
        <v>2852</v>
      </c>
      <c r="F628" s="12" t="s">
        <v>2853</v>
      </c>
      <c r="G628" s="12" t="s">
        <v>2854</v>
      </c>
      <c r="H628" s="12" t="s">
        <v>1438</v>
      </c>
      <c r="I628" s="12" t="s">
        <v>1420</v>
      </c>
      <c r="J628" s="12" t="s">
        <v>1420</v>
      </c>
      <c r="K628" s="12" t="s">
        <v>1420</v>
      </c>
      <c r="L628" s="12" t="s">
        <v>1420</v>
      </c>
      <c r="M628" s="12" t="s">
        <v>1420</v>
      </c>
      <c r="N628" s="12" t="s">
        <v>1420</v>
      </c>
      <c r="O628" s="12" t="s">
        <v>1414</v>
      </c>
      <c r="P628" s="12" t="s">
        <v>1420</v>
      </c>
      <c r="Q628" s="12" t="s">
        <v>1420</v>
      </c>
      <c r="R628" s="12" t="s">
        <v>1420</v>
      </c>
      <c r="S628" s="12" t="s">
        <v>1420</v>
      </c>
      <c r="T628" s="12" t="s">
        <v>1420</v>
      </c>
      <c r="U628" s="12" t="s">
        <v>1420</v>
      </c>
      <c r="V628" s="12" t="s">
        <v>1420</v>
      </c>
      <c r="W628" s="12" t="s">
        <v>1420</v>
      </c>
      <c r="X628" s="12" t="s">
        <v>1414</v>
      </c>
      <c r="Y628" s="12" t="s">
        <v>1414</v>
      </c>
      <c r="Z628" s="12" t="s">
        <v>1420</v>
      </c>
      <c r="AA628" s="12" t="s">
        <v>1414</v>
      </c>
      <c r="AB628" s="12" t="s">
        <v>1414</v>
      </c>
      <c r="AC628" s="12" t="s">
        <v>1420</v>
      </c>
      <c r="AD628" s="12" t="s">
        <v>1414</v>
      </c>
      <c r="AE628" s="12" t="s">
        <v>1420</v>
      </c>
      <c r="AF628" s="12" t="s">
        <v>1420</v>
      </c>
      <c r="AG628" s="12" t="s">
        <v>1420</v>
      </c>
    </row>
    <row r="629" spans="1:33" ht="14.4" x14ac:dyDescent="0.3">
      <c r="A629" s="12" t="s">
        <v>31</v>
      </c>
      <c r="B629" s="12" t="s">
        <v>387</v>
      </c>
      <c r="C629" s="12" t="s">
        <v>386</v>
      </c>
      <c r="D629" s="12" t="s">
        <v>1410</v>
      </c>
      <c r="E629" s="12" t="s">
        <v>1837</v>
      </c>
      <c r="F629" s="12" t="s">
        <v>1838</v>
      </c>
      <c r="G629" s="12" t="s">
        <v>1839</v>
      </c>
      <c r="H629" s="12" t="s">
        <v>1424</v>
      </c>
      <c r="I629" s="12" t="s">
        <v>1420</v>
      </c>
      <c r="J629" s="12" t="s">
        <v>1420</v>
      </c>
      <c r="K629" s="12" t="s">
        <v>1420</v>
      </c>
      <c r="L629" s="12" t="s">
        <v>1420</v>
      </c>
      <c r="M629" s="12" t="s">
        <v>1420</v>
      </c>
      <c r="N629" s="12" t="s">
        <v>1420</v>
      </c>
      <c r="O629" s="12" t="s">
        <v>1420</v>
      </c>
      <c r="P629" s="12" t="s">
        <v>1420</v>
      </c>
      <c r="Q629" s="12" t="s">
        <v>1420</v>
      </c>
      <c r="R629" s="12" t="s">
        <v>1420</v>
      </c>
      <c r="S629" s="12" t="s">
        <v>1420</v>
      </c>
      <c r="T629" s="12" t="s">
        <v>1420</v>
      </c>
      <c r="U629" s="12" t="s">
        <v>1420</v>
      </c>
      <c r="V629" s="12" t="s">
        <v>1414</v>
      </c>
      <c r="W629" s="12" t="s">
        <v>1420</v>
      </c>
      <c r="X629" s="12" t="s">
        <v>1414</v>
      </c>
      <c r="Y629" s="12" t="s">
        <v>1420</v>
      </c>
      <c r="Z629" s="12" t="s">
        <v>1420</v>
      </c>
      <c r="AA629" s="12" t="s">
        <v>1420</v>
      </c>
      <c r="AB629" s="12" t="s">
        <v>1420</v>
      </c>
      <c r="AC629" s="12" t="s">
        <v>1414</v>
      </c>
      <c r="AD629" s="12" t="s">
        <v>1420</v>
      </c>
      <c r="AE629" s="12" t="s">
        <v>1420</v>
      </c>
      <c r="AF629" s="12" t="s">
        <v>1420</v>
      </c>
      <c r="AG629" s="12" t="s">
        <v>1420</v>
      </c>
    </row>
    <row r="630" spans="1:33" ht="14.4" x14ac:dyDescent="0.3">
      <c r="A630" s="12" t="s">
        <v>42</v>
      </c>
      <c r="B630" s="12" t="s">
        <v>185</v>
      </c>
      <c r="C630" s="12" t="s">
        <v>184</v>
      </c>
      <c r="D630" s="12" t="s">
        <v>1410</v>
      </c>
      <c r="E630" s="12" t="s">
        <v>2515</v>
      </c>
      <c r="F630" s="12" t="s">
        <v>2516</v>
      </c>
      <c r="G630" s="12" t="s">
        <v>2517</v>
      </c>
      <c r="H630" s="12" t="s">
        <v>1424</v>
      </c>
      <c r="I630" s="12" t="s">
        <v>1420</v>
      </c>
      <c r="J630" s="12" t="s">
        <v>1420</v>
      </c>
      <c r="K630" s="12" t="s">
        <v>1420</v>
      </c>
      <c r="L630" s="12" t="s">
        <v>1420</v>
      </c>
      <c r="M630" s="12" t="s">
        <v>1420</v>
      </c>
      <c r="N630" s="12" t="s">
        <v>1420</v>
      </c>
      <c r="O630" s="12" t="s">
        <v>1420</v>
      </c>
      <c r="P630" s="12" t="s">
        <v>1420</v>
      </c>
      <c r="Q630" s="12" t="s">
        <v>1420</v>
      </c>
      <c r="R630" s="12" t="s">
        <v>1420</v>
      </c>
      <c r="S630" s="12" t="s">
        <v>1420</v>
      </c>
      <c r="T630" s="12" t="s">
        <v>1420</v>
      </c>
      <c r="U630" s="12" t="s">
        <v>1420</v>
      </c>
      <c r="V630" s="12" t="s">
        <v>1414</v>
      </c>
      <c r="W630" s="12" t="s">
        <v>1420</v>
      </c>
      <c r="X630" s="12" t="s">
        <v>1414</v>
      </c>
      <c r="Y630" s="12" t="s">
        <v>1420</v>
      </c>
      <c r="Z630" s="12" t="s">
        <v>1420</v>
      </c>
      <c r="AA630" s="12" t="s">
        <v>1420</v>
      </c>
      <c r="AB630" s="12" t="s">
        <v>1420</v>
      </c>
      <c r="AC630" s="12" t="s">
        <v>1420</v>
      </c>
      <c r="AD630" s="12" t="s">
        <v>1420</v>
      </c>
      <c r="AE630" s="12" t="s">
        <v>1420</v>
      </c>
      <c r="AF630" s="12" t="s">
        <v>1420</v>
      </c>
      <c r="AG630" s="12" t="s">
        <v>1414</v>
      </c>
    </row>
    <row r="631" spans="1:33" ht="14.4" x14ac:dyDescent="0.3">
      <c r="A631" s="12" t="s">
        <v>71</v>
      </c>
      <c r="B631" s="12" t="s">
        <v>620</v>
      </c>
      <c r="C631" s="12" t="s">
        <v>619</v>
      </c>
      <c r="D631" s="12" t="s">
        <v>1410</v>
      </c>
      <c r="E631" s="12" t="s">
        <v>2391</v>
      </c>
      <c r="F631" s="12" t="s">
        <v>2392</v>
      </c>
      <c r="G631" s="12" t="s">
        <v>2393</v>
      </c>
      <c r="H631" s="12" t="s">
        <v>1464</v>
      </c>
      <c r="I631" s="12" t="s">
        <v>1420</v>
      </c>
      <c r="J631" s="12" t="s">
        <v>1420</v>
      </c>
      <c r="K631" s="12" t="s">
        <v>1420</v>
      </c>
      <c r="L631" s="12" t="s">
        <v>1420</v>
      </c>
      <c r="M631" s="12" t="s">
        <v>1420</v>
      </c>
      <c r="N631" s="12" t="s">
        <v>1420</v>
      </c>
      <c r="O631" s="12" t="s">
        <v>1420</v>
      </c>
      <c r="P631" s="12" t="s">
        <v>1420</v>
      </c>
      <c r="Q631" s="12" t="s">
        <v>1420</v>
      </c>
      <c r="R631" s="12" t="s">
        <v>1420</v>
      </c>
      <c r="S631" s="12" t="s">
        <v>1420</v>
      </c>
      <c r="T631" s="12" t="s">
        <v>1420</v>
      </c>
      <c r="U631" s="12" t="s">
        <v>1420</v>
      </c>
      <c r="V631" s="12" t="s">
        <v>1420</v>
      </c>
      <c r="W631" s="12" t="s">
        <v>1420</v>
      </c>
      <c r="X631" s="12" t="s">
        <v>1420</v>
      </c>
      <c r="Y631" s="12" t="s">
        <v>1420</v>
      </c>
      <c r="Z631" s="12" t="s">
        <v>1420</v>
      </c>
      <c r="AA631" s="12" t="s">
        <v>1420</v>
      </c>
      <c r="AB631" s="12" t="s">
        <v>1420</v>
      </c>
      <c r="AC631" s="12" t="s">
        <v>1420</v>
      </c>
      <c r="AD631" s="12" t="s">
        <v>1420</v>
      </c>
      <c r="AE631" s="12" t="s">
        <v>1420</v>
      </c>
      <c r="AF631" s="12" t="s">
        <v>1420</v>
      </c>
      <c r="AG631" s="12" t="s">
        <v>1420</v>
      </c>
    </row>
    <row r="632" spans="1:33" ht="14.4" x14ac:dyDescent="0.3">
      <c r="A632" s="12" t="s">
        <v>8</v>
      </c>
      <c r="B632" s="12" t="s">
        <v>187</v>
      </c>
      <c r="C632" s="12" t="s">
        <v>186</v>
      </c>
      <c r="D632" s="12" t="s">
        <v>1410</v>
      </c>
      <c r="E632" s="12" t="s">
        <v>2211</v>
      </c>
      <c r="F632" s="12" t="s">
        <v>2212</v>
      </c>
      <c r="G632" s="12" t="s">
        <v>2213</v>
      </c>
      <c r="H632" s="12" t="s">
        <v>1488</v>
      </c>
      <c r="I632" s="12" t="s">
        <v>1420</v>
      </c>
      <c r="J632" s="12" t="s">
        <v>1420</v>
      </c>
      <c r="K632" s="12" t="s">
        <v>1420</v>
      </c>
      <c r="L632" s="12" t="s">
        <v>1420</v>
      </c>
      <c r="M632" s="12" t="s">
        <v>1420</v>
      </c>
      <c r="N632" s="12" t="s">
        <v>1414</v>
      </c>
      <c r="O632" s="12" t="s">
        <v>1420</v>
      </c>
      <c r="P632" s="12" t="s">
        <v>1414</v>
      </c>
      <c r="Q632" s="12" t="s">
        <v>1420</v>
      </c>
      <c r="R632" s="12" t="s">
        <v>1420</v>
      </c>
      <c r="S632" s="12" t="s">
        <v>1420</v>
      </c>
      <c r="T632" s="12" t="s">
        <v>1420</v>
      </c>
      <c r="U632" s="12" t="s">
        <v>1420</v>
      </c>
      <c r="V632" s="12" t="s">
        <v>1420</v>
      </c>
      <c r="W632" s="12" t="s">
        <v>1420</v>
      </c>
      <c r="X632" s="12" t="s">
        <v>1414</v>
      </c>
      <c r="Y632" s="12" t="s">
        <v>1420</v>
      </c>
      <c r="Z632" s="12" t="s">
        <v>1420</v>
      </c>
      <c r="AA632" s="12" t="s">
        <v>1420</v>
      </c>
      <c r="AB632" s="12" t="s">
        <v>1420</v>
      </c>
      <c r="AC632" s="12" t="s">
        <v>1414</v>
      </c>
      <c r="AD632" s="12" t="s">
        <v>1420</v>
      </c>
      <c r="AE632" s="12" t="s">
        <v>1420</v>
      </c>
      <c r="AF632" s="12" t="s">
        <v>1420</v>
      </c>
      <c r="AG632" s="12" t="s">
        <v>1420</v>
      </c>
    </row>
    <row r="633" spans="1:33" ht="14.4" x14ac:dyDescent="0.3">
      <c r="A633" s="12" t="s">
        <v>623</v>
      </c>
      <c r="B633" s="12" t="s">
        <v>622</v>
      </c>
      <c r="C633" s="12" t="s">
        <v>621</v>
      </c>
      <c r="D633" s="12" t="s">
        <v>1410</v>
      </c>
      <c r="E633" s="12" t="s">
        <v>2268</v>
      </c>
      <c r="F633" s="12" t="s">
        <v>2269</v>
      </c>
      <c r="G633" s="12" t="s">
        <v>2270</v>
      </c>
      <c r="H633" s="12" t="s">
        <v>1424</v>
      </c>
      <c r="I633" s="12" t="s">
        <v>1420</v>
      </c>
      <c r="J633" s="12" t="s">
        <v>1420</v>
      </c>
      <c r="K633" s="12" t="s">
        <v>1420</v>
      </c>
      <c r="L633" s="12" t="s">
        <v>1420</v>
      </c>
      <c r="M633" s="12" t="s">
        <v>1420</v>
      </c>
      <c r="N633" s="12" t="s">
        <v>1420</v>
      </c>
      <c r="O633" s="12" t="s">
        <v>1420</v>
      </c>
      <c r="P633" s="12" t="s">
        <v>1420</v>
      </c>
      <c r="Q633" s="12" t="s">
        <v>1420</v>
      </c>
      <c r="R633" s="12" t="s">
        <v>1420</v>
      </c>
      <c r="S633" s="12" t="s">
        <v>1414</v>
      </c>
      <c r="T633" s="12" t="s">
        <v>1420</v>
      </c>
      <c r="U633" s="12" t="s">
        <v>1420</v>
      </c>
      <c r="V633" s="12" t="s">
        <v>1414</v>
      </c>
      <c r="W633" s="12" t="s">
        <v>1420</v>
      </c>
      <c r="X633" s="12" t="s">
        <v>1414</v>
      </c>
      <c r="Y633" s="12" t="s">
        <v>1420</v>
      </c>
      <c r="Z633" s="12" t="s">
        <v>1420</v>
      </c>
      <c r="AA633" s="12" t="s">
        <v>1420</v>
      </c>
      <c r="AB633" s="12" t="s">
        <v>1420</v>
      </c>
      <c r="AC633" s="12" t="s">
        <v>1420</v>
      </c>
      <c r="AD633" s="12" t="s">
        <v>1420</v>
      </c>
      <c r="AE633" s="12" t="s">
        <v>1420</v>
      </c>
      <c r="AF633" s="12" t="s">
        <v>1420</v>
      </c>
      <c r="AG633" s="12" t="s">
        <v>1420</v>
      </c>
    </row>
    <row r="634" spans="1:33" ht="14.4" x14ac:dyDescent="0.3">
      <c r="A634" s="12" t="s">
        <v>25</v>
      </c>
      <c r="B634" s="12" t="s">
        <v>622</v>
      </c>
      <c r="C634" s="12" t="s">
        <v>5897</v>
      </c>
      <c r="D634" s="12" t="s">
        <v>1410</v>
      </c>
      <c r="E634" s="12" t="s">
        <v>5898</v>
      </c>
      <c r="F634" s="12" t="s">
        <v>5899</v>
      </c>
      <c r="G634" s="12" t="s">
        <v>4534</v>
      </c>
      <c r="H634" s="12" t="s">
        <v>1428</v>
      </c>
      <c r="I634" s="12" t="s">
        <v>1420</v>
      </c>
      <c r="J634" s="12" t="s">
        <v>1414</v>
      </c>
      <c r="K634" s="12" t="s">
        <v>1420</v>
      </c>
      <c r="L634" s="12" t="s">
        <v>1420</v>
      </c>
      <c r="M634" s="12" t="s">
        <v>1420</v>
      </c>
      <c r="N634" s="12" t="s">
        <v>1420</v>
      </c>
      <c r="O634" s="12" t="s">
        <v>1414</v>
      </c>
      <c r="P634" s="12" t="s">
        <v>1420</v>
      </c>
      <c r="Q634" s="12" t="s">
        <v>1420</v>
      </c>
      <c r="R634" s="12" t="s">
        <v>1420</v>
      </c>
      <c r="S634" s="12" t="s">
        <v>1420</v>
      </c>
      <c r="T634" s="12" t="s">
        <v>1420</v>
      </c>
      <c r="U634" s="12" t="s">
        <v>1420</v>
      </c>
      <c r="V634" s="12" t="s">
        <v>1414</v>
      </c>
      <c r="W634" s="12" t="s">
        <v>1420</v>
      </c>
      <c r="X634" s="12" t="s">
        <v>1414</v>
      </c>
      <c r="Y634" s="12" t="s">
        <v>1414</v>
      </c>
      <c r="Z634" s="12" t="s">
        <v>1420</v>
      </c>
      <c r="AA634" s="12" t="s">
        <v>1414</v>
      </c>
      <c r="AB634" s="12" t="s">
        <v>1420</v>
      </c>
      <c r="AC634" s="12" t="s">
        <v>1420</v>
      </c>
      <c r="AD634" s="12" t="s">
        <v>1414</v>
      </c>
      <c r="AE634" s="12" t="s">
        <v>1420</v>
      </c>
      <c r="AF634" s="12" t="s">
        <v>1420</v>
      </c>
      <c r="AG634" s="12" t="s">
        <v>1420</v>
      </c>
    </row>
    <row r="635" spans="1:33" ht="14.4" x14ac:dyDescent="0.3">
      <c r="A635" s="12" t="s">
        <v>5900</v>
      </c>
      <c r="B635" s="12" t="s">
        <v>5901</v>
      </c>
      <c r="C635" s="12" t="s">
        <v>5902</v>
      </c>
      <c r="D635" s="12" t="s">
        <v>1410</v>
      </c>
      <c r="E635" s="12" t="s">
        <v>5903</v>
      </c>
      <c r="F635" s="12" t="s">
        <v>5904</v>
      </c>
      <c r="G635" s="12" t="s">
        <v>1766</v>
      </c>
      <c r="H635" s="12" t="s">
        <v>1488</v>
      </c>
      <c r="I635" s="12" t="s">
        <v>1420</v>
      </c>
      <c r="J635" s="12" t="s">
        <v>1420</v>
      </c>
      <c r="K635" s="12" t="s">
        <v>1420</v>
      </c>
      <c r="L635" s="12" t="s">
        <v>1420</v>
      </c>
      <c r="M635" s="12" t="s">
        <v>1420</v>
      </c>
      <c r="N635" s="12" t="s">
        <v>1420</v>
      </c>
      <c r="O635" s="12" t="s">
        <v>1414</v>
      </c>
      <c r="P635" s="12" t="s">
        <v>1414</v>
      </c>
      <c r="Q635" s="12" t="s">
        <v>1420</v>
      </c>
      <c r="R635" s="12" t="s">
        <v>1420</v>
      </c>
      <c r="S635" s="12" t="s">
        <v>1414</v>
      </c>
      <c r="T635" s="12" t="s">
        <v>1420</v>
      </c>
      <c r="U635" s="12" t="s">
        <v>1420</v>
      </c>
      <c r="V635" s="12" t="s">
        <v>1420</v>
      </c>
      <c r="W635" s="12" t="s">
        <v>1420</v>
      </c>
      <c r="X635" s="12" t="s">
        <v>1414</v>
      </c>
      <c r="Y635" s="12" t="s">
        <v>1420</v>
      </c>
      <c r="Z635" s="12" t="s">
        <v>1420</v>
      </c>
      <c r="AA635" s="12" t="s">
        <v>1420</v>
      </c>
      <c r="AB635" s="12" t="s">
        <v>1420</v>
      </c>
      <c r="AC635" s="12" t="s">
        <v>1420</v>
      </c>
      <c r="AD635" s="12" t="s">
        <v>1420</v>
      </c>
      <c r="AE635" s="12" t="s">
        <v>1420</v>
      </c>
      <c r="AF635" s="12" t="s">
        <v>1420</v>
      </c>
      <c r="AG635" s="12" t="s">
        <v>1420</v>
      </c>
    </row>
    <row r="636" spans="1:33" ht="14.4" x14ac:dyDescent="0.3">
      <c r="A636" s="12" t="s">
        <v>390</v>
      </c>
      <c r="B636" s="12" t="s">
        <v>389</v>
      </c>
      <c r="C636" s="12" t="s">
        <v>388</v>
      </c>
      <c r="D636" s="12" t="s">
        <v>1410</v>
      </c>
      <c r="E636" s="12" t="s">
        <v>2280</v>
      </c>
      <c r="F636" s="12" t="s">
        <v>2281</v>
      </c>
      <c r="G636" s="12" t="s">
        <v>2282</v>
      </c>
      <c r="H636" s="12" t="s">
        <v>1785</v>
      </c>
      <c r="I636" s="12" t="s">
        <v>1420</v>
      </c>
      <c r="J636" s="12" t="s">
        <v>1420</v>
      </c>
      <c r="K636" s="12" t="s">
        <v>1420</v>
      </c>
      <c r="L636" s="12" t="s">
        <v>1420</v>
      </c>
      <c r="M636" s="12" t="s">
        <v>1420</v>
      </c>
      <c r="N636" s="12" t="s">
        <v>1420</v>
      </c>
      <c r="O636" s="12" t="s">
        <v>1420</v>
      </c>
      <c r="P636" s="12" t="s">
        <v>1414</v>
      </c>
      <c r="Q636" s="12" t="s">
        <v>1420</v>
      </c>
      <c r="R636" s="12" t="s">
        <v>1420</v>
      </c>
      <c r="S636" s="12" t="s">
        <v>1414</v>
      </c>
      <c r="T636" s="12" t="s">
        <v>1420</v>
      </c>
      <c r="U636" s="12" t="s">
        <v>1420</v>
      </c>
      <c r="V636" s="12" t="s">
        <v>1420</v>
      </c>
      <c r="W636" s="12" t="s">
        <v>1414</v>
      </c>
      <c r="X636" s="12" t="s">
        <v>1414</v>
      </c>
      <c r="Y636" s="12" t="s">
        <v>1420</v>
      </c>
      <c r="Z636" s="12" t="s">
        <v>1414</v>
      </c>
      <c r="AA636" s="12" t="s">
        <v>1414</v>
      </c>
      <c r="AB636" s="12" t="s">
        <v>1414</v>
      </c>
      <c r="AC636" s="12" t="s">
        <v>1414</v>
      </c>
      <c r="AD636" s="12" t="s">
        <v>1414</v>
      </c>
      <c r="AE636" s="12" t="s">
        <v>1414</v>
      </c>
      <c r="AF636" s="12" t="s">
        <v>1414</v>
      </c>
      <c r="AG636" s="12" t="s">
        <v>1414</v>
      </c>
    </row>
    <row r="637" spans="1:33" ht="14.4" x14ac:dyDescent="0.3">
      <c r="A637" s="12" t="s">
        <v>8</v>
      </c>
      <c r="B637" s="12" t="s">
        <v>389</v>
      </c>
      <c r="C637" s="12" t="s">
        <v>956</v>
      </c>
      <c r="D637" s="12" t="s">
        <v>1410</v>
      </c>
      <c r="E637" s="12" t="s">
        <v>2750</v>
      </c>
      <c r="F637" s="12" t="s">
        <v>2751</v>
      </c>
      <c r="G637" s="12" t="s">
        <v>2752</v>
      </c>
      <c r="H637" s="12" t="s">
        <v>1438</v>
      </c>
      <c r="I637" s="12" t="s">
        <v>1420</v>
      </c>
      <c r="J637" s="12" t="s">
        <v>1420</v>
      </c>
      <c r="K637" s="12" t="s">
        <v>1420</v>
      </c>
      <c r="L637" s="12" t="s">
        <v>1420</v>
      </c>
      <c r="M637" s="12" t="s">
        <v>1420</v>
      </c>
      <c r="N637" s="12" t="s">
        <v>1420</v>
      </c>
      <c r="O637" s="12" t="s">
        <v>1420</v>
      </c>
      <c r="P637" s="12" t="s">
        <v>1420</v>
      </c>
      <c r="Q637" s="12" t="s">
        <v>1420</v>
      </c>
      <c r="R637" s="12" t="s">
        <v>1420</v>
      </c>
      <c r="S637" s="12" t="s">
        <v>1414</v>
      </c>
      <c r="T637" s="12" t="s">
        <v>1420</v>
      </c>
      <c r="U637" s="12" t="s">
        <v>1420</v>
      </c>
      <c r="V637" s="12" t="s">
        <v>1420</v>
      </c>
      <c r="W637" s="12" t="s">
        <v>1420</v>
      </c>
      <c r="X637" s="12" t="s">
        <v>1414</v>
      </c>
      <c r="Y637" s="12" t="s">
        <v>1420</v>
      </c>
      <c r="Z637" s="12" t="s">
        <v>1420</v>
      </c>
      <c r="AA637" s="12" t="s">
        <v>1420</v>
      </c>
      <c r="AB637" s="12" t="s">
        <v>1414</v>
      </c>
      <c r="AC637" s="12" t="s">
        <v>1414</v>
      </c>
      <c r="AD637" s="12" t="s">
        <v>1414</v>
      </c>
      <c r="AE637" s="12" t="s">
        <v>1420</v>
      </c>
      <c r="AF637" s="12" t="s">
        <v>1420</v>
      </c>
      <c r="AG637" s="12" t="s">
        <v>1414</v>
      </c>
    </row>
    <row r="638" spans="1:33" ht="14.4" x14ac:dyDescent="0.3">
      <c r="A638" s="12" t="s">
        <v>28</v>
      </c>
      <c r="B638" s="12" t="s">
        <v>389</v>
      </c>
      <c r="C638" s="12" t="s">
        <v>957</v>
      </c>
      <c r="D638" s="12" t="s">
        <v>1410</v>
      </c>
      <c r="E638" s="12" t="s">
        <v>2297</v>
      </c>
      <c r="F638" s="12" t="s">
        <v>2298</v>
      </c>
      <c r="G638" s="12" t="s">
        <v>2299</v>
      </c>
      <c r="H638" s="12" t="s">
        <v>1419</v>
      </c>
      <c r="I638" s="12" t="s">
        <v>1420</v>
      </c>
      <c r="J638" s="12" t="s">
        <v>1420</v>
      </c>
      <c r="K638" s="12" t="s">
        <v>1420</v>
      </c>
      <c r="L638" s="12" t="s">
        <v>1420</v>
      </c>
      <c r="M638" s="12" t="s">
        <v>1420</v>
      </c>
      <c r="N638" s="12" t="s">
        <v>1420</v>
      </c>
      <c r="O638" s="12" t="s">
        <v>1414</v>
      </c>
      <c r="P638" s="12" t="s">
        <v>1420</v>
      </c>
      <c r="Q638" s="12" t="s">
        <v>1420</v>
      </c>
      <c r="R638" s="12" t="s">
        <v>1420</v>
      </c>
      <c r="S638" s="12" t="s">
        <v>1420</v>
      </c>
      <c r="T638" s="12" t="s">
        <v>1420</v>
      </c>
      <c r="U638" s="12" t="s">
        <v>1420</v>
      </c>
      <c r="V638" s="12" t="s">
        <v>1420</v>
      </c>
      <c r="W638" s="12" t="s">
        <v>1420</v>
      </c>
      <c r="X638" s="12" t="s">
        <v>1420</v>
      </c>
      <c r="Y638" s="12" t="s">
        <v>1420</v>
      </c>
      <c r="Z638" s="12" t="s">
        <v>1420</v>
      </c>
      <c r="AA638" s="12" t="s">
        <v>1420</v>
      </c>
      <c r="AB638" s="12" t="s">
        <v>1420</v>
      </c>
      <c r="AC638" s="12" t="s">
        <v>1414</v>
      </c>
      <c r="AD638" s="12" t="s">
        <v>1420</v>
      </c>
      <c r="AE638" s="12" t="s">
        <v>1420</v>
      </c>
      <c r="AF638" s="12" t="s">
        <v>1420</v>
      </c>
      <c r="AG638" s="12" t="s">
        <v>1420</v>
      </c>
    </row>
    <row r="639" spans="1:33" ht="14.4" x14ac:dyDescent="0.3">
      <c r="A639" s="12" t="s">
        <v>170</v>
      </c>
      <c r="B639" s="12" t="s">
        <v>392</v>
      </c>
      <c r="C639" s="12" t="s">
        <v>391</v>
      </c>
      <c r="D639" s="12" t="s">
        <v>1410</v>
      </c>
      <c r="E639" s="12" t="s">
        <v>1698</v>
      </c>
      <c r="F639" s="12" t="s">
        <v>1699</v>
      </c>
      <c r="G639" s="12" t="s">
        <v>1700</v>
      </c>
      <c r="H639" s="12" t="s">
        <v>1452</v>
      </c>
      <c r="I639" s="12" t="s">
        <v>1420</v>
      </c>
      <c r="J639" s="12" t="s">
        <v>1414</v>
      </c>
      <c r="K639" s="12" t="s">
        <v>1420</v>
      </c>
      <c r="L639" s="12" t="s">
        <v>1420</v>
      </c>
      <c r="M639" s="12" t="s">
        <v>1420</v>
      </c>
      <c r="N639" s="12" t="s">
        <v>1420</v>
      </c>
      <c r="O639" s="12" t="s">
        <v>1420</v>
      </c>
      <c r="P639" s="12" t="s">
        <v>1420</v>
      </c>
      <c r="Q639" s="12" t="s">
        <v>1420</v>
      </c>
      <c r="R639" s="12" t="s">
        <v>1420</v>
      </c>
      <c r="S639" s="12" t="s">
        <v>1420</v>
      </c>
      <c r="T639" s="12" t="s">
        <v>1420</v>
      </c>
      <c r="U639" s="12" t="s">
        <v>1420</v>
      </c>
      <c r="V639" s="12" t="s">
        <v>1420</v>
      </c>
      <c r="W639" s="12" t="s">
        <v>1420</v>
      </c>
      <c r="X639" s="12" t="s">
        <v>1420</v>
      </c>
      <c r="Y639" s="12" t="s">
        <v>1420</v>
      </c>
      <c r="Z639" s="12" t="s">
        <v>1420</v>
      </c>
      <c r="AA639" s="12" t="s">
        <v>1420</v>
      </c>
      <c r="AB639" s="12" t="s">
        <v>1420</v>
      </c>
      <c r="AC639" s="12" t="s">
        <v>1420</v>
      </c>
      <c r="AD639" s="12" t="s">
        <v>1420</v>
      </c>
      <c r="AE639" s="12" t="s">
        <v>1420</v>
      </c>
      <c r="AF639" s="12" t="s">
        <v>1420</v>
      </c>
      <c r="AG639" s="12" t="s">
        <v>1420</v>
      </c>
    </row>
    <row r="640" spans="1:33" ht="14.4" x14ac:dyDescent="0.3">
      <c r="A640" s="12" t="s">
        <v>123</v>
      </c>
      <c r="B640" s="12" t="s">
        <v>189</v>
      </c>
      <c r="C640" s="12" t="s">
        <v>188</v>
      </c>
      <c r="D640" s="12" t="s">
        <v>1410</v>
      </c>
      <c r="E640" s="12" t="s">
        <v>2485</v>
      </c>
      <c r="F640" s="12" t="s">
        <v>2486</v>
      </c>
      <c r="G640" s="12" t="s">
        <v>2487</v>
      </c>
      <c r="H640" s="12" t="s">
        <v>1448</v>
      </c>
      <c r="I640" s="12" t="s">
        <v>1420</v>
      </c>
      <c r="J640" s="12" t="s">
        <v>1420</v>
      </c>
      <c r="K640" s="12" t="s">
        <v>1420</v>
      </c>
      <c r="L640" s="12" t="s">
        <v>1420</v>
      </c>
      <c r="M640" s="12" t="s">
        <v>1420</v>
      </c>
      <c r="N640" s="12" t="s">
        <v>1420</v>
      </c>
      <c r="O640" s="12" t="s">
        <v>1420</v>
      </c>
      <c r="P640" s="12" t="s">
        <v>1420</v>
      </c>
      <c r="Q640" s="12" t="s">
        <v>1420</v>
      </c>
      <c r="R640" s="12" t="s">
        <v>1420</v>
      </c>
      <c r="S640" s="12" t="s">
        <v>1414</v>
      </c>
      <c r="T640" s="12" t="s">
        <v>1414</v>
      </c>
      <c r="U640" s="12" t="s">
        <v>1420</v>
      </c>
      <c r="V640" s="12" t="s">
        <v>1414</v>
      </c>
      <c r="W640" s="12" t="s">
        <v>1420</v>
      </c>
      <c r="X640" s="12" t="s">
        <v>1420</v>
      </c>
      <c r="Y640" s="12" t="s">
        <v>1420</v>
      </c>
      <c r="Z640" s="12" t="s">
        <v>1420</v>
      </c>
      <c r="AA640" s="12" t="s">
        <v>1420</v>
      </c>
      <c r="AB640" s="12" t="s">
        <v>1420</v>
      </c>
      <c r="AC640" s="12" t="s">
        <v>1414</v>
      </c>
      <c r="AD640" s="12" t="s">
        <v>1414</v>
      </c>
      <c r="AE640" s="12" t="s">
        <v>1420</v>
      </c>
      <c r="AF640" s="12" t="s">
        <v>1420</v>
      </c>
      <c r="AG640" s="12" t="s">
        <v>1420</v>
      </c>
    </row>
    <row r="641" spans="1:33" ht="14.4" x14ac:dyDescent="0.3">
      <c r="A641" s="12" t="s">
        <v>55</v>
      </c>
      <c r="B641" s="12" t="s">
        <v>959</v>
      </c>
      <c r="C641" s="12" t="s">
        <v>958</v>
      </c>
      <c r="D641" s="12" t="s">
        <v>1410</v>
      </c>
      <c r="E641" s="12" t="s">
        <v>3169</v>
      </c>
      <c r="F641" s="12" t="s">
        <v>3170</v>
      </c>
      <c r="G641" s="12" t="s">
        <v>2666</v>
      </c>
      <c r="H641" s="12" t="s">
        <v>1438</v>
      </c>
      <c r="I641" s="12" t="s">
        <v>1420</v>
      </c>
      <c r="J641" s="12" t="s">
        <v>1420</v>
      </c>
      <c r="K641" s="12" t="s">
        <v>1420</v>
      </c>
      <c r="L641" s="12" t="s">
        <v>1420</v>
      </c>
      <c r="M641" s="12" t="s">
        <v>1420</v>
      </c>
      <c r="N641" s="12" t="s">
        <v>1420</v>
      </c>
      <c r="O641" s="12" t="s">
        <v>1420</v>
      </c>
      <c r="P641" s="12" t="s">
        <v>1414</v>
      </c>
      <c r="Q641" s="12" t="s">
        <v>1420</v>
      </c>
      <c r="R641" s="12" t="s">
        <v>1420</v>
      </c>
      <c r="S641" s="12" t="s">
        <v>1414</v>
      </c>
      <c r="T641" s="12" t="s">
        <v>1420</v>
      </c>
      <c r="U641" s="12" t="s">
        <v>1420</v>
      </c>
      <c r="V641" s="12" t="s">
        <v>1420</v>
      </c>
      <c r="W641" s="12" t="s">
        <v>1420</v>
      </c>
      <c r="X641" s="12" t="s">
        <v>1414</v>
      </c>
      <c r="Y641" s="12" t="s">
        <v>1420</v>
      </c>
      <c r="Z641" s="12" t="s">
        <v>1420</v>
      </c>
      <c r="AA641" s="12" t="s">
        <v>1414</v>
      </c>
      <c r="AB641" s="12" t="s">
        <v>1420</v>
      </c>
      <c r="AC641" s="12" t="s">
        <v>1420</v>
      </c>
      <c r="AD641" s="12" t="s">
        <v>1420</v>
      </c>
      <c r="AE641" s="12" t="s">
        <v>1414</v>
      </c>
      <c r="AF641" s="12" t="s">
        <v>1414</v>
      </c>
      <c r="AG641" s="12" t="s">
        <v>1420</v>
      </c>
    </row>
    <row r="642" spans="1:33" ht="14.4" x14ac:dyDescent="0.3">
      <c r="A642" s="12" t="s">
        <v>28</v>
      </c>
      <c r="B642" s="12" t="s">
        <v>625</v>
      </c>
      <c r="C642" s="12" t="s">
        <v>624</v>
      </c>
      <c r="D642" s="12" t="s">
        <v>1410</v>
      </c>
      <c r="E642" s="12" t="s">
        <v>2482</v>
      </c>
      <c r="F642" s="12" t="s">
        <v>2483</v>
      </c>
      <c r="G642" s="12" t="s">
        <v>2484</v>
      </c>
      <c r="H642" s="12" t="s">
        <v>1464</v>
      </c>
      <c r="I642" s="12" t="s">
        <v>1420</v>
      </c>
      <c r="J642" s="12" t="s">
        <v>1420</v>
      </c>
      <c r="K642" s="12" t="s">
        <v>1420</v>
      </c>
      <c r="L642" s="12" t="s">
        <v>1420</v>
      </c>
      <c r="M642" s="12" t="s">
        <v>1420</v>
      </c>
      <c r="N642" s="12" t="s">
        <v>1420</v>
      </c>
      <c r="O642" s="12" t="s">
        <v>1420</v>
      </c>
      <c r="P642" s="12" t="s">
        <v>1420</v>
      </c>
      <c r="Q642" s="12" t="s">
        <v>1420</v>
      </c>
      <c r="R642" s="12" t="s">
        <v>1420</v>
      </c>
      <c r="S642" s="12" t="s">
        <v>1420</v>
      </c>
      <c r="T642" s="12" t="s">
        <v>1420</v>
      </c>
      <c r="U642" s="12" t="s">
        <v>1420</v>
      </c>
      <c r="V642" s="12" t="s">
        <v>1420</v>
      </c>
      <c r="W642" s="12" t="s">
        <v>1420</v>
      </c>
      <c r="X642" s="12" t="s">
        <v>1420</v>
      </c>
      <c r="Y642" s="12" t="s">
        <v>1420</v>
      </c>
      <c r="Z642" s="12" t="s">
        <v>1420</v>
      </c>
      <c r="AA642" s="12" t="s">
        <v>1420</v>
      </c>
      <c r="AB642" s="12" t="s">
        <v>1420</v>
      </c>
      <c r="AC642" s="12" t="s">
        <v>1420</v>
      </c>
      <c r="AD642" s="12" t="s">
        <v>1420</v>
      </c>
      <c r="AE642" s="12" t="s">
        <v>1420</v>
      </c>
      <c r="AF642" s="12" t="s">
        <v>1420</v>
      </c>
      <c r="AG642" s="12" t="s">
        <v>1420</v>
      </c>
    </row>
    <row r="643" spans="1:33" ht="14.4" x14ac:dyDescent="0.3">
      <c r="A643" s="12" t="s">
        <v>55</v>
      </c>
      <c r="B643" s="12" t="s">
        <v>5905</v>
      </c>
      <c r="C643" s="12" t="s">
        <v>5906</v>
      </c>
      <c r="D643" s="12" t="s">
        <v>1410</v>
      </c>
      <c r="E643" s="12" t="s">
        <v>5907</v>
      </c>
      <c r="F643" s="12" t="s">
        <v>5908</v>
      </c>
      <c r="G643" s="12" t="s">
        <v>2817</v>
      </c>
      <c r="H643" s="12" t="s">
        <v>1424</v>
      </c>
      <c r="I643" s="12" t="s">
        <v>1420</v>
      </c>
      <c r="J643" s="12" t="s">
        <v>1420</v>
      </c>
      <c r="K643" s="12" t="s">
        <v>1420</v>
      </c>
      <c r="L643" s="12" t="s">
        <v>1420</v>
      </c>
      <c r="M643" s="12" t="s">
        <v>1420</v>
      </c>
      <c r="N643" s="12" t="s">
        <v>1420</v>
      </c>
      <c r="O643" s="12" t="s">
        <v>1420</v>
      </c>
      <c r="P643" s="12" t="s">
        <v>1420</v>
      </c>
      <c r="Q643" s="12" t="s">
        <v>1420</v>
      </c>
      <c r="R643" s="12" t="s">
        <v>1420</v>
      </c>
      <c r="S643" s="12" t="s">
        <v>1420</v>
      </c>
      <c r="T643" s="12" t="s">
        <v>1420</v>
      </c>
      <c r="U643" s="12" t="s">
        <v>1420</v>
      </c>
      <c r="V643" s="12" t="s">
        <v>1420</v>
      </c>
      <c r="W643" s="12" t="s">
        <v>1414</v>
      </c>
      <c r="X643" s="12" t="s">
        <v>1420</v>
      </c>
      <c r="Y643" s="12" t="s">
        <v>1420</v>
      </c>
      <c r="Z643" s="12" t="s">
        <v>1420</v>
      </c>
      <c r="AA643" s="12" t="s">
        <v>1414</v>
      </c>
      <c r="AB643" s="12" t="s">
        <v>1420</v>
      </c>
      <c r="AC643" s="12" t="s">
        <v>1414</v>
      </c>
      <c r="AD643" s="12" t="s">
        <v>1420</v>
      </c>
      <c r="AE643" s="12" t="s">
        <v>1420</v>
      </c>
      <c r="AF643" s="12" t="s">
        <v>1420</v>
      </c>
      <c r="AG643" s="12" t="s">
        <v>1420</v>
      </c>
    </row>
    <row r="644" spans="1:33" ht="14.4" x14ac:dyDescent="0.3">
      <c r="A644" s="12" t="s">
        <v>55</v>
      </c>
      <c r="B644" s="12" t="s">
        <v>961</v>
      </c>
      <c r="C644" s="12" t="s">
        <v>960</v>
      </c>
      <c r="D644" s="12" t="s">
        <v>1410</v>
      </c>
      <c r="E644" s="12" t="s">
        <v>2775</v>
      </c>
      <c r="F644" s="12" t="s">
        <v>2776</v>
      </c>
      <c r="G644" s="12" t="s">
        <v>2777</v>
      </c>
      <c r="H644" s="12" t="s">
        <v>1464</v>
      </c>
      <c r="I644" s="12" t="s">
        <v>1420</v>
      </c>
      <c r="J644" s="12" t="s">
        <v>1420</v>
      </c>
      <c r="K644" s="12" t="s">
        <v>1420</v>
      </c>
      <c r="L644" s="12" t="s">
        <v>1420</v>
      </c>
      <c r="M644" s="12" t="s">
        <v>1420</v>
      </c>
      <c r="N644" s="12" t="s">
        <v>1420</v>
      </c>
      <c r="O644" s="12" t="s">
        <v>1420</v>
      </c>
      <c r="P644" s="12" t="s">
        <v>1420</v>
      </c>
      <c r="Q644" s="12" t="s">
        <v>1420</v>
      </c>
      <c r="R644" s="12" t="s">
        <v>1420</v>
      </c>
      <c r="S644" s="12" t="s">
        <v>1420</v>
      </c>
      <c r="T644" s="12" t="s">
        <v>1420</v>
      </c>
      <c r="U644" s="12" t="s">
        <v>1420</v>
      </c>
      <c r="V644" s="12" t="s">
        <v>1420</v>
      </c>
      <c r="W644" s="12" t="s">
        <v>1420</v>
      </c>
      <c r="X644" s="12" t="s">
        <v>1420</v>
      </c>
      <c r="Y644" s="12" t="s">
        <v>1420</v>
      </c>
      <c r="Z644" s="12" t="s">
        <v>1420</v>
      </c>
      <c r="AA644" s="12" t="s">
        <v>1420</v>
      </c>
      <c r="AB644" s="12" t="s">
        <v>1420</v>
      </c>
      <c r="AC644" s="12" t="s">
        <v>1420</v>
      </c>
      <c r="AD644" s="12" t="s">
        <v>1420</v>
      </c>
      <c r="AE644" s="12" t="s">
        <v>1420</v>
      </c>
      <c r="AF644" s="12" t="s">
        <v>1420</v>
      </c>
      <c r="AG644" s="12" t="s">
        <v>1420</v>
      </c>
    </row>
    <row r="645" spans="1:33" ht="14.4" x14ac:dyDescent="0.3">
      <c r="A645" s="12" t="s">
        <v>192</v>
      </c>
      <c r="B645" s="12" t="s">
        <v>191</v>
      </c>
      <c r="C645" s="12" t="s">
        <v>190</v>
      </c>
      <c r="D645" s="12" t="s">
        <v>1410</v>
      </c>
      <c r="E645" s="12" t="s">
        <v>2454</v>
      </c>
      <c r="F645" s="12" t="s">
        <v>2455</v>
      </c>
      <c r="G645" s="12" t="s">
        <v>2456</v>
      </c>
      <c r="H645" s="12" t="s">
        <v>1438</v>
      </c>
      <c r="I645" s="12" t="s">
        <v>1420</v>
      </c>
      <c r="J645" s="12" t="s">
        <v>1420</v>
      </c>
      <c r="K645" s="12" t="s">
        <v>1420</v>
      </c>
      <c r="L645" s="12" t="s">
        <v>1420</v>
      </c>
      <c r="M645" s="12" t="s">
        <v>1420</v>
      </c>
      <c r="N645" s="12" t="s">
        <v>1420</v>
      </c>
      <c r="O645" s="12" t="s">
        <v>1414</v>
      </c>
      <c r="P645" s="12" t="s">
        <v>1414</v>
      </c>
      <c r="Q645" s="12" t="s">
        <v>1420</v>
      </c>
      <c r="R645" s="12" t="s">
        <v>1414</v>
      </c>
      <c r="S645" s="12" t="s">
        <v>1420</v>
      </c>
      <c r="T645" s="12" t="s">
        <v>1420</v>
      </c>
      <c r="U645" s="12" t="s">
        <v>1420</v>
      </c>
      <c r="V645" s="12" t="s">
        <v>1420</v>
      </c>
      <c r="W645" s="12" t="s">
        <v>1414</v>
      </c>
      <c r="X645" s="12" t="s">
        <v>1414</v>
      </c>
      <c r="Y645" s="12" t="s">
        <v>1420</v>
      </c>
      <c r="Z645" s="12" t="s">
        <v>1420</v>
      </c>
      <c r="AA645" s="12" t="s">
        <v>1420</v>
      </c>
      <c r="AB645" s="12" t="s">
        <v>1420</v>
      </c>
      <c r="AC645" s="12" t="s">
        <v>1414</v>
      </c>
      <c r="AD645" s="12" t="s">
        <v>1420</v>
      </c>
      <c r="AE645" s="12" t="s">
        <v>1420</v>
      </c>
      <c r="AF645" s="12" t="s">
        <v>1420</v>
      </c>
      <c r="AG645" s="12" t="s">
        <v>1420</v>
      </c>
    </row>
    <row r="646" spans="1:33" ht="14.4" x14ac:dyDescent="0.3">
      <c r="A646" s="12" t="s">
        <v>192</v>
      </c>
      <c r="B646" s="12" t="s">
        <v>191</v>
      </c>
      <c r="C646" s="12" t="s">
        <v>190</v>
      </c>
      <c r="D646" s="12" t="s">
        <v>1410</v>
      </c>
      <c r="E646" s="12" t="s">
        <v>2462</v>
      </c>
      <c r="F646" s="12" t="s">
        <v>2463</v>
      </c>
      <c r="G646" s="12" t="s">
        <v>2464</v>
      </c>
      <c r="H646" s="12" t="s">
        <v>1424</v>
      </c>
      <c r="I646" s="12" t="s">
        <v>1420</v>
      </c>
      <c r="J646" s="12" t="s">
        <v>1420</v>
      </c>
      <c r="K646" s="12" t="s">
        <v>1420</v>
      </c>
      <c r="L646" s="12" t="s">
        <v>1420</v>
      </c>
      <c r="M646" s="12" t="s">
        <v>1420</v>
      </c>
      <c r="N646" s="12" t="s">
        <v>1420</v>
      </c>
      <c r="O646" s="12" t="s">
        <v>1420</v>
      </c>
      <c r="P646" s="12" t="s">
        <v>1414</v>
      </c>
      <c r="Q646" s="12" t="s">
        <v>1420</v>
      </c>
      <c r="R646" s="12" t="s">
        <v>1414</v>
      </c>
      <c r="S646" s="12" t="s">
        <v>1420</v>
      </c>
      <c r="T646" s="12" t="s">
        <v>1414</v>
      </c>
      <c r="U646" s="12" t="s">
        <v>1420</v>
      </c>
      <c r="V646" s="12" t="s">
        <v>1420</v>
      </c>
      <c r="W646" s="12" t="s">
        <v>1420</v>
      </c>
      <c r="X646" s="12" t="s">
        <v>1420</v>
      </c>
      <c r="Y646" s="12" t="s">
        <v>1420</v>
      </c>
      <c r="Z646" s="12" t="s">
        <v>1420</v>
      </c>
      <c r="AA646" s="12" t="s">
        <v>1420</v>
      </c>
      <c r="AB646" s="12" t="s">
        <v>1420</v>
      </c>
      <c r="AC646" s="12" t="s">
        <v>1420</v>
      </c>
      <c r="AD646" s="12" t="s">
        <v>1420</v>
      </c>
      <c r="AE646" s="12" t="s">
        <v>1420</v>
      </c>
      <c r="AF646" s="12" t="s">
        <v>1420</v>
      </c>
      <c r="AG646" s="12" t="s">
        <v>1420</v>
      </c>
    </row>
    <row r="647" spans="1:33" ht="14.4" x14ac:dyDescent="0.3">
      <c r="A647" s="12" t="s">
        <v>19</v>
      </c>
      <c r="B647" s="12" t="s">
        <v>5909</v>
      </c>
      <c r="C647" s="12" t="s">
        <v>5910</v>
      </c>
      <c r="D647" s="12" t="s">
        <v>1410</v>
      </c>
      <c r="E647" s="12" t="s">
        <v>5911</v>
      </c>
      <c r="F647" s="12" t="s">
        <v>5912</v>
      </c>
      <c r="G647" s="12" t="s">
        <v>4741</v>
      </c>
      <c r="H647" s="12" t="s">
        <v>1464</v>
      </c>
      <c r="I647" s="12" t="s">
        <v>1420</v>
      </c>
      <c r="J647" s="12" t="s">
        <v>1420</v>
      </c>
      <c r="K647" s="12" t="s">
        <v>1420</v>
      </c>
      <c r="L647" s="12" t="s">
        <v>1420</v>
      </c>
      <c r="M647" s="12" t="s">
        <v>1420</v>
      </c>
      <c r="N647" s="12" t="s">
        <v>1420</v>
      </c>
      <c r="O647" s="12" t="s">
        <v>1420</v>
      </c>
      <c r="P647" s="12" t="s">
        <v>1420</v>
      </c>
      <c r="Q647" s="12" t="s">
        <v>1420</v>
      </c>
      <c r="R647" s="12" t="s">
        <v>1420</v>
      </c>
      <c r="S647" s="12" t="s">
        <v>1420</v>
      </c>
      <c r="T647" s="12" t="s">
        <v>1420</v>
      </c>
      <c r="U647" s="12" t="s">
        <v>1420</v>
      </c>
      <c r="V647" s="12" t="s">
        <v>1420</v>
      </c>
      <c r="W647" s="12" t="s">
        <v>1420</v>
      </c>
      <c r="X647" s="12" t="s">
        <v>1420</v>
      </c>
      <c r="Y647" s="12" t="s">
        <v>1420</v>
      </c>
      <c r="Z647" s="12" t="s">
        <v>1420</v>
      </c>
      <c r="AA647" s="12" t="s">
        <v>1420</v>
      </c>
      <c r="AB647" s="12" t="s">
        <v>1420</v>
      </c>
      <c r="AC647" s="12" t="s">
        <v>1420</v>
      </c>
      <c r="AD647" s="12" t="s">
        <v>1420</v>
      </c>
      <c r="AE647" s="12" t="s">
        <v>1420</v>
      </c>
      <c r="AF647" s="12" t="s">
        <v>1420</v>
      </c>
      <c r="AG647" s="12" t="s">
        <v>1420</v>
      </c>
    </row>
    <row r="648" spans="1:33" ht="14.4" x14ac:dyDescent="0.3">
      <c r="A648" s="12" t="s">
        <v>55</v>
      </c>
      <c r="B648" s="12" t="s">
        <v>627</v>
      </c>
      <c r="C648" s="12" t="s">
        <v>626</v>
      </c>
      <c r="D648" s="12" t="s">
        <v>1410</v>
      </c>
      <c r="E648" s="12" t="s">
        <v>1585</v>
      </c>
      <c r="F648" s="12" t="s">
        <v>1586</v>
      </c>
      <c r="G648" s="12" t="s">
        <v>1587</v>
      </c>
      <c r="H648" s="12" t="s">
        <v>1488</v>
      </c>
      <c r="I648" s="12" t="s">
        <v>1420</v>
      </c>
      <c r="J648" s="12" t="s">
        <v>1420</v>
      </c>
      <c r="K648" s="12" t="s">
        <v>1420</v>
      </c>
      <c r="L648" s="12" t="s">
        <v>1420</v>
      </c>
      <c r="M648" s="12" t="s">
        <v>1420</v>
      </c>
      <c r="N648" s="12" t="s">
        <v>1420</v>
      </c>
      <c r="O648" s="12" t="s">
        <v>1420</v>
      </c>
      <c r="P648" s="12" t="s">
        <v>1420</v>
      </c>
      <c r="Q648" s="12" t="s">
        <v>1420</v>
      </c>
      <c r="R648" s="12" t="s">
        <v>1420</v>
      </c>
      <c r="S648" s="12" t="s">
        <v>1420</v>
      </c>
      <c r="T648" s="12" t="s">
        <v>1420</v>
      </c>
      <c r="U648" s="12" t="s">
        <v>1420</v>
      </c>
      <c r="V648" s="12" t="s">
        <v>1420</v>
      </c>
      <c r="W648" s="12" t="s">
        <v>1420</v>
      </c>
      <c r="X648" s="12" t="s">
        <v>1420</v>
      </c>
      <c r="Y648" s="12" t="s">
        <v>1420</v>
      </c>
      <c r="Z648" s="12" t="s">
        <v>1420</v>
      </c>
      <c r="AA648" s="12" t="s">
        <v>1414</v>
      </c>
      <c r="AB648" s="12" t="s">
        <v>1420</v>
      </c>
      <c r="AC648" s="12" t="s">
        <v>1414</v>
      </c>
      <c r="AD648" s="12" t="s">
        <v>1414</v>
      </c>
      <c r="AE648" s="12" t="s">
        <v>1414</v>
      </c>
      <c r="AF648" s="12" t="s">
        <v>1420</v>
      </c>
      <c r="AG648" s="12" t="s">
        <v>1420</v>
      </c>
    </row>
    <row r="649" spans="1:33" ht="14.4" x14ac:dyDescent="0.3">
      <c r="A649" s="12" t="s">
        <v>42</v>
      </c>
      <c r="B649" s="12" t="s">
        <v>5913</v>
      </c>
      <c r="C649" s="12" t="s">
        <v>5914</v>
      </c>
      <c r="D649" s="12" t="s">
        <v>1410</v>
      </c>
      <c r="E649" s="12" t="s">
        <v>5544</v>
      </c>
      <c r="F649" s="12" t="s">
        <v>5915</v>
      </c>
      <c r="G649" s="12" t="s">
        <v>5916</v>
      </c>
      <c r="H649" s="12" t="s">
        <v>1419</v>
      </c>
      <c r="I649" s="12" t="s">
        <v>1420</v>
      </c>
      <c r="J649" s="12" t="s">
        <v>1420</v>
      </c>
      <c r="K649" s="12" t="s">
        <v>1420</v>
      </c>
      <c r="L649" s="12" t="s">
        <v>1420</v>
      </c>
      <c r="M649" s="12" t="s">
        <v>1420</v>
      </c>
      <c r="N649" s="12" t="s">
        <v>1420</v>
      </c>
      <c r="O649" s="12" t="s">
        <v>1414</v>
      </c>
      <c r="P649" s="12" t="s">
        <v>1420</v>
      </c>
      <c r="Q649" s="12" t="s">
        <v>1420</v>
      </c>
      <c r="R649" s="12" t="s">
        <v>1420</v>
      </c>
      <c r="S649" s="12" t="s">
        <v>1420</v>
      </c>
      <c r="T649" s="12" t="s">
        <v>1420</v>
      </c>
      <c r="U649" s="12" t="s">
        <v>1420</v>
      </c>
      <c r="V649" s="12" t="s">
        <v>1420</v>
      </c>
      <c r="W649" s="12" t="s">
        <v>1420</v>
      </c>
      <c r="X649" s="12" t="s">
        <v>1420</v>
      </c>
      <c r="Y649" s="12" t="s">
        <v>1420</v>
      </c>
      <c r="Z649" s="12" t="s">
        <v>1420</v>
      </c>
      <c r="AA649" s="12" t="s">
        <v>1420</v>
      </c>
      <c r="AB649" s="12" t="s">
        <v>1420</v>
      </c>
      <c r="AC649" s="12" t="s">
        <v>1420</v>
      </c>
      <c r="AD649" s="12" t="s">
        <v>1414</v>
      </c>
      <c r="AE649" s="12" t="s">
        <v>1420</v>
      </c>
      <c r="AF649" s="12" t="s">
        <v>1420</v>
      </c>
      <c r="AG649" s="12" t="s">
        <v>1420</v>
      </c>
    </row>
    <row r="650" spans="1:33" ht="14.4" x14ac:dyDescent="0.3">
      <c r="A650" s="12" t="s">
        <v>49</v>
      </c>
      <c r="B650" s="12" t="s">
        <v>1122</v>
      </c>
      <c r="C650" s="12" t="s">
        <v>1121</v>
      </c>
      <c r="D650" s="12" t="s">
        <v>1410</v>
      </c>
      <c r="E650" s="12" t="s">
        <v>1742</v>
      </c>
      <c r="F650" s="12" t="s">
        <v>1762</v>
      </c>
      <c r="G650" s="12" t="s">
        <v>1763</v>
      </c>
      <c r="H650" s="12" t="s">
        <v>1419</v>
      </c>
      <c r="I650" s="12" t="s">
        <v>1420</v>
      </c>
      <c r="J650" s="12" t="s">
        <v>1420</v>
      </c>
      <c r="K650" s="12" t="s">
        <v>1420</v>
      </c>
      <c r="L650" s="12" t="s">
        <v>1420</v>
      </c>
      <c r="M650" s="12" t="s">
        <v>1420</v>
      </c>
      <c r="N650" s="12" t="s">
        <v>1420</v>
      </c>
      <c r="O650" s="12" t="s">
        <v>1420</v>
      </c>
      <c r="P650" s="12" t="s">
        <v>1420</v>
      </c>
      <c r="Q650" s="12" t="s">
        <v>1420</v>
      </c>
      <c r="R650" s="12" t="s">
        <v>1420</v>
      </c>
      <c r="S650" s="12" t="s">
        <v>1420</v>
      </c>
      <c r="T650" s="12" t="s">
        <v>1420</v>
      </c>
      <c r="U650" s="12" t="s">
        <v>1414</v>
      </c>
      <c r="V650" s="12" t="s">
        <v>1420</v>
      </c>
      <c r="W650" s="12" t="s">
        <v>1414</v>
      </c>
      <c r="X650" s="12" t="s">
        <v>1420</v>
      </c>
      <c r="Y650" s="12" t="s">
        <v>1420</v>
      </c>
      <c r="Z650" s="12" t="s">
        <v>1420</v>
      </c>
      <c r="AA650" s="12" t="s">
        <v>1420</v>
      </c>
      <c r="AB650" s="12" t="s">
        <v>1420</v>
      </c>
      <c r="AC650" s="12" t="s">
        <v>1420</v>
      </c>
      <c r="AD650" s="12" t="s">
        <v>1420</v>
      </c>
      <c r="AE650" s="12" t="s">
        <v>1420</v>
      </c>
      <c r="AF650" s="12" t="s">
        <v>1420</v>
      </c>
      <c r="AG650" s="12" t="s">
        <v>1420</v>
      </c>
    </row>
    <row r="651" spans="1:33" ht="14.4" x14ac:dyDescent="0.3">
      <c r="A651" s="12" t="s">
        <v>31</v>
      </c>
      <c r="B651" s="12" t="s">
        <v>1124</v>
      </c>
      <c r="C651" s="12" t="s">
        <v>1123</v>
      </c>
      <c r="D651" s="12" t="s">
        <v>1410</v>
      </c>
      <c r="E651" s="12" t="s">
        <v>1461</v>
      </c>
      <c r="F651" s="12" t="s">
        <v>1462</v>
      </c>
      <c r="G651" s="12" t="s">
        <v>1463</v>
      </c>
      <c r="H651" s="12" t="s">
        <v>1464</v>
      </c>
      <c r="I651" s="12" t="s">
        <v>1420</v>
      </c>
      <c r="J651" s="12" t="s">
        <v>1420</v>
      </c>
      <c r="K651" s="12" t="s">
        <v>1420</v>
      </c>
      <c r="L651" s="12" t="s">
        <v>1420</v>
      </c>
      <c r="M651" s="12" t="s">
        <v>1420</v>
      </c>
      <c r="N651" s="12" t="s">
        <v>1420</v>
      </c>
      <c r="O651" s="12" t="s">
        <v>1420</v>
      </c>
      <c r="P651" s="12" t="s">
        <v>1420</v>
      </c>
      <c r="Q651" s="12" t="s">
        <v>1420</v>
      </c>
      <c r="R651" s="12" t="s">
        <v>1420</v>
      </c>
      <c r="S651" s="12" t="s">
        <v>1420</v>
      </c>
      <c r="T651" s="12" t="s">
        <v>1420</v>
      </c>
      <c r="U651" s="12" t="s">
        <v>1420</v>
      </c>
      <c r="V651" s="12" t="s">
        <v>1420</v>
      </c>
      <c r="W651" s="12" t="s">
        <v>1420</v>
      </c>
      <c r="X651" s="12" t="s">
        <v>1420</v>
      </c>
      <c r="Y651" s="12" t="s">
        <v>1420</v>
      </c>
      <c r="Z651" s="12" t="s">
        <v>1420</v>
      </c>
      <c r="AA651" s="12" t="s">
        <v>1420</v>
      </c>
      <c r="AB651" s="12" t="s">
        <v>1420</v>
      </c>
      <c r="AC651" s="12" t="s">
        <v>1420</v>
      </c>
      <c r="AD651" s="12" t="s">
        <v>1420</v>
      </c>
      <c r="AE651" s="12" t="s">
        <v>1420</v>
      </c>
      <c r="AF651" s="12" t="s">
        <v>1420</v>
      </c>
      <c r="AG651" s="12" t="s">
        <v>1420</v>
      </c>
    </row>
    <row r="652" spans="1:33" ht="14.4" x14ac:dyDescent="0.3">
      <c r="A652" s="12" t="s">
        <v>11</v>
      </c>
      <c r="B652" s="12" t="s">
        <v>394</v>
      </c>
      <c r="C652" s="12" t="s">
        <v>393</v>
      </c>
      <c r="D652" s="12" t="s">
        <v>1410</v>
      </c>
      <c r="E652" s="12" t="s">
        <v>2006</v>
      </c>
      <c r="F652" s="12" t="s">
        <v>2008</v>
      </c>
      <c r="G652" s="12" t="s">
        <v>2009</v>
      </c>
      <c r="H652" s="12" t="s">
        <v>1488</v>
      </c>
      <c r="I652" s="12" t="s">
        <v>1420</v>
      </c>
      <c r="J652" s="12" t="s">
        <v>1420</v>
      </c>
      <c r="K652" s="12" t="s">
        <v>1420</v>
      </c>
      <c r="L652" s="12" t="s">
        <v>1420</v>
      </c>
      <c r="M652" s="12" t="s">
        <v>1420</v>
      </c>
      <c r="N652" s="12" t="s">
        <v>1420</v>
      </c>
      <c r="O652" s="12" t="s">
        <v>1420</v>
      </c>
      <c r="P652" s="12" t="s">
        <v>1420</v>
      </c>
      <c r="Q652" s="12" t="s">
        <v>1420</v>
      </c>
      <c r="R652" s="12" t="s">
        <v>1420</v>
      </c>
      <c r="S652" s="12" t="s">
        <v>1420</v>
      </c>
      <c r="T652" s="12" t="s">
        <v>1420</v>
      </c>
      <c r="U652" s="12" t="s">
        <v>1420</v>
      </c>
      <c r="V652" s="12" t="s">
        <v>1420</v>
      </c>
      <c r="W652" s="12" t="s">
        <v>1420</v>
      </c>
      <c r="X652" s="12" t="s">
        <v>1414</v>
      </c>
      <c r="Y652" s="12" t="s">
        <v>1420</v>
      </c>
      <c r="Z652" s="12" t="s">
        <v>1420</v>
      </c>
      <c r="AA652" s="12" t="s">
        <v>1414</v>
      </c>
      <c r="AB652" s="12" t="s">
        <v>1420</v>
      </c>
      <c r="AC652" s="12" t="s">
        <v>1420</v>
      </c>
      <c r="AD652" s="12" t="s">
        <v>1420</v>
      </c>
      <c r="AE652" s="12" t="s">
        <v>1414</v>
      </c>
      <c r="AF652" s="12" t="s">
        <v>1420</v>
      </c>
      <c r="AG652" s="12" t="s">
        <v>1414</v>
      </c>
    </row>
    <row r="653" spans="1:33" ht="14.4" x14ac:dyDescent="0.3">
      <c r="A653" s="12" t="s">
        <v>55</v>
      </c>
      <c r="B653" s="12" t="s">
        <v>194</v>
      </c>
      <c r="C653" s="12" t="s">
        <v>193</v>
      </c>
      <c r="D653" s="12" t="s">
        <v>1410</v>
      </c>
      <c r="E653" s="12" t="s">
        <v>2479</v>
      </c>
      <c r="F653" s="12" t="s">
        <v>2480</v>
      </c>
      <c r="G653" s="12" t="s">
        <v>2481</v>
      </c>
      <c r="H653" s="12" t="s">
        <v>1419</v>
      </c>
      <c r="I653" s="12" t="s">
        <v>1420</v>
      </c>
      <c r="J653" s="12" t="s">
        <v>1414</v>
      </c>
      <c r="K653" s="12" t="s">
        <v>1420</v>
      </c>
      <c r="L653" s="12" t="s">
        <v>1420</v>
      </c>
      <c r="M653" s="12" t="s">
        <v>1420</v>
      </c>
      <c r="N653" s="12" t="s">
        <v>1420</v>
      </c>
      <c r="O653" s="12" t="s">
        <v>1420</v>
      </c>
      <c r="P653" s="12" t="s">
        <v>1420</v>
      </c>
      <c r="Q653" s="12" t="s">
        <v>1420</v>
      </c>
      <c r="R653" s="12" t="s">
        <v>1420</v>
      </c>
      <c r="S653" s="12" t="s">
        <v>1420</v>
      </c>
      <c r="T653" s="12" t="s">
        <v>1420</v>
      </c>
      <c r="U653" s="12" t="s">
        <v>1420</v>
      </c>
      <c r="V653" s="12" t="s">
        <v>1420</v>
      </c>
      <c r="W653" s="12" t="s">
        <v>1420</v>
      </c>
      <c r="X653" s="12" t="s">
        <v>1420</v>
      </c>
      <c r="Y653" s="12" t="s">
        <v>1420</v>
      </c>
      <c r="Z653" s="12" t="s">
        <v>1420</v>
      </c>
      <c r="AA653" s="12" t="s">
        <v>1420</v>
      </c>
      <c r="AB653" s="12" t="s">
        <v>1420</v>
      </c>
      <c r="AC653" s="12" t="s">
        <v>1420</v>
      </c>
      <c r="AD653" s="12" t="s">
        <v>1414</v>
      </c>
      <c r="AE653" s="12" t="s">
        <v>1420</v>
      </c>
      <c r="AF653" s="12" t="s">
        <v>1420</v>
      </c>
      <c r="AG653" s="12" t="s">
        <v>1420</v>
      </c>
    </row>
    <row r="654" spans="1:33" ht="14.4" x14ac:dyDescent="0.3">
      <c r="A654" s="12" t="s">
        <v>5532</v>
      </c>
      <c r="B654" s="12" t="s">
        <v>194</v>
      </c>
      <c r="C654" s="12" t="s">
        <v>5917</v>
      </c>
      <c r="D654" s="12" t="s">
        <v>1410</v>
      </c>
      <c r="E654" s="12" t="s">
        <v>5918</v>
      </c>
      <c r="F654" s="12" t="s">
        <v>5919</v>
      </c>
      <c r="G654" s="12" t="s">
        <v>2236</v>
      </c>
      <c r="H654" s="12" t="s">
        <v>1419</v>
      </c>
      <c r="I654" s="12" t="s">
        <v>1420</v>
      </c>
      <c r="J654" s="12" t="s">
        <v>1414</v>
      </c>
      <c r="K654" s="12" t="s">
        <v>1420</v>
      </c>
      <c r="L654" s="12" t="s">
        <v>1420</v>
      </c>
      <c r="M654" s="12" t="s">
        <v>1420</v>
      </c>
      <c r="N654" s="12" t="s">
        <v>1420</v>
      </c>
      <c r="O654" s="12" t="s">
        <v>1420</v>
      </c>
      <c r="P654" s="12" t="s">
        <v>1420</v>
      </c>
      <c r="Q654" s="12" t="s">
        <v>1420</v>
      </c>
      <c r="R654" s="12" t="s">
        <v>1420</v>
      </c>
      <c r="S654" s="12" t="s">
        <v>1420</v>
      </c>
      <c r="T654" s="12" t="s">
        <v>1420</v>
      </c>
      <c r="U654" s="12" t="s">
        <v>1420</v>
      </c>
      <c r="V654" s="12" t="s">
        <v>1420</v>
      </c>
      <c r="W654" s="12" t="s">
        <v>1420</v>
      </c>
      <c r="X654" s="12" t="s">
        <v>1414</v>
      </c>
      <c r="Y654" s="12" t="s">
        <v>1420</v>
      </c>
      <c r="Z654" s="12" t="s">
        <v>1420</v>
      </c>
      <c r="AA654" s="12" t="s">
        <v>1420</v>
      </c>
      <c r="AB654" s="12" t="s">
        <v>1420</v>
      </c>
      <c r="AC654" s="12" t="s">
        <v>1420</v>
      </c>
      <c r="AD654" s="12" t="s">
        <v>1420</v>
      </c>
      <c r="AE654" s="12" t="s">
        <v>1420</v>
      </c>
      <c r="AF654" s="12" t="s">
        <v>1420</v>
      </c>
      <c r="AG654" s="12" t="s">
        <v>1420</v>
      </c>
    </row>
    <row r="655" spans="1:33" ht="14.4" x14ac:dyDescent="0.3">
      <c r="A655" s="12" t="s">
        <v>1127</v>
      </c>
      <c r="B655" s="12" t="s">
        <v>1126</v>
      </c>
      <c r="C655" s="12" t="s">
        <v>1125</v>
      </c>
      <c r="D655" s="12" t="s">
        <v>1410</v>
      </c>
      <c r="E655" s="12" t="s">
        <v>1834</v>
      </c>
      <c r="F655" s="12" t="s">
        <v>1835</v>
      </c>
      <c r="G655" s="12" t="s">
        <v>1836</v>
      </c>
      <c r="H655" s="12" t="s">
        <v>1452</v>
      </c>
      <c r="I655" s="12" t="s">
        <v>1420</v>
      </c>
      <c r="J655" s="12" t="s">
        <v>1420</v>
      </c>
      <c r="K655" s="12" t="s">
        <v>1420</v>
      </c>
      <c r="L655" s="12" t="s">
        <v>1420</v>
      </c>
      <c r="M655" s="12" t="s">
        <v>1420</v>
      </c>
      <c r="N655" s="12" t="s">
        <v>1420</v>
      </c>
      <c r="O655" s="12" t="s">
        <v>1420</v>
      </c>
      <c r="P655" s="12" t="s">
        <v>1414</v>
      </c>
      <c r="Q655" s="12" t="s">
        <v>1420</v>
      </c>
      <c r="R655" s="12" t="s">
        <v>1420</v>
      </c>
      <c r="S655" s="12" t="s">
        <v>1420</v>
      </c>
      <c r="T655" s="12" t="s">
        <v>1420</v>
      </c>
      <c r="U655" s="12" t="s">
        <v>1420</v>
      </c>
      <c r="V655" s="12" t="s">
        <v>1420</v>
      </c>
      <c r="W655" s="12" t="s">
        <v>1420</v>
      </c>
      <c r="X655" s="12" t="s">
        <v>1420</v>
      </c>
      <c r="Y655" s="12" t="s">
        <v>1420</v>
      </c>
      <c r="Z655" s="12" t="s">
        <v>1420</v>
      </c>
      <c r="AA655" s="12" t="s">
        <v>1420</v>
      </c>
      <c r="AB655" s="12" t="s">
        <v>1420</v>
      </c>
      <c r="AC655" s="12" t="s">
        <v>1420</v>
      </c>
      <c r="AD655" s="12" t="s">
        <v>1420</v>
      </c>
      <c r="AE655" s="12" t="s">
        <v>1420</v>
      </c>
      <c r="AF655" s="12" t="s">
        <v>1420</v>
      </c>
      <c r="AG655" s="12" t="s">
        <v>1420</v>
      </c>
    </row>
    <row r="656" spans="1:33" ht="14.4" x14ac:dyDescent="0.3">
      <c r="A656" s="12" t="s">
        <v>42</v>
      </c>
      <c r="B656" s="12" t="s">
        <v>629</v>
      </c>
      <c r="C656" s="12" t="s">
        <v>628</v>
      </c>
      <c r="D656" s="12" t="s">
        <v>1410</v>
      </c>
      <c r="E656" s="12" t="s">
        <v>2643</v>
      </c>
      <c r="F656" s="12" t="s">
        <v>2644</v>
      </c>
      <c r="G656" s="12" t="s">
        <v>2645</v>
      </c>
      <c r="H656" s="12" t="s">
        <v>1452</v>
      </c>
      <c r="I656" s="12" t="s">
        <v>1420</v>
      </c>
      <c r="J656" s="12" t="s">
        <v>1414</v>
      </c>
      <c r="K656" s="12" t="s">
        <v>1420</v>
      </c>
      <c r="L656" s="12" t="s">
        <v>1420</v>
      </c>
      <c r="M656" s="12" t="s">
        <v>1420</v>
      </c>
      <c r="N656" s="12" t="s">
        <v>1420</v>
      </c>
      <c r="O656" s="12" t="s">
        <v>1420</v>
      </c>
      <c r="P656" s="12" t="s">
        <v>1420</v>
      </c>
      <c r="Q656" s="12" t="s">
        <v>1420</v>
      </c>
      <c r="R656" s="12" t="s">
        <v>1420</v>
      </c>
      <c r="S656" s="12" t="s">
        <v>1420</v>
      </c>
      <c r="T656" s="12" t="s">
        <v>1420</v>
      </c>
      <c r="U656" s="12" t="s">
        <v>1420</v>
      </c>
      <c r="V656" s="12" t="s">
        <v>1420</v>
      </c>
      <c r="W656" s="12" t="s">
        <v>1420</v>
      </c>
      <c r="X656" s="12" t="s">
        <v>1420</v>
      </c>
      <c r="Y656" s="12" t="s">
        <v>1420</v>
      </c>
      <c r="Z656" s="12" t="s">
        <v>1420</v>
      </c>
      <c r="AA656" s="12" t="s">
        <v>1420</v>
      </c>
      <c r="AB656" s="12" t="s">
        <v>1420</v>
      </c>
      <c r="AC656" s="12" t="s">
        <v>1420</v>
      </c>
      <c r="AD656" s="12" t="s">
        <v>1420</v>
      </c>
      <c r="AE656" s="12" t="s">
        <v>1420</v>
      </c>
      <c r="AF656" s="12" t="s">
        <v>1420</v>
      </c>
      <c r="AG656" s="12" t="s">
        <v>1420</v>
      </c>
    </row>
    <row r="657" spans="1:33" ht="14.4" x14ac:dyDescent="0.3">
      <c r="A657" s="12" t="s">
        <v>8</v>
      </c>
      <c r="B657" s="12" t="s">
        <v>631</v>
      </c>
      <c r="C657" s="12" t="s">
        <v>630</v>
      </c>
      <c r="D657" s="12" t="s">
        <v>1410</v>
      </c>
      <c r="E657" s="12" t="s">
        <v>2250</v>
      </c>
      <c r="F657" s="12" t="s">
        <v>2251</v>
      </c>
      <c r="G657" s="12" t="s">
        <v>2219</v>
      </c>
      <c r="H657" s="12" t="s">
        <v>1488</v>
      </c>
      <c r="I657" s="12" t="s">
        <v>1420</v>
      </c>
      <c r="J657" s="12" t="s">
        <v>1420</v>
      </c>
      <c r="K657" s="12" t="s">
        <v>1420</v>
      </c>
      <c r="L657" s="12" t="s">
        <v>1420</v>
      </c>
      <c r="M657" s="12" t="s">
        <v>1420</v>
      </c>
      <c r="N657" s="12" t="s">
        <v>1420</v>
      </c>
      <c r="O657" s="12" t="s">
        <v>1420</v>
      </c>
      <c r="P657" s="12" t="s">
        <v>1420</v>
      </c>
      <c r="Q657" s="12" t="s">
        <v>1420</v>
      </c>
      <c r="R657" s="12" t="s">
        <v>1420</v>
      </c>
      <c r="S657" s="12" t="s">
        <v>1414</v>
      </c>
      <c r="T657" s="12" t="s">
        <v>1420</v>
      </c>
      <c r="U657" s="12" t="s">
        <v>1420</v>
      </c>
      <c r="V657" s="12" t="s">
        <v>1420</v>
      </c>
      <c r="W657" s="12" t="s">
        <v>1420</v>
      </c>
      <c r="X657" s="12" t="s">
        <v>1420</v>
      </c>
      <c r="Y657" s="12" t="s">
        <v>1420</v>
      </c>
      <c r="Z657" s="12" t="s">
        <v>1420</v>
      </c>
      <c r="AA657" s="12" t="s">
        <v>1420</v>
      </c>
      <c r="AB657" s="12" t="s">
        <v>1420</v>
      </c>
      <c r="AC657" s="12" t="s">
        <v>1414</v>
      </c>
      <c r="AD657" s="12" t="s">
        <v>1414</v>
      </c>
      <c r="AE657" s="12" t="s">
        <v>1414</v>
      </c>
      <c r="AF657" s="12" t="s">
        <v>1420</v>
      </c>
      <c r="AG657" s="12" t="s">
        <v>1420</v>
      </c>
    </row>
    <row r="658" spans="1:33" ht="14.4" x14ac:dyDescent="0.3">
      <c r="A658" s="12" t="s">
        <v>634</v>
      </c>
      <c r="B658" s="12" t="s">
        <v>633</v>
      </c>
      <c r="C658" s="12" t="s">
        <v>632</v>
      </c>
      <c r="D658" s="12" t="s">
        <v>1410</v>
      </c>
      <c r="E658" s="12" t="s">
        <v>2640</v>
      </c>
      <c r="F658" s="12" t="s">
        <v>2641</v>
      </c>
      <c r="G658" s="12" t="s">
        <v>2642</v>
      </c>
      <c r="H658" s="12" t="s">
        <v>1419</v>
      </c>
      <c r="I658" s="12" t="s">
        <v>1420</v>
      </c>
      <c r="J658" s="12" t="s">
        <v>1414</v>
      </c>
      <c r="K658" s="12" t="s">
        <v>1420</v>
      </c>
      <c r="L658" s="12" t="s">
        <v>1420</v>
      </c>
      <c r="M658" s="12" t="s">
        <v>1420</v>
      </c>
      <c r="N658" s="12" t="s">
        <v>1420</v>
      </c>
      <c r="O658" s="12" t="s">
        <v>1420</v>
      </c>
      <c r="P658" s="12" t="s">
        <v>1420</v>
      </c>
      <c r="Q658" s="12" t="s">
        <v>1420</v>
      </c>
      <c r="R658" s="12" t="s">
        <v>1420</v>
      </c>
      <c r="S658" s="12" t="s">
        <v>1420</v>
      </c>
      <c r="T658" s="12" t="s">
        <v>1420</v>
      </c>
      <c r="U658" s="12" t="s">
        <v>1420</v>
      </c>
      <c r="V658" s="12" t="s">
        <v>1420</v>
      </c>
      <c r="W658" s="12" t="s">
        <v>1420</v>
      </c>
      <c r="X658" s="12" t="s">
        <v>1420</v>
      </c>
      <c r="Y658" s="12" t="s">
        <v>1420</v>
      </c>
      <c r="Z658" s="12" t="s">
        <v>1420</v>
      </c>
      <c r="AA658" s="12" t="s">
        <v>1420</v>
      </c>
      <c r="AB658" s="12" t="s">
        <v>1420</v>
      </c>
      <c r="AC658" s="12" t="s">
        <v>1420</v>
      </c>
      <c r="AD658" s="12" t="s">
        <v>1414</v>
      </c>
      <c r="AE658" s="12" t="s">
        <v>1420</v>
      </c>
      <c r="AF658" s="12" t="s">
        <v>1420</v>
      </c>
      <c r="AG658" s="12" t="s">
        <v>1420</v>
      </c>
    </row>
    <row r="659" spans="1:33" ht="14.4" x14ac:dyDescent="0.3">
      <c r="A659" s="12" t="s">
        <v>8</v>
      </c>
      <c r="B659" s="12" t="s">
        <v>1129</v>
      </c>
      <c r="C659" s="12" t="s">
        <v>1128</v>
      </c>
      <c r="D659" s="12" t="s">
        <v>1410</v>
      </c>
      <c r="E659" s="12" t="s">
        <v>3091</v>
      </c>
      <c r="F659" s="12" t="s">
        <v>3092</v>
      </c>
      <c r="G659" s="12" t="s">
        <v>3093</v>
      </c>
      <c r="H659" s="12" t="s">
        <v>1452</v>
      </c>
      <c r="I659" s="12" t="s">
        <v>1420</v>
      </c>
      <c r="J659" s="12" t="s">
        <v>1420</v>
      </c>
      <c r="K659" s="12" t="s">
        <v>1420</v>
      </c>
      <c r="L659" s="12" t="s">
        <v>1420</v>
      </c>
      <c r="M659" s="12" t="s">
        <v>1420</v>
      </c>
      <c r="N659" s="12" t="s">
        <v>1420</v>
      </c>
      <c r="O659" s="12" t="s">
        <v>1420</v>
      </c>
      <c r="P659" s="12" t="s">
        <v>1420</v>
      </c>
      <c r="Q659" s="12" t="s">
        <v>1420</v>
      </c>
      <c r="R659" s="12" t="s">
        <v>1420</v>
      </c>
      <c r="S659" s="12" t="s">
        <v>1420</v>
      </c>
      <c r="T659" s="12" t="s">
        <v>1420</v>
      </c>
      <c r="U659" s="12" t="s">
        <v>1420</v>
      </c>
      <c r="V659" s="12" t="s">
        <v>1420</v>
      </c>
      <c r="W659" s="12" t="s">
        <v>1420</v>
      </c>
      <c r="X659" s="12" t="s">
        <v>1420</v>
      </c>
      <c r="Y659" s="12" t="s">
        <v>1420</v>
      </c>
      <c r="Z659" s="12" t="s">
        <v>1420</v>
      </c>
      <c r="AA659" s="12" t="s">
        <v>1420</v>
      </c>
      <c r="AB659" s="12" t="s">
        <v>1414</v>
      </c>
      <c r="AC659" s="12" t="s">
        <v>1420</v>
      </c>
      <c r="AD659" s="12" t="s">
        <v>1420</v>
      </c>
      <c r="AE659" s="12" t="s">
        <v>1420</v>
      </c>
      <c r="AF659" s="12" t="s">
        <v>1420</v>
      </c>
      <c r="AG659" s="12" t="s">
        <v>1420</v>
      </c>
    </row>
    <row r="660" spans="1:33" ht="14.4" x14ac:dyDescent="0.3">
      <c r="A660" s="12" t="s">
        <v>31</v>
      </c>
      <c r="B660" s="12" t="s">
        <v>636</v>
      </c>
      <c r="C660" s="12" t="s">
        <v>635</v>
      </c>
      <c r="D660" s="12" t="s">
        <v>1410</v>
      </c>
      <c r="E660" s="12" t="s">
        <v>2226</v>
      </c>
      <c r="F660" s="12" t="s">
        <v>2227</v>
      </c>
      <c r="G660" s="12" t="s">
        <v>1907</v>
      </c>
      <c r="H660" s="12" t="s">
        <v>1606</v>
      </c>
      <c r="I660" s="12" t="s">
        <v>1420</v>
      </c>
      <c r="J660" s="12" t="s">
        <v>1420</v>
      </c>
      <c r="K660" s="12" t="s">
        <v>1420</v>
      </c>
      <c r="L660" s="12" t="s">
        <v>1420</v>
      </c>
      <c r="M660" s="12" t="s">
        <v>1420</v>
      </c>
      <c r="N660" s="12" t="s">
        <v>1420</v>
      </c>
      <c r="O660" s="12" t="s">
        <v>1420</v>
      </c>
      <c r="P660" s="12" t="s">
        <v>1420</v>
      </c>
      <c r="Q660" s="12" t="s">
        <v>1420</v>
      </c>
      <c r="R660" s="12" t="s">
        <v>1414</v>
      </c>
      <c r="S660" s="12" t="s">
        <v>1414</v>
      </c>
      <c r="T660" s="12" t="s">
        <v>1414</v>
      </c>
      <c r="U660" s="12" t="s">
        <v>1414</v>
      </c>
      <c r="V660" s="12" t="s">
        <v>1420</v>
      </c>
      <c r="W660" s="12" t="s">
        <v>1420</v>
      </c>
      <c r="X660" s="12" t="s">
        <v>1420</v>
      </c>
      <c r="Y660" s="12" t="s">
        <v>1414</v>
      </c>
      <c r="Z660" s="12" t="s">
        <v>1414</v>
      </c>
      <c r="AA660" s="12" t="s">
        <v>1420</v>
      </c>
      <c r="AB660" s="12" t="s">
        <v>1414</v>
      </c>
      <c r="AC660" s="12" t="s">
        <v>1420</v>
      </c>
      <c r="AD660" s="12" t="s">
        <v>1420</v>
      </c>
      <c r="AE660" s="12" t="s">
        <v>1414</v>
      </c>
      <c r="AF660" s="12" t="s">
        <v>1420</v>
      </c>
      <c r="AG660" s="12" t="s">
        <v>1420</v>
      </c>
    </row>
    <row r="661" spans="1:33" ht="14.4" x14ac:dyDescent="0.3">
      <c r="A661" s="12" t="s">
        <v>55</v>
      </c>
      <c r="B661" s="12" t="s">
        <v>5920</v>
      </c>
      <c r="C661" s="12" t="s">
        <v>5921</v>
      </c>
      <c r="D661" s="12" t="s">
        <v>1410</v>
      </c>
      <c r="E661" s="12" t="s">
        <v>5922</v>
      </c>
      <c r="F661" s="12" t="s">
        <v>5923</v>
      </c>
      <c r="G661" s="12" t="s">
        <v>5924</v>
      </c>
      <c r="H661" s="12" t="s">
        <v>1428</v>
      </c>
      <c r="I661" s="12" t="s">
        <v>1420</v>
      </c>
      <c r="J661" s="12" t="s">
        <v>1420</v>
      </c>
      <c r="K661" s="12" t="s">
        <v>1420</v>
      </c>
      <c r="L661" s="12" t="s">
        <v>1420</v>
      </c>
      <c r="M661" s="12" t="s">
        <v>1420</v>
      </c>
      <c r="N661" s="12" t="s">
        <v>1420</v>
      </c>
      <c r="O661" s="12" t="s">
        <v>1420</v>
      </c>
      <c r="P661" s="12" t="s">
        <v>1420</v>
      </c>
      <c r="Q661" s="12" t="s">
        <v>1420</v>
      </c>
      <c r="R661" s="12" t="s">
        <v>1420</v>
      </c>
      <c r="S661" s="12" t="s">
        <v>1414</v>
      </c>
      <c r="T661" s="12" t="s">
        <v>1420</v>
      </c>
      <c r="U661" s="12" t="s">
        <v>1420</v>
      </c>
      <c r="V661" s="12" t="s">
        <v>1420</v>
      </c>
      <c r="W661" s="12" t="s">
        <v>1414</v>
      </c>
      <c r="X661" s="12" t="s">
        <v>1420</v>
      </c>
      <c r="Y661" s="12" t="s">
        <v>1414</v>
      </c>
      <c r="Z661" s="12" t="s">
        <v>1414</v>
      </c>
      <c r="AA661" s="12" t="s">
        <v>1420</v>
      </c>
      <c r="AB661" s="12" t="s">
        <v>1420</v>
      </c>
      <c r="AC661" s="12" t="s">
        <v>1414</v>
      </c>
      <c r="AD661" s="12" t="s">
        <v>1420</v>
      </c>
      <c r="AE661" s="12" t="s">
        <v>1420</v>
      </c>
      <c r="AF661" s="12" t="s">
        <v>1414</v>
      </c>
      <c r="AG661" s="12" t="s">
        <v>1414</v>
      </c>
    </row>
    <row r="662" spans="1:33" ht="14.4" x14ac:dyDescent="0.3">
      <c r="A662" s="12" t="s">
        <v>31</v>
      </c>
      <c r="B662" s="12" t="s">
        <v>1249</v>
      </c>
      <c r="C662" s="12" t="s">
        <v>1248</v>
      </c>
      <c r="D662" s="12" t="s">
        <v>1410</v>
      </c>
      <c r="E662" s="12" t="s">
        <v>3072</v>
      </c>
      <c r="F662" s="12" t="s">
        <v>3073</v>
      </c>
      <c r="G662" s="12" t="s">
        <v>3074</v>
      </c>
      <c r="H662" s="12" t="s">
        <v>1464</v>
      </c>
      <c r="I662" s="12" t="s">
        <v>1420</v>
      </c>
      <c r="J662" s="12" t="s">
        <v>1420</v>
      </c>
      <c r="K662" s="12" t="s">
        <v>1420</v>
      </c>
      <c r="L662" s="12" t="s">
        <v>1420</v>
      </c>
      <c r="M662" s="12" t="s">
        <v>1420</v>
      </c>
      <c r="N662" s="12" t="s">
        <v>1420</v>
      </c>
      <c r="O662" s="12" t="s">
        <v>1420</v>
      </c>
      <c r="P662" s="12" t="s">
        <v>1420</v>
      </c>
      <c r="Q662" s="12" t="s">
        <v>1420</v>
      </c>
      <c r="R662" s="12" t="s">
        <v>1420</v>
      </c>
      <c r="S662" s="12" t="s">
        <v>1420</v>
      </c>
      <c r="T662" s="12" t="s">
        <v>1420</v>
      </c>
      <c r="U662" s="12" t="s">
        <v>1420</v>
      </c>
      <c r="V662" s="12" t="s">
        <v>1420</v>
      </c>
      <c r="W662" s="12" t="s">
        <v>1420</v>
      </c>
      <c r="X662" s="12" t="s">
        <v>1420</v>
      </c>
      <c r="Y662" s="12" t="s">
        <v>1420</v>
      </c>
      <c r="Z662" s="12" t="s">
        <v>1420</v>
      </c>
      <c r="AA662" s="12" t="s">
        <v>1420</v>
      </c>
      <c r="AB662" s="12" t="s">
        <v>1420</v>
      </c>
      <c r="AC662" s="12" t="s">
        <v>1420</v>
      </c>
      <c r="AD662" s="12" t="s">
        <v>1420</v>
      </c>
      <c r="AE662" s="12" t="s">
        <v>1420</v>
      </c>
      <c r="AF662" s="12" t="s">
        <v>1420</v>
      </c>
      <c r="AG662" s="12" t="s">
        <v>1420</v>
      </c>
    </row>
    <row r="663" spans="1:33" ht="14.4" x14ac:dyDescent="0.3">
      <c r="A663" s="12" t="s">
        <v>8</v>
      </c>
      <c r="B663" s="12" t="s">
        <v>963</v>
      </c>
      <c r="C663" s="12" t="s">
        <v>962</v>
      </c>
      <c r="D663" s="12" t="s">
        <v>1410</v>
      </c>
      <c r="E663" s="12" t="s">
        <v>2289</v>
      </c>
      <c r="F663" s="12" t="s">
        <v>2290</v>
      </c>
      <c r="G663" s="12" t="s">
        <v>2291</v>
      </c>
      <c r="H663" s="12" t="s">
        <v>1488</v>
      </c>
      <c r="I663" s="12" t="s">
        <v>1420</v>
      </c>
      <c r="J663" s="12" t="s">
        <v>1420</v>
      </c>
      <c r="K663" s="12" t="s">
        <v>1420</v>
      </c>
      <c r="L663" s="12" t="s">
        <v>1420</v>
      </c>
      <c r="M663" s="12" t="s">
        <v>1420</v>
      </c>
      <c r="N663" s="12" t="s">
        <v>1420</v>
      </c>
      <c r="O663" s="12" t="s">
        <v>1420</v>
      </c>
      <c r="P663" s="12" t="s">
        <v>1420</v>
      </c>
      <c r="Q663" s="12" t="s">
        <v>1420</v>
      </c>
      <c r="R663" s="12" t="s">
        <v>1420</v>
      </c>
      <c r="S663" s="12" t="s">
        <v>1414</v>
      </c>
      <c r="T663" s="12" t="s">
        <v>1420</v>
      </c>
      <c r="U663" s="12" t="s">
        <v>1420</v>
      </c>
      <c r="V663" s="12" t="s">
        <v>1420</v>
      </c>
      <c r="W663" s="12" t="s">
        <v>1420</v>
      </c>
      <c r="X663" s="12" t="s">
        <v>1414</v>
      </c>
      <c r="Y663" s="12" t="s">
        <v>1420</v>
      </c>
      <c r="Z663" s="12" t="s">
        <v>1420</v>
      </c>
      <c r="AA663" s="12" t="s">
        <v>1420</v>
      </c>
      <c r="AB663" s="12" t="s">
        <v>1420</v>
      </c>
      <c r="AC663" s="12" t="s">
        <v>1414</v>
      </c>
      <c r="AD663" s="12" t="s">
        <v>1420</v>
      </c>
      <c r="AE663" s="12" t="s">
        <v>1420</v>
      </c>
      <c r="AF663" s="12" t="s">
        <v>1420</v>
      </c>
      <c r="AG663" s="12" t="s">
        <v>1414</v>
      </c>
    </row>
    <row r="664" spans="1:33" ht="14.4" x14ac:dyDescent="0.3">
      <c r="A664" s="12" t="s">
        <v>42</v>
      </c>
      <c r="B664" s="12" t="s">
        <v>638</v>
      </c>
      <c r="C664" s="12" t="s">
        <v>637</v>
      </c>
      <c r="D664" s="12" t="s">
        <v>1410</v>
      </c>
      <c r="E664" s="12" t="s">
        <v>2343</v>
      </c>
      <c r="F664" s="12" t="s">
        <v>2348</v>
      </c>
      <c r="G664" s="12" t="s">
        <v>2349</v>
      </c>
      <c r="H664" s="12" t="s">
        <v>1908</v>
      </c>
      <c r="I664" s="12" t="s">
        <v>1420</v>
      </c>
      <c r="J664" s="12" t="s">
        <v>1420</v>
      </c>
      <c r="K664" s="12" t="s">
        <v>1420</v>
      </c>
      <c r="L664" s="12" t="s">
        <v>1420</v>
      </c>
      <c r="M664" s="12" t="s">
        <v>1420</v>
      </c>
      <c r="N664" s="12" t="s">
        <v>1420</v>
      </c>
      <c r="O664" s="12" t="s">
        <v>1414</v>
      </c>
      <c r="P664" s="12" t="s">
        <v>1414</v>
      </c>
      <c r="Q664" s="12" t="s">
        <v>1414</v>
      </c>
      <c r="R664" s="12" t="s">
        <v>1414</v>
      </c>
      <c r="S664" s="12" t="s">
        <v>1420</v>
      </c>
      <c r="T664" s="12" t="s">
        <v>1420</v>
      </c>
      <c r="U664" s="12" t="s">
        <v>1414</v>
      </c>
      <c r="V664" s="12" t="s">
        <v>1420</v>
      </c>
      <c r="W664" s="12" t="s">
        <v>1420</v>
      </c>
      <c r="X664" s="12" t="s">
        <v>1420</v>
      </c>
      <c r="Y664" s="12" t="s">
        <v>1420</v>
      </c>
      <c r="Z664" s="12" t="s">
        <v>1420</v>
      </c>
      <c r="AA664" s="12" t="s">
        <v>1420</v>
      </c>
      <c r="AB664" s="12" t="s">
        <v>1420</v>
      </c>
      <c r="AC664" s="12" t="s">
        <v>1414</v>
      </c>
      <c r="AD664" s="12" t="s">
        <v>1414</v>
      </c>
      <c r="AE664" s="12" t="s">
        <v>1414</v>
      </c>
      <c r="AF664" s="12" t="s">
        <v>1420</v>
      </c>
      <c r="AG664" s="12" t="s">
        <v>1414</v>
      </c>
    </row>
    <row r="665" spans="1:33" ht="14.4" x14ac:dyDescent="0.3">
      <c r="A665" s="12" t="s">
        <v>8</v>
      </c>
      <c r="B665" s="12" t="s">
        <v>196</v>
      </c>
      <c r="C665" s="12" t="s">
        <v>195</v>
      </c>
      <c r="D665" s="12" t="s">
        <v>1410</v>
      </c>
      <c r="E665" s="12" t="s">
        <v>2518</v>
      </c>
      <c r="F665" s="12" t="s">
        <v>2519</v>
      </c>
      <c r="G665" s="12" t="s">
        <v>1968</v>
      </c>
      <c r="H665" s="12" t="s">
        <v>1448</v>
      </c>
      <c r="I665" s="12" t="s">
        <v>1420</v>
      </c>
      <c r="J665" s="12" t="s">
        <v>1420</v>
      </c>
      <c r="K665" s="12" t="s">
        <v>1420</v>
      </c>
      <c r="L665" s="12" t="s">
        <v>1420</v>
      </c>
      <c r="M665" s="12" t="s">
        <v>1420</v>
      </c>
      <c r="N665" s="12" t="s">
        <v>1420</v>
      </c>
      <c r="O665" s="12" t="s">
        <v>1420</v>
      </c>
      <c r="P665" s="12" t="s">
        <v>1414</v>
      </c>
      <c r="Q665" s="12" t="s">
        <v>1420</v>
      </c>
      <c r="R665" s="12" t="s">
        <v>1420</v>
      </c>
      <c r="S665" s="12" t="s">
        <v>1420</v>
      </c>
      <c r="T665" s="12" t="s">
        <v>1420</v>
      </c>
      <c r="U665" s="12" t="s">
        <v>1420</v>
      </c>
      <c r="V665" s="12" t="s">
        <v>1420</v>
      </c>
      <c r="W665" s="12" t="s">
        <v>1420</v>
      </c>
      <c r="X665" s="12" t="s">
        <v>1414</v>
      </c>
      <c r="Y665" s="12" t="s">
        <v>1420</v>
      </c>
      <c r="Z665" s="12" t="s">
        <v>1420</v>
      </c>
      <c r="AA665" s="12" t="s">
        <v>1414</v>
      </c>
      <c r="AB665" s="12" t="s">
        <v>1420</v>
      </c>
      <c r="AC665" s="12" t="s">
        <v>1414</v>
      </c>
      <c r="AD665" s="12" t="s">
        <v>1420</v>
      </c>
      <c r="AE665" s="12" t="s">
        <v>1420</v>
      </c>
      <c r="AF665" s="12" t="s">
        <v>1420</v>
      </c>
      <c r="AG665" s="12" t="s">
        <v>1414</v>
      </c>
    </row>
    <row r="666" spans="1:33" ht="14.4" x14ac:dyDescent="0.3">
      <c r="A666" s="12" t="s">
        <v>31</v>
      </c>
      <c r="B666" s="12" t="s">
        <v>965</v>
      </c>
      <c r="C666" s="12" t="s">
        <v>5925</v>
      </c>
      <c r="D666" s="12" t="s">
        <v>1410</v>
      </c>
      <c r="E666" s="12" t="s">
        <v>5926</v>
      </c>
      <c r="F666" s="12" t="s">
        <v>5657</v>
      </c>
      <c r="G666" s="12" t="s">
        <v>5927</v>
      </c>
      <c r="H666" s="12" t="s">
        <v>1452</v>
      </c>
      <c r="I666" s="12" t="s">
        <v>1420</v>
      </c>
      <c r="J666" s="12" t="s">
        <v>1420</v>
      </c>
      <c r="K666" s="12" t="s">
        <v>1420</v>
      </c>
      <c r="L666" s="12" t="s">
        <v>1420</v>
      </c>
      <c r="M666" s="12" t="s">
        <v>1420</v>
      </c>
      <c r="N666" s="12" t="s">
        <v>1420</v>
      </c>
      <c r="O666" s="12" t="s">
        <v>1420</v>
      </c>
      <c r="P666" s="12" t="s">
        <v>1420</v>
      </c>
      <c r="Q666" s="12" t="s">
        <v>1420</v>
      </c>
      <c r="R666" s="12" t="s">
        <v>1420</v>
      </c>
      <c r="S666" s="12" t="s">
        <v>1420</v>
      </c>
      <c r="T666" s="12" t="s">
        <v>1420</v>
      </c>
      <c r="U666" s="12" t="s">
        <v>1420</v>
      </c>
      <c r="V666" s="12" t="s">
        <v>1420</v>
      </c>
      <c r="W666" s="12" t="s">
        <v>1420</v>
      </c>
      <c r="X666" s="12" t="s">
        <v>1420</v>
      </c>
      <c r="Y666" s="12" t="s">
        <v>1420</v>
      </c>
      <c r="Z666" s="12" t="s">
        <v>1420</v>
      </c>
      <c r="AA666" s="12" t="s">
        <v>1420</v>
      </c>
      <c r="AB666" s="12" t="s">
        <v>1420</v>
      </c>
      <c r="AC666" s="12" t="s">
        <v>1420</v>
      </c>
      <c r="AD666" s="12" t="s">
        <v>1420</v>
      </c>
      <c r="AE666" s="12" t="s">
        <v>1414</v>
      </c>
      <c r="AF666" s="12" t="s">
        <v>1420</v>
      </c>
      <c r="AG666" s="12" t="s">
        <v>1420</v>
      </c>
    </row>
    <row r="667" spans="1:33" ht="14.4" x14ac:dyDescent="0.3">
      <c r="A667" s="12" t="s">
        <v>563</v>
      </c>
      <c r="B667" s="12" t="s">
        <v>965</v>
      </c>
      <c r="C667" s="12" t="s">
        <v>964</v>
      </c>
      <c r="D667" s="12" t="s">
        <v>1410</v>
      </c>
      <c r="E667" s="12" t="s">
        <v>2467</v>
      </c>
      <c r="F667" s="12" t="s">
        <v>2468</v>
      </c>
      <c r="G667" s="12" t="s">
        <v>2469</v>
      </c>
      <c r="H667" s="12" t="s">
        <v>1452</v>
      </c>
      <c r="I667" s="12" t="s">
        <v>1420</v>
      </c>
      <c r="J667" s="12" t="s">
        <v>1420</v>
      </c>
      <c r="K667" s="12" t="s">
        <v>1420</v>
      </c>
      <c r="L667" s="12" t="s">
        <v>1420</v>
      </c>
      <c r="M667" s="12" t="s">
        <v>1420</v>
      </c>
      <c r="N667" s="12" t="s">
        <v>1420</v>
      </c>
      <c r="O667" s="12" t="s">
        <v>1420</v>
      </c>
      <c r="P667" s="12" t="s">
        <v>1420</v>
      </c>
      <c r="Q667" s="12" t="s">
        <v>1420</v>
      </c>
      <c r="R667" s="12" t="s">
        <v>1420</v>
      </c>
      <c r="S667" s="12" t="s">
        <v>1420</v>
      </c>
      <c r="T667" s="12" t="s">
        <v>1420</v>
      </c>
      <c r="U667" s="12" t="s">
        <v>1420</v>
      </c>
      <c r="V667" s="12" t="s">
        <v>1420</v>
      </c>
      <c r="W667" s="12" t="s">
        <v>1420</v>
      </c>
      <c r="X667" s="12" t="s">
        <v>1420</v>
      </c>
      <c r="Y667" s="12" t="s">
        <v>1420</v>
      </c>
      <c r="Z667" s="12" t="s">
        <v>1420</v>
      </c>
      <c r="AA667" s="12" t="s">
        <v>1420</v>
      </c>
      <c r="AB667" s="12" t="s">
        <v>1420</v>
      </c>
      <c r="AC667" s="12" t="s">
        <v>1420</v>
      </c>
      <c r="AD667" s="12" t="s">
        <v>1414</v>
      </c>
      <c r="AE667" s="12" t="s">
        <v>1420</v>
      </c>
      <c r="AF667" s="12" t="s">
        <v>1420</v>
      </c>
      <c r="AG667" s="12" t="s">
        <v>1420</v>
      </c>
    </row>
    <row r="668" spans="1:33" ht="14.4" x14ac:dyDescent="0.3">
      <c r="A668" s="12" t="s">
        <v>8</v>
      </c>
      <c r="B668" s="12" t="s">
        <v>1251</v>
      </c>
      <c r="C668" s="12" t="s">
        <v>1250</v>
      </c>
      <c r="D668" s="12" t="s">
        <v>1410</v>
      </c>
      <c r="E668" s="12" t="s">
        <v>3042</v>
      </c>
      <c r="F668" s="12" t="s">
        <v>3043</v>
      </c>
      <c r="G668" s="12" t="s">
        <v>1497</v>
      </c>
      <c r="H668" s="12" t="s">
        <v>1452</v>
      </c>
      <c r="I668" s="12" t="s">
        <v>1420</v>
      </c>
      <c r="J668" s="12" t="s">
        <v>1420</v>
      </c>
      <c r="K668" s="12" t="s">
        <v>1420</v>
      </c>
      <c r="L668" s="12" t="s">
        <v>1420</v>
      </c>
      <c r="M668" s="12" t="s">
        <v>1420</v>
      </c>
      <c r="N668" s="12" t="s">
        <v>1420</v>
      </c>
      <c r="O668" s="12" t="s">
        <v>1420</v>
      </c>
      <c r="P668" s="12" t="s">
        <v>1420</v>
      </c>
      <c r="Q668" s="12" t="s">
        <v>1420</v>
      </c>
      <c r="R668" s="12" t="s">
        <v>1420</v>
      </c>
      <c r="S668" s="12" t="s">
        <v>1414</v>
      </c>
      <c r="T668" s="12" t="s">
        <v>1420</v>
      </c>
      <c r="U668" s="12" t="s">
        <v>1420</v>
      </c>
      <c r="V668" s="12" t="s">
        <v>1420</v>
      </c>
      <c r="W668" s="12" t="s">
        <v>1420</v>
      </c>
      <c r="X668" s="12" t="s">
        <v>1420</v>
      </c>
      <c r="Y668" s="12" t="s">
        <v>1420</v>
      </c>
      <c r="Z668" s="12" t="s">
        <v>1420</v>
      </c>
      <c r="AA668" s="12" t="s">
        <v>1420</v>
      </c>
      <c r="AB668" s="12" t="s">
        <v>1420</v>
      </c>
      <c r="AC668" s="12" t="s">
        <v>1420</v>
      </c>
      <c r="AD668" s="12" t="s">
        <v>1420</v>
      </c>
      <c r="AE668" s="12" t="s">
        <v>1420</v>
      </c>
      <c r="AF668" s="12" t="s">
        <v>1420</v>
      </c>
      <c r="AG668" s="12" t="s">
        <v>1420</v>
      </c>
    </row>
    <row r="669" spans="1:33" ht="14.4" x14ac:dyDescent="0.3">
      <c r="A669" s="12" t="s">
        <v>42</v>
      </c>
      <c r="B669" s="12" t="s">
        <v>640</v>
      </c>
      <c r="C669" s="12" t="s">
        <v>639</v>
      </c>
      <c r="D669" s="12" t="s">
        <v>1410</v>
      </c>
      <c r="E669" s="12" t="s">
        <v>2382</v>
      </c>
      <c r="F669" s="12" t="s">
        <v>2374</v>
      </c>
      <c r="G669" s="12" t="s">
        <v>2385</v>
      </c>
      <c r="H669" s="12" t="s">
        <v>1424</v>
      </c>
      <c r="I669" s="12" t="s">
        <v>1420</v>
      </c>
      <c r="J669" s="12" t="s">
        <v>1420</v>
      </c>
      <c r="K669" s="12" t="s">
        <v>1420</v>
      </c>
      <c r="L669" s="12" t="s">
        <v>1420</v>
      </c>
      <c r="M669" s="12" t="s">
        <v>1420</v>
      </c>
      <c r="N669" s="12" t="s">
        <v>1414</v>
      </c>
      <c r="O669" s="12" t="s">
        <v>1414</v>
      </c>
      <c r="P669" s="12" t="s">
        <v>1420</v>
      </c>
      <c r="Q669" s="12" t="s">
        <v>1420</v>
      </c>
      <c r="R669" s="12" t="s">
        <v>1420</v>
      </c>
      <c r="S669" s="12" t="s">
        <v>1420</v>
      </c>
      <c r="T669" s="12" t="s">
        <v>1420</v>
      </c>
      <c r="U669" s="12" t="s">
        <v>1420</v>
      </c>
      <c r="V669" s="12" t="s">
        <v>1420</v>
      </c>
      <c r="W669" s="12" t="s">
        <v>1420</v>
      </c>
      <c r="X669" s="12" t="s">
        <v>1414</v>
      </c>
      <c r="Y669" s="12" t="s">
        <v>1420</v>
      </c>
      <c r="Z669" s="12" t="s">
        <v>1420</v>
      </c>
      <c r="AA669" s="12" t="s">
        <v>1420</v>
      </c>
      <c r="AB669" s="12" t="s">
        <v>1420</v>
      </c>
      <c r="AC669" s="12" t="s">
        <v>1420</v>
      </c>
      <c r="AD669" s="12" t="s">
        <v>1420</v>
      </c>
      <c r="AE669" s="12" t="s">
        <v>1420</v>
      </c>
      <c r="AF669" s="12" t="s">
        <v>1420</v>
      </c>
      <c r="AG669" s="12" t="s">
        <v>1420</v>
      </c>
    </row>
    <row r="670" spans="1:33" ht="14.4" x14ac:dyDescent="0.3">
      <c r="A670" s="12" t="s">
        <v>8</v>
      </c>
      <c r="B670" s="12" t="s">
        <v>642</v>
      </c>
      <c r="C670" s="12" t="s">
        <v>641</v>
      </c>
      <c r="D670" s="12" t="s">
        <v>1410</v>
      </c>
      <c r="E670" s="12" t="s">
        <v>2605</v>
      </c>
      <c r="F670" s="12" t="s">
        <v>2606</v>
      </c>
      <c r="G670" s="12" t="s">
        <v>2607</v>
      </c>
      <c r="H670" s="12" t="s">
        <v>1452</v>
      </c>
      <c r="I670" s="12" t="s">
        <v>1420</v>
      </c>
      <c r="J670" s="12" t="s">
        <v>1420</v>
      </c>
      <c r="K670" s="12" t="s">
        <v>1420</v>
      </c>
      <c r="L670" s="12" t="s">
        <v>1420</v>
      </c>
      <c r="M670" s="12" t="s">
        <v>1420</v>
      </c>
      <c r="N670" s="12" t="s">
        <v>1420</v>
      </c>
      <c r="O670" s="12" t="s">
        <v>1414</v>
      </c>
      <c r="P670" s="12" t="s">
        <v>1420</v>
      </c>
      <c r="Q670" s="12" t="s">
        <v>1420</v>
      </c>
      <c r="R670" s="12" t="s">
        <v>1420</v>
      </c>
      <c r="S670" s="12" t="s">
        <v>1420</v>
      </c>
      <c r="T670" s="12" t="s">
        <v>1420</v>
      </c>
      <c r="U670" s="12" t="s">
        <v>1420</v>
      </c>
      <c r="V670" s="12" t="s">
        <v>1420</v>
      </c>
      <c r="W670" s="12" t="s">
        <v>1420</v>
      </c>
      <c r="X670" s="12" t="s">
        <v>1420</v>
      </c>
      <c r="Y670" s="12" t="s">
        <v>1420</v>
      </c>
      <c r="Z670" s="12" t="s">
        <v>1420</v>
      </c>
      <c r="AA670" s="12" t="s">
        <v>1420</v>
      </c>
      <c r="AB670" s="12" t="s">
        <v>1420</v>
      </c>
      <c r="AC670" s="12" t="s">
        <v>1420</v>
      </c>
      <c r="AD670" s="12" t="s">
        <v>1420</v>
      </c>
      <c r="AE670" s="12" t="s">
        <v>1420</v>
      </c>
      <c r="AF670" s="12" t="s">
        <v>1420</v>
      </c>
      <c r="AG670" s="12" t="s">
        <v>1420</v>
      </c>
    </row>
    <row r="671" spans="1:33" ht="14.4" x14ac:dyDescent="0.3">
      <c r="A671" s="12" t="s">
        <v>133</v>
      </c>
      <c r="B671" s="12" t="s">
        <v>642</v>
      </c>
      <c r="C671" s="12" t="s">
        <v>1252</v>
      </c>
      <c r="D671" s="12" t="s">
        <v>1410</v>
      </c>
      <c r="E671" s="12" t="s">
        <v>3085</v>
      </c>
      <c r="F671" s="12" t="s">
        <v>3086</v>
      </c>
      <c r="G671" s="12" t="s">
        <v>3087</v>
      </c>
      <c r="H671" s="12" t="s">
        <v>1464</v>
      </c>
      <c r="I671" s="12" t="s">
        <v>1420</v>
      </c>
      <c r="J671" s="12" t="s">
        <v>1420</v>
      </c>
      <c r="K671" s="12" t="s">
        <v>1420</v>
      </c>
      <c r="L671" s="12" t="s">
        <v>1420</v>
      </c>
      <c r="M671" s="12" t="s">
        <v>1420</v>
      </c>
      <c r="N671" s="12" t="s">
        <v>1420</v>
      </c>
      <c r="O671" s="12" t="s">
        <v>1420</v>
      </c>
      <c r="P671" s="12" t="s">
        <v>1420</v>
      </c>
      <c r="Q671" s="12" t="s">
        <v>1420</v>
      </c>
      <c r="R671" s="12" t="s">
        <v>1420</v>
      </c>
      <c r="S671" s="12" t="s">
        <v>1420</v>
      </c>
      <c r="T671" s="12" t="s">
        <v>1420</v>
      </c>
      <c r="U671" s="12" t="s">
        <v>1420</v>
      </c>
      <c r="V671" s="12" t="s">
        <v>1420</v>
      </c>
      <c r="W671" s="12" t="s">
        <v>1420</v>
      </c>
      <c r="X671" s="12" t="s">
        <v>1420</v>
      </c>
      <c r="Y671" s="12" t="s">
        <v>1420</v>
      </c>
      <c r="Z671" s="12" t="s">
        <v>1420</v>
      </c>
      <c r="AA671" s="12" t="s">
        <v>1420</v>
      </c>
      <c r="AB671" s="12" t="s">
        <v>1420</v>
      </c>
      <c r="AC671" s="12" t="s">
        <v>1420</v>
      </c>
      <c r="AD671" s="12" t="s">
        <v>1420</v>
      </c>
      <c r="AE671" s="12" t="s">
        <v>1420</v>
      </c>
      <c r="AF671" s="12" t="s">
        <v>1420</v>
      </c>
      <c r="AG671" s="12" t="s">
        <v>1420</v>
      </c>
    </row>
    <row r="672" spans="1:33" ht="14.4" x14ac:dyDescent="0.3">
      <c r="A672" s="12" t="s">
        <v>8</v>
      </c>
      <c r="B672" s="12" t="s">
        <v>642</v>
      </c>
      <c r="C672" s="12" t="s">
        <v>1253</v>
      </c>
      <c r="D672" s="12" t="s">
        <v>1410</v>
      </c>
      <c r="E672" s="12" t="s">
        <v>2356</v>
      </c>
      <c r="F672" s="12" t="s">
        <v>2367</v>
      </c>
      <c r="G672" s="12" t="s">
        <v>2204</v>
      </c>
      <c r="H672" s="12" t="s">
        <v>1452</v>
      </c>
      <c r="I672" s="12" t="s">
        <v>1420</v>
      </c>
      <c r="J672" s="12" t="s">
        <v>1420</v>
      </c>
      <c r="K672" s="12" t="s">
        <v>1420</v>
      </c>
      <c r="L672" s="12" t="s">
        <v>1420</v>
      </c>
      <c r="M672" s="12" t="s">
        <v>1420</v>
      </c>
      <c r="N672" s="12" t="s">
        <v>1420</v>
      </c>
      <c r="O672" s="12" t="s">
        <v>1420</v>
      </c>
      <c r="P672" s="12" t="s">
        <v>1414</v>
      </c>
      <c r="Q672" s="12" t="s">
        <v>1420</v>
      </c>
      <c r="R672" s="12" t="s">
        <v>1420</v>
      </c>
      <c r="S672" s="12" t="s">
        <v>1420</v>
      </c>
      <c r="T672" s="12" t="s">
        <v>1420</v>
      </c>
      <c r="U672" s="12" t="s">
        <v>1420</v>
      </c>
      <c r="V672" s="12" t="s">
        <v>1420</v>
      </c>
      <c r="W672" s="12" t="s">
        <v>1420</v>
      </c>
      <c r="X672" s="12" t="s">
        <v>1420</v>
      </c>
      <c r="Y672" s="12" t="s">
        <v>1420</v>
      </c>
      <c r="Z672" s="12" t="s">
        <v>1420</v>
      </c>
      <c r="AA672" s="12" t="s">
        <v>1420</v>
      </c>
      <c r="AB672" s="12" t="s">
        <v>1420</v>
      </c>
      <c r="AC672" s="12" t="s">
        <v>1420</v>
      </c>
      <c r="AD672" s="12" t="s">
        <v>1420</v>
      </c>
      <c r="AE672" s="12" t="s">
        <v>1420</v>
      </c>
      <c r="AF672" s="12" t="s">
        <v>1420</v>
      </c>
      <c r="AG672" s="12" t="s">
        <v>1420</v>
      </c>
    </row>
    <row r="673" spans="1:33" ht="14.4" x14ac:dyDescent="0.3">
      <c r="A673" s="12" t="s">
        <v>49</v>
      </c>
      <c r="B673" s="12" t="s">
        <v>1366</v>
      </c>
      <c r="C673" s="12" t="s">
        <v>1365</v>
      </c>
      <c r="D673" s="12" t="s">
        <v>1410</v>
      </c>
      <c r="E673" s="12" t="s">
        <v>2894</v>
      </c>
      <c r="F673" s="12" t="s">
        <v>2895</v>
      </c>
      <c r="G673" s="12" t="s">
        <v>2896</v>
      </c>
      <c r="H673" s="12" t="s">
        <v>1488</v>
      </c>
      <c r="I673" s="12" t="s">
        <v>1414</v>
      </c>
      <c r="J673" s="12" t="s">
        <v>1420</v>
      </c>
      <c r="K673" s="12" t="s">
        <v>1420</v>
      </c>
      <c r="L673" s="12" t="s">
        <v>1420</v>
      </c>
      <c r="M673" s="12" t="s">
        <v>1420</v>
      </c>
      <c r="N673" s="12" t="s">
        <v>1420</v>
      </c>
      <c r="O673" s="12" t="s">
        <v>1420</v>
      </c>
      <c r="P673" s="12" t="s">
        <v>1420</v>
      </c>
      <c r="Q673" s="12" t="s">
        <v>1420</v>
      </c>
      <c r="R673" s="12" t="s">
        <v>1420</v>
      </c>
      <c r="S673" s="12" t="s">
        <v>1420</v>
      </c>
      <c r="T673" s="12" t="s">
        <v>1420</v>
      </c>
      <c r="U673" s="12" t="s">
        <v>1420</v>
      </c>
      <c r="V673" s="12" t="s">
        <v>1420</v>
      </c>
      <c r="W673" s="12" t="s">
        <v>1420</v>
      </c>
      <c r="X673" s="12" t="s">
        <v>1420</v>
      </c>
      <c r="Y673" s="12" t="s">
        <v>1420</v>
      </c>
      <c r="Z673" s="12" t="s">
        <v>1420</v>
      </c>
      <c r="AA673" s="12" t="s">
        <v>1420</v>
      </c>
      <c r="AB673" s="12" t="s">
        <v>1420</v>
      </c>
      <c r="AC673" s="12" t="s">
        <v>1414</v>
      </c>
      <c r="AD673" s="12" t="s">
        <v>1414</v>
      </c>
      <c r="AE673" s="12" t="s">
        <v>1420</v>
      </c>
      <c r="AF673" s="12" t="s">
        <v>1414</v>
      </c>
      <c r="AG673" s="12" t="s">
        <v>1420</v>
      </c>
    </row>
    <row r="674" spans="1:33" ht="14.4" x14ac:dyDescent="0.3">
      <c r="A674" s="12" t="s">
        <v>11</v>
      </c>
      <c r="B674" s="12" t="s">
        <v>967</v>
      </c>
      <c r="C674" s="12" t="s">
        <v>966</v>
      </c>
      <c r="D674" s="12" t="s">
        <v>1410</v>
      </c>
      <c r="E674" s="12" t="s">
        <v>2341</v>
      </c>
      <c r="F674" s="12" t="s">
        <v>2343</v>
      </c>
      <c r="G674" s="12" t="s">
        <v>2344</v>
      </c>
      <c r="H674" s="12" t="s">
        <v>1452</v>
      </c>
      <c r="I674" s="12" t="s">
        <v>1420</v>
      </c>
      <c r="J674" s="12" t="s">
        <v>1420</v>
      </c>
      <c r="K674" s="12" t="s">
        <v>1420</v>
      </c>
      <c r="L674" s="12" t="s">
        <v>1420</v>
      </c>
      <c r="M674" s="12" t="s">
        <v>1420</v>
      </c>
      <c r="N674" s="12" t="s">
        <v>1420</v>
      </c>
      <c r="O674" s="12" t="s">
        <v>1420</v>
      </c>
      <c r="P674" s="12" t="s">
        <v>1420</v>
      </c>
      <c r="Q674" s="12" t="s">
        <v>1420</v>
      </c>
      <c r="R674" s="12" t="s">
        <v>1420</v>
      </c>
      <c r="S674" s="12" t="s">
        <v>1420</v>
      </c>
      <c r="T674" s="12" t="s">
        <v>1420</v>
      </c>
      <c r="U674" s="12" t="s">
        <v>1420</v>
      </c>
      <c r="V674" s="12" t="s">
        <v>1420</v>
      </c>
      <c r="W674" s="12" t="s">
        <v>1420</v>
      </c>
      <c r="X674" s="12" t="s">
        <v>1420</v>
      </c>
      <c r="Y674" s="12" t="s">
        <v>1420</v>
      </c>
      <c r="Z674" s="12" t="s">
        <v>1420</v>
      </c>
      <c r="AA674" s="12" t="s">
        <v>1420</v>
      </c>
      <c r="AB674" s="12" t="s">
        <v>1420</v>
      </c>
      <c r="AC674" s="12" t="s">
        <v>1420</v>
      </c>
      <c r="AD674" s="12" t="s">
        <v>1420</v>
      </c>
      <c r="AE674" s="12" t="s">
        <v>1420</v>
      </c>
      <c r="AF674" s="12" t="s">
        <v>1420</v>
      </c>
      <c r="AG674" s="12" t="s">
        <v>1414</v>
      </c>
    </row>
    <row r="675" spans="1:33" ht="14.4" x14ac:dyDescent="0.3">
      <c r="A675" s="12" t="s">
        <v>8</v>
      </c>
      <c r="B675" s="12" t="s">
        <v>969</v>
      </c>
      <c r="C675" s="12" t="s">
        <v>197</v>
      </c>
      <c r="D675" s="12" t="s">
        <v>1410</v>
      </c>
      <c r="E675" s="12" t="s">
        <v>2501</v>
      </c>
      <c r="F675" s="12" t="s">
        <v>2506</v>
      </c>
      <c r="G675" s="12" t="s">
        <v>2508</v>
      </c>
      <c r="H675" s="12" t="s">
        <v>1419</v>
      </c>
      <c r="I675" s="12" t="s">
        <v>1414</v>
      </c>
      <c r="J675" s="12" t="s">
        <v>1420</v>
      </c>
      <c r="K675" s="12" t="s">
        <v>1420</v>
      </c>
      <c r="L675" s="12" t="s">
        <v>1420</v>
      </c>
      <c r="M675" s="12" t="s">
        <v>1420</v>
      </c>
      <c r="N675" s="12" t="s">
        <v>1420</v>
      </c>
      <c r="O675" s="12" t="s">
        <v>1414</v>
      </c>
      <c r="P675" s="12" t="s">
        <v>1420</v>
      </c>
      <c r="Q675" s="12" t="s">
        <v>1420</v>
      </c>
      <c r="R675" s="12" t="s">
        <v>1420</v>
      </c>
      <c r="S675" s="12" t="s">
        <v>1420</v>
      </c>
      <c r="T675" s="12" t="s">
        <v>1420</v>
      </c>
      <c r="U675" s="12" t="s">
        <v>1420</v>
      </c>
      <c r="V675" s="12" t="s">
        <v>1420</v>
      </c>
      <c r="W675" s="12" t="s">
        <v>1420</v>
      </c>
      <c r="X675" s="12" t="s">
        <v>1420</v>
      </c>
      <c r="Y675" s="12" t="s">
        <v>1420</v>
      </c>
      <c r="Z675" s="12" t="s">
        <v>1420</v>
      </c>
      <c r="AA675" s="12" t="s">
        <v>1420</v>
      </c>
      <c r="AB675" s="12" t="s">
        <v>1420</v>
      </c>
      <c r="AC675" s="12" t="s">
        <v>1420</v>
      </c>
      <c r="AD675" s="12" t="s">
        <v>1420</v>
      </c>
      <c r="AE675" s="12" t="s">
        <v>1420</v>
      </c>
      <c r="AF675" s="12" t="s">
        <v>1420</v>
      </c>
      <c r="AG675" s="12" t="s">
        <v>1420</v>
      </c>
    </row>
    <row r="676" spans="1:33" ht="14.4" x14ac:dyDescent="0.3">
      <c r="A676" s="12" t="s">
        <v>170</v>
      </c>
      <c r="B676" s="12" t="s">
        <v>198</v>
      </c>
      <c r="C676" s="12" t="s">
        <v>5928</v>
      </c>
      <c r="D676" s="12" t="s">
        <v>1410</v>
      </c>
      <c r="E676" s="12" t="s">
        <v>5756</v>
      </c>
      <c r="F676" s="12" t="s">
        <v>5929</v>
      </c>
      <c r="G676" s="12" t="s">
        <v>5930</v>
      </c>
      <c r="H676" s="12" t="s">
        <v>1424</v>
      </c>
      <c r="I676" s="12" t="s">
        <v>1420</v>
      </c>
      <c r="J676" s="12" t="s">
        <v>1420</v>
      </c>
      <c r="K676" s="12" t="s">
        <v>1420</v>
      </c>
      <c r="L676" s="12" t="s">
        <v>1420</v>
      </c>
      <c r="M676" s="12" t="s">
        <v>1420</v>
      </c>
      <c r="N676" s="12" t="s">
        <v>1420</v>
      </c>
      <c r="O676" s="12" t="s">
        <v>1420</v>
      </c>
      <c r="P676" s="12" t="s">
        <v>1414</v>
      </c>
      <c r="Q676" s="12" t="s">
        <v>1420</v>
      </c>
      <c r="R676" s="12" t="s">
        <v>1420</v>
      </c>
      <c r="S676" s="12" t="s">
        <v>1414</v>
      </c>
      <c r="T676" s="12" t="s">
        <v>1420</v>
      </c>
      <c r="U676" s="12" t="s">
        <v>1420</v>
      </c>
      <c r="V676" s="12" t="s">
        <v>1420</v>
      </c>
      <c r="W676" s="12" t="s">
        <v>1420</v>
      </c>
      <c r="X676" s="12" t="s">
        <v>1420</v>
      </c>
      <c r="Y676" s="12" t="s">
        <v>1420</v>
      </c>
      <c r="Z676" s="12" t="s">
        <v>1420</v>
      </c>
      <c r="AA676" s="12" t="s">
        <v>1420</v>
      </c>
      <c r="AB676" s="12" t="s">
        <v>1420</v>
      </c>
      <c r="AC676" s="12" t="s">
        <v>1420</v>
      </c>
      <c r="AD676" s="12" t="s">
        <v>1414</v>
      </c>
      <c r="AE676" s="12" t="s">
        <v>1420</v>
      </c>
      <c r="AF676" s="12" t="s">
        <v>1420</v>
      </c>
      <c r="AG676" s="12" t="s">
        <v>1420</v>
      </c>
    </row>
    <row r="677" spans="1:33" ht="14.4" x14ac:dyDescent="0.3">
      <c r="A677" s="12" t="s">
        <v>5931</v>
      </c>
      <c r="B677" s="12" t="s">
        <v>969</v>
      </c>
      <c r="C677" s="12" t="s">
        <v>5932</v>
      </c>
      <c r="D677" s="12" t="s">
        <v>1456</v>
      </c>
      <c r="E677" s="12" t="s">
        <v>5662</v>
      </c>
      <c r="F677" s="12" t="s">
        <v>1415</v>
      </c>
      <c r="G677" s="12" t="s">
        <v>1415</v>
      </c>
      <c r="H677" s="12" t="s">
        <v>1415</v>
      </c>
      <c r="I677" s="12" t="s">
        <v>1415</v>
      </c>
      <c r="J677" s="12" t="s">
        <v>1415</v>
      </c>
      <c r="K677" s="12" t="s">
        <v>1415</v>
      </c>
      <c r="L677" s="12" t="s">
        <v>1415</v>
      </c>
      <c r="M677" s="12" t="s">
        <v>1415</v>
      </c>
      <c r="N677" s="12" t="s">
        <v>1415</v>
      </c>
      <c r="O677" s="12" t="s">
        <v>1415</v>
      </c>
      <c r="P677" s="12" t="s">
        <v>1415</v>
      </c>
      <c r="Q677" s="12" t="s">
        <v>1415</v>
      </c>
      <c r="R677" s="12" t="s">
        <v>1415</v>
      </c>
      <c r="S677" s="12" t="s">
        <v>1415</v>
      </c>
      <c r="T677" s="12" t="s">
        <v>1415</v>
      </c>
      <c r="U677" s="12" t="s">
        <v>1415</v>
      </c>
      <c r="V677" s="12" t="s">
        <v>1415</v>
      </c>
      <c r="W677" s="12" t="s">
        <v>1415</v>
      </c>
      <c r="X677" s="12" t="s">
        <v>1415</v>
      </c>
      <c r="Y677" s="12" t="s">
        <v>1415</v>
      </c>
      <c r="Z677" s="12" t="s">
        <v>1415</v>
      </c>
      <c r="AA677" s="12" t="s">
        <v>1415</v>
      </c>
      <c r="AB677" s="12" t="s">
        <v>1415</v>
      </c>
      <c r="AC677" s="12" t="s">
        <v>1415</v>
      </c>
      <c r="AD677" s="12" t="s">
        <v>1415</v>
      </c>
      <c r="AE677" s="12" t="s">
        <v>1415</v>
      </c>
      <c r="AF677" s="12" t="s">
        <v>1415</v>
      </c>
      <c r="AG677" s="12" t="s">
        <v>1415</v>
      </c>
    </row>
    <row r="678" spans="1:33" ht="14.4" x14ac:dyDescent="0.3">
      <c r="A678" s="12" t="s">
        <v>55</v>
      </c>
      <c r="B678" s="12" t="s">
        <v>969</v>
      </c>
      <c r="C678" s="12" t="s">
        <v>968</v>
      </c>
      <c r="D678" s="12" t="s">
        <v>1410</v>
      </c>
      <c r="E678" s="12" t="s">
        <v>2306</v>
      </c>
      <c r="F678" s="12" t="s">
        <v>2307</v>
      </c>
      <c r="G678" s="12" t="s">
        <v>2308</v>
      </c>
      <c r="H678" s="12" t="s">
        <v>1464</v>
      </c>
      <c r="I678" s="12" t="s">
        <v>1420</v>
      </c>
      <c r="J678" s="12" t="s">
        <v>1420</v>
      </c>
      <c r="K678" s="12" t="s">
        <v>1420</v>
      </c>
      <c r="L678" s="12" t="s">
        <v>1420</v>
      </c>
      <c r="M678" s="12" t="s">
        <v>1420</v>
      </c>
      <c r="N678" s="12" t="s">
        <v>1420</v>
      </c>
      <c r="O678" s="12" t="s">
        <v>1420</v>
      </c>
      <c r="P678" s="12" t="s">
        <v>1420</v>
      </c>
      <c r="Q678" s="12" t="s">
        <v>1420</v>
      </c>
      <c r="R678" s="12" t="s">
        <v>1420</v>
      </c>
      <c r="S678" s="12" t="s">
        <v>1420</v>
      </c>
      <c r="T678" s="12" t="s">
        <v>1420</v>
      </c>
      <c r="U678" s="12" t="s">
        <v>1420</v>
      </c>
      <c r="V678" s="12" t="s">
        <v>1420</v>
      </c>
      <c r="W678" s="12" t="s">
        <v>1420</v>
      </c>
      <c r="X678" s="12" t="s">
        <v>1420</v>
      </c>
      <c r="Y678" s="12" t="s">
        <v>1420</v>
      </c>
      <c r="Z678" s="12" t="s">
        <v>1420</v>
      </c>
      <c r="AA678" s="12" t="s">
        <v>1420</v>
      </c>
      <c r="AB678" s="12" t="s">
        <v>1420</v>
      </c>
      <c r="AC678" s="12" t="s">
        <v>1420</v>
      </c>
      <c r="AD678" s="12" t="s">
        <v>1420</v>
      </c>
      <c r="AE678" s="12" t="s">
        <v>1420</v>
      </c>
      <c r="AF678" s="12" t="s">
        <v>1420</v>
      </c>
      <c r="AG678" s="12" t="s">
        <v>1420</v>
      </c>
    </row>
    <row r="679" spans="1:33" ht="14.4" x14ac:dyDescent="0.3">
      <c r="A679" s="12" t="s">
        <v>49</v>
      </c>
      <c r="B679" s="12" t="s">
        <v>5933</v>
      </c>
      <c r="C679" s="12" t="s">
        <v>5934</v>
      </c>
      <c r="D679" s="12" t="s">
        <v>1410</v>
      </c>
      <c r="E679" s="12" t="s">
        <v>5935</v>
      </c>
      <c r="F679" s="12" t="s">
        <v>5936</v>
      </c>
      <c r="G679" s="12" t="s">
        <v>5937</v>
      </c>
      <c r="H679" s="12" t="s">
        <v>1420</v>
      </c>
      <c r="I679" s="12" t="s">
        <v>1414</v>
      </c>
      <c r="J679" s="12" t="s">
        <v>1420</v>
      </c>
      <c r="K679" s="12" t="s">
        <v>1414</v>
      </c>
      <c r="L679" s="12" t="s">
        <v>1414</v>
      </c>
      <c r="M679" s="12" t="s">
        <v>1414</v>
      </c>
      <c r="N679" s="12" t="s">
        <v>1414</v>
      </c>
      <c r="O679" s="12" t="s">
        <v>1414</v>
      </c>
      <c r="P679" s="12" t="s">
        <v>1414</v>
      </c>
      <c r="Q679" s="12" t="s">
        <v>1414</v>
      </c>
      <c r="R679" s="12" t="s">
        <v>1414</v>
      </c>
      <c r="S679" s="12" t="s">
        <v>1414</v>
      </c>
      <c r="T679" s="12" t="s">
        <v>1414</v>
      </c>
      <c r="U679" s="12" t="s">
        <v>1414</v>
      </c>
      <c r="V679" s="12" t="s">
        <v>1414</v>
      </c>
      <c r="W679" s="12" t="s">
        <v>1414</v>
      </c>
      <c r="X679" s="12" t="s">
        <v>1414</v>
      </c>
      <c r="Y679" s="12" t="s">
        <v>1414</v>
      </c>
      <c r="Z679" s="12" t="s">
        <v>1414</v>
      </c>
      <c r="AA679" s="12" t="s">
        <v>1414</v>
      </c>
      <c r="AB679" s="12" t="s">
        <v>1414</v>
      </c>
      <c r="AC679" s="12" t="s">
        <v>1414</v>
      </c>
      <c r="AD679" s="12" t="s">
        <v>1414</v>
      </c>
      <c r="AE679" s="12" t="s">
        <v>1414</v>
      </c>
      <c r="AF679" s="12" t="s">
        <v>1414</v>
      </c>
      <c r="AG679" s="12" t="s">
        <v>1414</v>
      </c>
    </row>
    <row r="680" spans="1:33" ht="14.4" x14ac:dyDescent="0.3">
      <c r="A680" s="12" t="s">
        <v>49</v>
      </c>
      <c r="B680" s="12" t="s">
        <v>5933</v>
      </c>
      <c r="C680" s="12" t="s">
        <v>5934</v>
      </c>
      <c r="D680" s="12" t="s">
        <v>1410</v>
      </c>
      <c r="E680" s="12" t="s">
        <v>5938</v>
      </c>
      <c r="F680" s="12" t="s">
        <v>5939</v>
      </c>
      <c r="G680" s="12" t="s">
        <v>2372</v>
      </c>
      <c r="H680" s="12" t="s">
        <v>1488</v>
      </c>
      <c r="I680" s="12" t="s">
        <v>1420</v>
      </c>
      <c r="J680" s="12" t="s">
        <v>1420</v>
      </c>
      <c r="K680" s="12" t="s">
        <v>1420</v>
      </c>
      <c r="L680" s="12" t="s">
        <v>1420</v>
      </c>
      <c r="M680" s="12" t="s">
        <v>1420</v>
      </c>
      <c r="N680" s="12" t="s">
        <v>1420</v>
      </c>
      <c r="O680" s="12" t="s">
        <v>1420</v>
      </c>
      <c r="P680" s="12" t="s">
        <v>1414</v>
      </c>
      <c r="Q680" s="12" t="s">
        <v>1420</v>
      </c>
      <c r="R680" s="12" t="s">
        <v>1420</v>
      </c>
      <c r="S680" s="12" t="s">
        <v>1420</v>
      </c>
      <c r="T680" s="12" t="s">
        <v>1420</v>
      </c>
      <c r="U680" s="12" t="s">
        <v>1420</v>
      </c>
      <c r="V680" s="12" t="s">
        <v>1414</v>
      </c>
      <c r="W680" s="12" t="s">
        <v>1420</v>
      </c>
      <c r="X680" s="12" t="s">
        <v>1420</v>
      </c>
      <c r="Y680" s="12" t="s">
        <v>1420</v>
      </c>
      <c r="Z680" s="12" t="s">
        <v>1420</v>
      </c>
      <c r="AA680" s="12" t="s">
        <v>1420</v>
      </c>
      <c r="AB680" s="12" t="s">
        <v>1420</v>
      </c>
      <c r="AC680" s="12" t="s">
        <v>1420</v>
      </c>
      <c r="AD680" s="12" t="s">
        <v>1420</v>
      </c>
      <c r="AE680" s="12" t="s">
        <v>1420</v>
      </c>
      <c r="AF680" s="12" t="s">
        <v>1414</v>
      </c>
      <c r="AG680" s="12" t="s">
        <v>1414</v>
      </c>
    </row>
    <row r="681" spans="1:33" ht="14.4" x14ac:dyDescent="0.3">
      <c r="A681" s="12" t="s">
        <v>25</v>
      </c>
      <c r="B681" s="12" t="s">
        <v>971</v>
      </c>
      <c r="C681" s="12" t="s">
        <v>970</v>
      </c>
      <c r="D681" s="12" t="s">
        <v>1410</v>
      </c>
      <c r="E681" s="12" t="s">
        <v>2818</v>
      </c>
      <c r="F681" s="12" t="s">
        <v>2819</v>
      </c>
      <c r="G681" s="12" t="s">
        <v>2820</v>
      </c>
      <c r="H681" s="12" t="s">
        <v>1452</v>
      </c>
      <c r="I681" s="12" t="s">
        <v>1420</v>
      </c>
      <c r="J681" s="12" t="s">
        <v>1420</v>
      </c>
      <c r="K681" s="12" t="s">
        <v>1420</v>
      </c>
      <c r="L681" s="12" t="s">
        <v>1420</v>
      </c>
      <c r="M681" s="12" t="s">
        <v>1420</v>
      </c>
      <c r="N681" s="12" t="s">
        <v>1420</v>
      </c>
      <c r="O681" s="12" t="s">
        <v>1414</v>
      </c>
      <c r="P681" s="12" t="s">
        <v>1420</v>
      </c>
      <c r="Q681" s="12" t="s">
        <v>1420</v>
      </c>
      <c r="R681" s="12" t="s">
        <v>1420</v>
      </c>
      <c r="S681" s="12" t="s">
        <v>1420</v>
      </c>
      <c r="T681" s="12" t="s">
        <v>1420</v>
      </c>
      <c r="U681" s="12" t="s">
        <v>1420</v>
      </c>
      <c r="V681" s="12" t="s">
        <v>1420</v>
      </c>
      <c r="W681" s="12" t="s">
        <v>1420</v>
      </c>
      <c r="X681" s="12" t="s">
        <v>1420</v>
      </c>
      <c r="Y681" s="12" t="s">
        <v>1420</v>
      </c>
      <c r="Z681" s="12" t="s">
        <v>1420</v>
      </c>
      <c r="AA681" s="12" t="s">
        <v>1420</v>
      </c>
      <c r="AB681" s="12" t="s">
        <v>1420</v>
      </c>
      <c r="AC681" s="12" t="s">
        <v>1420</v>
      </c>
      <c r="AD681" s="12" t="s">
        <v>1420</v>
      </c>
      <c r="AE681" s="12" t="s">
        <v>1420</v>
      </c>
      <c r="AF681" s="12" t="s">
        <v>1420</v>
      </c>
      <c r="AG681" s="12" t="s">
        <v>1420</v>
      </c>
    </row>
    <row r="682" spans="1:33" ht="14.4" x14ac:dyDescent="0.3">
      <c r="A682" s="12" t="s">
        <v>80</v>
      </c>
      <c r="B682" s="12" t="s">
        <v>1368</v>
      </c>
      <c r="C682" s="12" t="s">
        <v>1367</v>
      </c>
      <c r="D682" s="12" t="s">
        <v>1410</v>
      </c>
      <c r="E682" s="12" t="s">
        <v>2590</v>
      </c>
      <c r="F682" s="12" t="s">
        <v>2591</v>
      </c>
      <c r="G682" s="12" t="s">
        <v>2592</v>
      </c>
      <c r="H682" s="12" t="s">
        <v>1438</v>
      </c>
      <c r="I682" s="12" t="s">
        <v>1420</v>
      </c>
      <c r="J682" s="12" t="s">
        <v>1420</v>
      </c>
      <c r="K682" s="12" t="s">
        <v>1420</v>
      </c>
      <c r="L682" s="12" t="s">
        <v>1414</v>
      </c>
      <c r="M682" s="12" t="s">
        <v>1420</v>
      </c>
      <c r="N682" s="12" t="s">
        <v>1414</v>
      </c>
      <c r="O682" s="12" t="s">
        <v>1420</v>
      </c>
      <c r="P682" s="12" t="s">
        <v>1420</v>
      </c>
      <c r="Q682" s="12" t="s">
        <v>1414</v>
      </c>
      <c r="R682" s="12" t="s">
        <v>1420</v>
      </c>
      <c r="S682" s="12" t="s">
        <v>1420</v>
      </c>
      <c r="T682" s="12" t="s">
        <v>1420</v>
      </c>
      <c r="U682" s="12" t="s">
        <v>1420</v>
      </c>
      <c r="V682" s="12" t="s">
        <v>1420</v>
      </c>
      <c r="W682" s="12" t="s">
        <v>1414</v>
      </c>
      <c r="X682" s="12" t="s">
        <v>1420</v>
      </c>
      <c r="Y682" s="12" t="s">
        <v>1420</v>
      </c>
      <c r="Z682" s="12" t="s">
        <v>1420</v>
      </c>
      <c r="AA682" s="12" t="s">
        <v>1420</v>
      </c>
      <c r="AB682" s="12" t="s">
        <v>1414</v>
      </c>
      <c r="AC682" s="12" t="s">
        <v>1420</v>
      </c>
      <c r="AD682" s="12" t="s">
        <v>1420</v>
      </c>
      <c r="AE682" s="12" t="s">
        <v>1414</v>
      </c>
      <c r="AF682" s="12" t="s">
        <v>1420</v>
      </c>
      <c r="AG682" s="12" t="s">
        <v>1420</v>
      </c>
    </row>
    <row r="683" spans="1:33" ht="14.4" x14ac:dyDescent="0.3">
      <c r="A683" s="12" t="s">
        <v>16</v>
      </c>
      <c r="B683" s="12" t="s">
        <v>1255</v>
      </c>
      <c r="C683" s="12" t="s">
        <v>1254</v>
      </c>
      <c r="D683" s="12" t="s">
        <v>1410</v>
      </c>
      <c r="E683" s="12" t="s">
        <v>2358</v>
      </c>
      <c r="F683" s="12" t="s">
        <v>2359</v>
      </c>
      <c r="G683" s="12" t="s">
        <v>2360</v>
      </c>
      <c r="H683" s="12" t="s">
        <v>1464</v>
      </c>
      <c r="I683" s="12" t="s">
        <v>1420</v>
      </c>
      <c r="J683" s="12" t="s">
        <v>1420</v>
      </c>
      <c r="K683" s="12" t="s">
        <v>1420</v>
      </c>
      <c r="L683" s="12" t="s">
        <v>1420</v>
      </c>
      <c r="M683" s="12" t="s">
        <v>1420</v>
      </c>
      <c r="N683" s="12" t="s">
        <v>1420</v>
      </c>
      <c r="O683" s="12" t="s">
        <v>1420</v>
      </c>
      <c r="P683" s="12" t="s">
        <v>1420</v>
      </c>
      <c r="Q683" s="12" t="s">
        <v>1420</v>
      </c>
      <c r="R683" s="12" t="s">
        <v>1420</v>
      </c>
      <c r="S683" s="12" t="s">
        <v>1420</v>
      </c>
      <c r="T683" s="12" t="s">
        <v>1420</v>
      </c>
      <c r="U683" s="12" t="s">
        <v>1420</v>
      </c>
      <c r="V683" s="12" t="s">
        <v>1420</v>
      </c>
      <c r="W683" s="12" t="s">
        <v>1420</v>
      </c>
      <c r="X683" s="12" t="s">
        <v>1420</v>
      </c>
      <c r="Y683" s="12" t="s">
        <v>1420</v>
      </c>
      <c r="Z683" s="12" t="s">
        <v>1420</v>
      </c>
      <c r="AA683" s="12" t="s">
        <v>1420</v>
      </c>
      <c r="AB683" s="12" t="s">
        <v>1420</v>
      </c>
      <c r="AC683" s="12" t="s">
        <v>1420</v>
      </c>
      <c r="AD683" s="12" t="s">
        <v>1420</v>
      </c>
      <c r="AE683" s="12" t="s">
        <v>1420</v>
      </c>
      <c r="AF683" s="12" t="s">
        <v>1420</v>
      </c>
      <c r="AG683" s="12" t="s">
        <v>1420</v>
      </c>
    </row>
    <row r="684" spans="1:33" ht="14.4" x14ac:dyDescent="0.3">
      <c r="A684" s="12" t="s">
        <v>22</v>
      </c>
      <c r="B684" s="12" t="s">
        <v>1257</v>
      </c>
      <c r="C684" s="12" t="s">
        <v>1256</v>
      </c>
      <c r="D684" s="12" t="s">
        <v>1410</v>
      </c>
      <c r="E684" s="12" t="s">
        <v>3079</v>
      </c>
      <c r="F684" s="12" t="s">
        <v>3081</v>
      </c>
      <c r="G684" s="12" t="s">
        <v>3082</v>
      </c>
      <c r="H684" s="12" t="s">
        <v>1424</v>
      </c>
      <c r="I684" s="12" t="s">
        <v>1420</v>
      </c>
      <c r="J684" s="12" t="s">
        <v>1420</v>
      </c>
      <c r="K684" s="12" t="s">
        <v>1420</v>
      </c>
      <c r="L684" s="12" t="s">
        <v>1420</v>
      </c>
      <c r="M684" s="12" t="s">
        <v>1420</v>
      </c>
      <c r="N684" s="12" t="s">
        <v>1420</v>
      </c>
      <c r="O684" s="12" t="s">
        <v>1414</v>
      </c>
      <c r="P684" s="12" t="s">
        <v>1420</v>
      </c>
      <c r="Q684" s="12" t="s">
        <v>1420</v>
      </c>
      <c r="R684" s="12" t="s">
        <v>1420</v>
      </c>
      <c r="S684" s="12" t="s">
        <v>1420</v>
      </c>
      <c r="T684" s="12" t="s">
        <v>1420</v>
      </c>
      <c r="U684" s="12" t="s">
        <v>1420</v>
      </c>
      <c r="V684" s="12" t="s">
        <v>1420</v>
      </c>
      <c r="W684" s="12" t="s">
        <v>1420</v>
      </c>
      <c r="X684" s="12" t="s">
        <v>1414</v>
      </c>
      <c r="Y684" s="12" t="s">
        <v>1420</v>
      </c>
      <c r="Z684" s="12" t="s">
        <v>1420</v>
      </c>
      <c r="AA684" s="12" t="s">
        <v>1420</v>
      </c>
      <c r="AB684" s="12" t="s">
        <v>1420</v>
      </c>
      <c r="AC684" s="12" t="s">
        <v>1420</v>
      </c>
      <c r="AD684" s="12" t="s">
        <v>1420</v>
      </c>
      <c r="AE684" s="12" t="s">
        <v>1414</v>
      </c>
      <c r="AF684" s="12" t="s">
        <v>1420</v>
      </c>
      <c r="AG684" s="12" t="s">
        <v>1420</v>
      </c>
    </row>
    <row r="685" spans="1:33" ht="14.4" x14ac:dyDescent="0.3">
      <c r="A685" s="12" t="s">
        <v>192</v>
      </c>
      <c r="B685" s="12" t="s">
        <v>973</v>
      </c>
      <c r="C685" s="12" t="s">
        <v>972</v>
      </c>
      <c r="D685" s="12" t="s">
        <v>1410</v>
      </c>
      <c r="E685" s="12" t="s">
        <v>2610</v>
      </c>
      <c r="F685" s="12" t="s">
        <v>2611</v>
      </c>
      <c r="G685" s="12" t="s">
        <v>2612</v>
      </c>
      <c r="H685" s="12" t="s">
        <v>1464</v>
      </c>
      <c r="I685" s="12" t="s">
        <v>1420</v>
      </c>
      <c r="J685" s="12" t="s">
        <v>1420</v>
      </c>
      <c r="K685" s="12" t="s">
        <v>1420</v>
      </c>
      <c r="L685" s="12" t="s">
        <v>1420</v>
      </c>
      <c r="M685" s="12" t="s">
        <v>1420</v>
      </c>
      <c r="N685" s="12" t="s">
        <v>1420</v>
      </c>
      <c r="O685" s="12" t="s">
        <v>1420</v>
      </c>
      <c r="P685" s="12" t="s">
        <v>1420</v>
      </c>
      <c r="Q685" s="12" t="s">
        <v>1420</v>
      </c>
      <c r="R685" s="12" t="s">
        <v>1420</v>
      </c>
      <c r="S685" s="12" t="s">
        <v>1420</v>
      </c>
      <c r="T685" s="12" t="s">
        <v>1420</v>
      </c>
      <c r="U685" s="12" t="s">
        <v>1420</v>
      </c>
      <c r="V685" s="12" t="s">
        <v>1420</v>
      </c>
      <c r="W685" s="12" t="s">
        <v>1420</v>
      </c>
      <c r="X685" s="12" t="s">
        <v>1420</v>
      </c>
      <c r="Y685" s="12" t="s">
        <v>1420</v>
      </c>
      <c r="Z685" s="12" t="s">
        <v>1420</v>
      </c>
      <c r="AA685" s="12" t="s">
        <v>1420</v>
      </c>
      <c r="AB685" s="12" t="s">
        <v>1420</v>
      </c>
      <c r="AC685" s="12" t="s">
        <v>1420</v>
      </c>
      <c r="AD685" s="12" t="s">
        <v>1420</v>
      </c>
      <c r="AE685" s="12" t="s">
        <v>1420</v>
      </c>
      <c r="AF685" s="12" t="s">
        <v>1420</v>
      </c>
      <c r="AG685" s="12" t="s">
        <v>1420</v>
      </c>
    </row>
    <row r="686" spans="1:33" ht="14.4" x14ac:dyDescent="0.3">
      <c r="A686" s="12" t="s">
        <v>19</v>
      </c>
      <c r="B686" s="12" t="s">
        <v>725</v>
      </c>
      <c r="C686" s="12" t="s">
        <v>724</v>
      </c>
      <c r="D686" s="12" t="s">
        <v>1410</v>
      </c>
      <c r="E686" s="12" t="s">
        <v>1611</v>
      </c>
      <c r="F686" s="12" t="s">
        <v>1609</v>
      </c>
      <c r="G686" s="12" t="s">
        <v>1612</v>
      </c>
      <c r="H686" s="12" t="s">
        <v>1464</v>
      </c>
      <c r="I686" s="12" t="s">
        <v>1420</v>
      </c>
      <c r="J686" s="12" t="s">
        <v>1420</v>
      </c>
      <c r="K686" s="12" t="s">
        <v>1420</v>
      </c>
      <c r="L686" s="12" t="s">
        <v>1420</v>
      </c>
      <c r="M686" s="12" t="s">
        <v>1420</v>
      </c>
      <c r="N686" s="12" t="s">
        <v>1420</v>
      </c>
      <c r="O686" s="12" t="s">
        <v>1420</v>
      </c>
      <c r="P686" s="12" t="s">
        <v>1420</v>
      </c>
      <c r="Q686" s="12" t="s">
        <v>1420</v>
      </c>
      <c r="R686" s="12" t="s">
        <v>1420</v>
      </c>
      <c r="S686" s="12" t="s">
        <v>1420</v>
      </c>
      <c r="T686" s="12" t="s">
        <v>1420</v>
      </c>
      <c r="U686" s="12" t="s">
        <v>1420</v>
      </c>
      <c r="V686" s="12" t="s">
        <v>1420</v>
      </c>
      <c r="W686" s="12" t="s">
        <v>1420</v>
      </c>
      <c r="X686" s="12" t="s">
        <v>1420</v>
      </c>
      <c r="Y686" s="12" t="s">
        <v>1420</v>
      </c>
      <c r="Z686" s="12" t="s">
        <v>1420</v>
      </c>
      <c r="AA686" s="12" t="s">
        <v>1420</v>
      </c>
      <c r="AB686" s="12" t="s">
        <v>1420</v>
      </c>
      <c r="AC686" s="12" t="s">
        <v>1420</v>
      </c>
      <c r="AD686" s="12" t="s">
        <v>1420</v>
      </c>
      <c r="AE686" s="12" t="s">
        <v>1420</v>
      </c>
      <c r="AF686" s="12" t="s">
        <v>1420</v>
      </c>
      <c r="AG686" s="12" t="s">
        <v>1420</v>
      </c>
    </row>
    <row r="687" spans="1:33" ht="14.4" x14ac:dyDescent="0.3">
      <c r="A687" s="12" t="s">
        <v>42</v>
      </c>
      <c r="B687" s="12" t="s">
        <v>200</v>
      </c>
      <c r="C687" s="12" t="s">
        <v>199</v>
      </c>
      <c r="D687" s="12" t="s">
        <v>1410</v>
      </c>
      <c r="E687" s="12" t="s">
        <v>2552</v>
      </c>
      <c r="F687" s="12" t="s">
        <v>2553</v>
      </c>
      <c r="G687" s="12" t="s">
        <v>2052</v>
      </c>
      <c r="H687" s="12" t="s">
        <v>1488</v>
      </c>
      <c r="I687" s="12" t="s">
        <v>1414</v>
      </c>
      <c r="J687" s="12" t="s">
        <v>1420</v>
      </c>
      <c r="K687" s="12" t="s">
        <v>1420</v>
      </c>
      <c r="L687" s="12" t="s">
        <v>1420</v>
      </c>
      <c r="M687" s="12" t="s">
        <v>1420</v>
      </c>
      <c r="N687" s="12" t="s">
        <v>1420</v>
      </c>
      <c r="O687" s="12" t="s">
        <v>1420</v>
      </c>
      <c r="P687" s="12" t="s">
        <v>1420</v>
      </c>
      <c r="Q687" s="12" t="s">
        <v>1420</v>
      </c>
      <c r="R687" s="12" t="s">
        <v>1420</v>
      </c>
      <c r="S687" s="12" t="s">
        <v>1414</v>
      </c>
      <c r="T687" s="12" t="s">
        <v>1414</v>
      </c>
      <c r="U687" s="12" t="s">
        <v>1420</v>
      </c>
      <c r="V687" s="12" t="s">
        <v>1420</v>
      </c>
      <c r="W687" s="12" t="s">
        <v>1420</v>
      </c>
      <c r="X687" s="12" t="s">
        <v>1420</v>
      </c>
      <c r="Y687" s="12" t="s">
        <v>1420</v>
      </c>
      <c r="Z687" s="12" t="s">
        <v>1414</v>
      </c>
      <c r="AA687" s="12" t="s">
        <v>1420</v>
      </c>
      <c r="AB687" s="12" t="s">
        <v>1420</v>
      </c>
      <c r="AC687" s="12" t="s">
        <v>1420</v>
      </c>
      <c r="AD687" s="12" t="s">
        <v>1420</v>
      </c>
      <c r="AE687" s="12" t="s">
        <v>1420</v>
      </c>
      <c r="AF687" s="12" t="s">
        <v>1420</v>
      </c>
      <c r="AG687" s="12" t="s">
        <v>1420</v>
      </c>
    </row>
    <row r="688" spans="1:33" ht="14.4" x14ac:dyDescent="0.3">
      <c r="A688" s="12" t="s">
        <v>8</v>
      </c>
      <c r="B688" s="12" t="s">
        <v>1259</v>
      </c>
      <c r="C688" s="12" t="s">
        <v>1258</v>
      </c>
      <c r="D688" s="12" t="s">
        <v>1410</v>
      </c>
      <c r="E688" s="12" t="s">
        <v>3136</v>
      </c>
      <c r="F688" s="12" t="s">
        <v>3137</v>
      </c>
      <c r="G688" s="12" t="s">
        <v>3009</v>
      </c>
      <c r="H688" s="12" t="s">
        <v>1424</v>
      </c>
      <c r="I688" s="12" t="s">
        <v>1420</v>
      </c>
      <c r="J688" s="12" t="s">
        <v>1420</v>
      </c>
      <c r="K688" s="12" t="s">
        <v>1420</v>
      </c>
      <c r="L688" s="12" t="s">
        <v>1420</v>
      </c>
      <c r="M688" s="12" t="s">
        <v>1420</v>
      </c>
      <c r="N688" s="12" t="s">
        <v>1420</v>
      </c>
      <c r="O688" s="12" t="s">
        <v>1420</v>
      </c>
      <c r="P688" s="12" t="s">
        <v>1420</v>
      </c>
      <c r="Q688" s="12" t="s">
        <v>1420</v>
      </c>
      <c r="R688" s="12" t="s">
        <v>1420</v>
      </c>
      <c r="S688" s="12" t="s">
        <v>1414</v>
      </c>
      <c r="T688" s="12" t="s">
        <v>1420</v>
      </c>
      <c r="U688" s="12" t="s">
        <v>1420</v>
      </c>
      <c r="V688" s="12" t="s">
        <v>1420</v>
      </c>
      <c r="W688" s="12" t="s">
        <v>1420</v>
      </c>
      <c r="X688" s="12" t="s">
        <v>1414</v>
      </c>
      <c r="Y688" s="12" t="s">
        <v>1414</v>
      </c>
      <c r="Z688" s="12" t="s">
        <v>1420</v>
      </c>
      <c r="AA688" s="12" t="s">
        <v>1420</v>
      </c>
      <c r="AB688" s="12" t="s">
        <v>1420</v>
      </c>
      <c r="AC688" s="12" t="s">
        <v>1420</v>
      </c>
      <c r="AD688" s="12" t="s">
        <v>1420</v>
      </c>
      <c r="AE688" s="12" t="s">
        <v>1420</v>
      </c>
      <c r="AF688" s="12" t="s">
        <v>1420</v>
      </c>
      <c r="AG688" s="12" t="s">
        <v>1420</v>
      </c>
    </row>
    <row r="689" spans="1:33" ht="14.4" x14ac:dyDescent="0.3">
      <c r="A689" s="12" t="s">
        <v>28</v>
      </c>
      <c r="B689" s="12" t="s">
        <v>1259</v>
      </c>
      <c r="C689" s="12" t="s">
        <v>5940</v>
      </c>
      <c r="D689" s="12" t="s">
        <v>1410</v>
      </c>
      <c r="E689" s="12" t="s">
        <v>5941</v>
      </c>
      <c r="F689" s="12" t="s">
        <v>5942</v>
      </c>
      <c r="G689" s="12" t="s">
        <v>5101</v>
      </c>
      <c r="H689" s="12" t="s">
        <v>1424</v>
      </c>
      <c r="I689" s="12" t="s">
        <v>1420</v>
      </c>
      <c r="J689" s="12" t="s">
        <v>1420</v>
      </c>
      <c r="K689" s="12" t="s">
        <v>1420</v>
      </c>
      <c r="L689" s="12" t="s">
        <v>1420</v>
      </c>
      <c r="M689" s="12" t="s">
        <v>1420</v>
      </c>
      <c r="N689" s="12" t="s">
        <v>1420</v>
      </c>
      <c r="O689" s="12" t="s">
        <v>1420</v>
      </c>
      <c r="P689" s="12" t="s">
        <v>1420</v>
      </c>
      <c r="Q689" s="12" t="s">
        <v>1420</v>
      </c>
      <c r="R689" s="12" t="s">
        <v>1420</v>
      </c>
      <c r="S689" s="12" t="s">
        <v>1414</v>
      </c>
      <c r="T689" s="12" t="s">
        <v>1420</v>
      </c>
      <c r="U689" s="12" t="s">
        <v>1420</v>
      </c>
      <c r="V689" s="12" t="s">
        <v>1420</v>
      </c>
      <c r="W689" s="12" t="s">
        <v>1420</v>
      </c>
      <c r="X689" s="12" t="s">
        <v>1414</v>
      </c>
      <c r="Y689" s="12" t="s">
        <v>1420</v>
      </c>
      <c r="Z689" s="12" t="s">
        <v>1420</v>
      </c>
      <c r="AA689" s="12" t="s">
        <v>1420</v>
      </c>
      <c r="AB689" s="12" t="s">
        <v>1420</v>
      </c>
      <c r="AC689" s="12" t="s">
        <v>1414</v>
      </c>
      <c r="AD689" s="12" t="s">
        <v>1420</v>
      </c>
      <c r="AE689" s="12" t="s">
        <v>1420</v>
      </c>
      <c r="AF689" s="12" t="s">
        <v>1420</v>
      </c>
      <c r="AG689" s="12" t="s">
        <v>1420</v>
      </c>
    </row>
    <row r="690" spans="1:33" ht="14.4" x14ac:dyDescent="0.3">
      <c r="A690" s="12" t="s">
        <v>55</v>
      </c>
      <c r="B690" s="12" t="s">
        <v>202</v>
      </c>
      <c r="C690" s="12" t="s">
        <v>201</v>
      </c>
      <c r="D690" s="12" t="s">
        <v>1410</v>
      </c>
      <c r="E690" s="12" t="s">
        <v>2460</v>
      </c>
      <c r="F690" s="12" t="s">
        <v>2455</v>
      </c>
      <c r="G690" s="12" t="s">
        <v>2461</v>
      </c>
      <c r="H690" s="12" t="s">
        <v>1452</v>
      </c>
      <c r="I690" s="12" t="s">
        <v>1420</v>
      </c>
      <c r="J690" s="12" t="s">
        <v>1420</v>
      </c>
      <c r="K690" s="12" t="s">
        <v>1420</v>
      </c>
      <c r="L690" s="12" t="s">
        <v>1420</v>
      </c>
      <c r="M690" s="12" t="s">
        <v>1420</v>
      </c>
      <c r="N690" s="12" t="s">
        <v>1420</v>
      </c>
      <c r="O690" s="12" t="s">
        <v>1420</v>
      </c>
      <c r="P690" s="12" t="s">
        <v>1420</v>
      </c>
      <c r="Q690" s="12" t="s">
        <v>1420</v>
      </c>
      <c r="R690" s="12" t="s">
        <v>1420</v>
      </c>
      <c r="S690" s="12" t="s">
        <v>1420</v>
      </c>
      <c r="T690" s="12" t="s">
        <v>1420</v>
      </c>
      <c r="U690" s="12" t="s">
        <v>1420</v>
      </c>
      <c r="V690" s="12" t="s">
        <v>1420</v>
      </c>
      <c r="W690" s="12" t="s">
        <v>1420</v>
      </c>
      <c r="X690" s="12" t="s">
        <v>1420</v>
      </c>
      <c r="Y690" s="12" t="s">
        <v>1420</v>
      </c>
      <c r="Z690" s="12" t="s">
        <v>1420</v>
      </c>
      <c r="AA690" s="12" t="s">
        <v>1420</v>
      </c>
      <c r="AB690" s="12" t="s">
        <v>1420</v>
      </c>
      <c r="AC690" s="12" t="s">
        <v>1414</v>
      </c>
      <c r="AD690" s="12" t="s">
        <v>1420</v>
      </c>
      <c r="AE690" s="12" t="s">
        <v>1420</v>
      </c>
      <c r="AF690" s="12" t="s">
        <v>1420</v>
      </c>
      <c r="AG690" s="12" t="s">
        <v>1420</v>
      </c>
    </row>
    <row r="691" spans="1:33" ht="14.4" x14ac:dyDescent="0.3">
      <c r="A691" s="12" t="s">
        <v>31</v>
      </c>
      <c r="B691" s="12" t="s">
        <v>202</v>
      </c>
      <c r="C691" s="12" t="s">
        <v>645</v>
      </c>
      <c r="D691" s="12" t="s">
        <v>1410</v>
      </c>
      <c r="E691" s="12" t="s">
        <v>1600</v>
      </c>
      <c r="F691" s="12" t="s">
        <v>1609</v>
      </c>
      <c r="G691" s="12" t="s">
        <v>1610</v>
      </c>
      <c r="H691" s="12" t="s">
        <v>1452</v>
      </c>
      <c r="I691" s="12" t="s">
        <v>1420</v>
      </c>
      <c r="J691" s="12" t="s">
        <v>1420</v>
      </c>
      <c r="K691" s="12" t="s">
        <v>1420</v>
      </c>
      <c r="L691" s="12" t="s">
        <v>1420</v>
      </c>
      <c r="M691" s="12" t="s">
        <v>1420</v>
      </c>
      <c r="N691" s="12" t="s">
        <v>1414</v>
      </c>
      <c r="O691" s="12" t="s">
        <v>1420</v>
      </c>
      <c r="P691" s="12" t="s">
        <v>1420</v>
      </c>
      <c r="Q691" s="12" t="s">
        <v>1420</v>
      </c>
      <c r="R691" s="12" t="s">
        <v>1420</v>
      </c>
      <c r="S691" s="12" t="s">
        <v>1420</v>
      </c>
      <c r="T691" s="12" t="s">
        <v>1420</v>
      </c>
      <c r="U691" s="12" t="s">
        <v>1420</v>
      </c>
      <c r="V691" s="12" t="s">
        <v>1420</v>
      </c>
      <c r="W691" s="12" t="s">
        <v>1420</v>
      </c>
      <c r="X691" s="12" t="s">
        <v>1420</v>
      </c>
      <c r="Y691" s="12" t="s">
        <v>1420</v>
      </c>
      <c r="Z691" s="12" t="s">
        <v>1420</v>
      </c>
      <c r="AA691" s="12" t="s">
        <v>1420</v>
      </c>
      <c r="AB691" s="12" t="s">
        <v>1420</v>
      </c>
      <c r="AC691" s="12" t="s">
        <v>1420</v>
      </c>
      <c r="AD691" s="12" t="s">
        <v>1420</v>
      </c>
      <c r="AE691" s="12" t="s">
        <v>1420</v>
      </c>
      <c r="AF691" s="12" t="s">
        <v>1420</v>
      </c>
      <c r="AG691" s="12" t="s">
        <v>1420</v>
      </c>
    </row>
    <row r="692" spans="1:33" ht="14.4" x14ac:dyDescent="0.3">
      <c r="A692" s="12" t="s">
        <v>49</v>
      </c>
      <c r="B692" s="12" t="s">
        <v>1063</v>
      </c>
      <c r="C692" s="12" t="s">
        <v>1062</v>
      </c>
      <c r="D692" s="12" t="s">
        <v>1410</v>
      </c>
      <c r="E692" s="12" t="s">
        <v>2569</v>
      </c>
      <c r="F692" s="12" t="s">
        <v>2570</v>
      </c>
      <c r="G692" s="12" t="s">
        <v>2175</v>
      </c>
      <c r="H692" s="12" t="s">
        <v>1424</v>
      </c>
      <c r="I692" s="12" t="s">
        <v>1420</v>
      </c>
      <c r="J692" s="12" t="s">
        <v>1420</v>
      </c>
      <c r="K692" s="12" t="s">
        <v>1420</v>
      </c>
      <c r="L692" s="12" t="s">
        <v>1420</v>
      </c>
      <c r="M692" s="12" t="s">
        <v>1420</v>
      </c>
      <c r="N692" s="12" t="s">
        <v>1420</v>
      </c>
      <c r="O692" s="12" t="s">
        <v>1420</v>
      </c>
      <c r="P692" s="12" t="s">
        <v>1420</v>
      </c>
      <c r="Q692" s="12" t="s">
        <v>1420</v>
      </c>
      <c r="R692" s="12" t="s">
        <v>1414</v>
      </c>
      <c r="S692" s="12" t="s">
        <v>1414</v>
      </c>
      <c r="T692" s="12" t="s">
        <v>1420</v>
      </c>
      <c r="U692" s="12" t="s">
        <v>1420</v>
      </c>
      <c r="V692" s="12" t="s">
        <v>1420</v>
      </c>
      <c r="W692" s="12" t="s">
        <v>1420</v>
      </c>
      <c r="X692" s="12" t="s">
        <v>1420</v>
      </c>
      <c r="Y692" s="12" t="s">
        <v>1420</v>
      </c>
      <c r="Z692" s="12" t="s">
        <v>1420</v>
      </c>
      <c r="AA692" s="12" t="s">
        <v>1420</v>
      </c>
      <c r="AB692" s="12" t="s">
        <v>1420</v>
      </c>
      <c r="AC692" s="12" t="s">
        <v>1420</v>
      </c>
      <c r="AD692" s="12" t="s">
        <v>1420</v>
      </c>
      <c r="AE692" s="12" t="s">
        <v>1414</v>
      </c>
      <c r="AF692" s="12" t="s">
        <v>1420</v>
      </c>
      <c r="AG692" s="12" t="s">
        <v>1420</v>
      </c>
    </row>
    <row r="693" spans="1:33" ht="14.4" x14ac:dyDescent="0.3">
      <c r="A693" s="12" t="s">
        <v>31</v>
      </c>
      <c r="B693" s="12" t="s">
        <v>1261</v>
      </c>
      <c r="C693" s="12" t="s">
        <v>1260</v>
      </c>
      <c r="D693" s="12" t="s">
        <v>1410</v>
      </c>
      <c r="E693" s="12" t="s">
        <v>3012</v>
      </c>
      <c r="F693" s="12" t="s">
        <v>3004</v>
      </c>
      <c r="G693" s="12" t="s">
        <v>3013</v>
      </c>
      <c r="H693" s="12" t="s">
        <v>1464</v>
      </c>
      <c r="I693" s="12" t="s">
        <v>1420</v>
      </c>
      <c r="J693" s="12" t="s">
        <v>1420</v>
      </c>
      <c r="K693" s="12" t="s">
        <v>1420</v>
      </c>
      <c r="L693" s="12" t="s">
        <v>1420</v>
      </c>
      <c r="M693" s="12" t="s">
        <v>1420</v>
      </c>
      <c r="N693" s="12" t="s">
        <v>1420</v>
      </c>
      <c r="O693" s="12" t="s">
        <v>1420</v>
      </c>
      <c r="P693" s="12" t="s">
        <v>1420</v>
      </c>
      <c r="Q693" s="12" t="s">
        <v>1420</v>
      </c>
      <c r="R693" s="12" t="s">
        <v>1420</v>
      </c>
      <c r="S693" s="12" t="s">
        <v>1420</v>
      </c>
      <c r="T693" s="12" t="s">
        <v>1420</v>
      </c>
      <c r="U693" s="12" t="s">
        <v>1420</v>
      </c>
      <c r="V693" s="12" t="s">
        <v>1420</v>
      </c>
      <c r="W693" s="12" t="s">
        <v>1420</v>
      </c>
      <c r="X693" s="12" t="s">
        <v>1420</v>
      </c>
      <c r="Y693" s="12" t="s">
        <v>1420</v>
      </c>
      <c r="Z693" s="12" t="s">
        <v>1420</v>
      </c>
      <c r="AA693" s="12" t="s">
        <v>1420</v>
      </c>
      <c r="AB693" s="12" t="s">
        <v>1420</v>
      </c>
      <c r="AC693" s="12" t="s">
        <v>1420</v>
      </c>
      <c r="AD693" s="12" t="s">
        <v>1420</v>
      </c>
      <c r="AE693" s="12" t="s">
        <v>1420</v>
      </c>
      <c r="AF693" s="12" t="s">
        <v>1420</v>
      </c>
      <c r="AG693" s="12" t="s">
        <v>1420</v>
      </c>
    </row>
    <row r="694" spans="1:33" ht="14.4" x14ac:dyDescent="0.3">
      <c r="A694" s="12" t="s">
        <v>397</v>
      </c>
      <c r="B694" s="12" t="s">
        <v>396</v>
      </c>
      <c r="C694" s="12" t="s">
        <v>395</v>
      </c>
      <c r="D694" s="12" t="s">
        <v>1410</v>
      </c>
      <c r="E694" s="12" t="s">
        <v>1853</v>
      </c>
      <c r="F694" s="12" t="s">
        <v>1854</v>
      </c>
      <c r="G694" s="12" t="s">
        <v>1855</v>
      </c>
      <c r="H694" s="12" t="s">
        <v>1488</v>
      </c>
      <c r="I694" s="12" t="s">
        <v>1420</v>
      </c>
      <c r="J694" s="12" t="s">
        <v>1420</v>
      </c>
      <c r="K694" s="12" t="s">
        <v>1420</v>
      </c>
      <c r="L694" s="12" t="s">
        <v>1420</v>
      </c>
      <c r="M694" s="12" t="s">
        <v>1420</v>
      </c>
      <c r="N694" s="12" t="s">
        <v>1420</v>
      </c>
      <c r="O694" s="12" t="s">
        <v>1414</v>
      </c>
      <c r="P694" s="12" t="s">
        <v>1420</v>
      </c>
      <c r="Q694" s="12" t="s">
        <v>1420</v>
      </c>
      <c r="R694" s="12" t="s">
        <v>1420</v>
      </c>
      <c r="S694" s="12" t="s">
        <v>1420</v>
      </c>
      <c r="T694" s="12" t="s">
        <v>1420</v>
      </c>
      <c r="U694" s="12" t="s">
        <v>1420</v>
      </c>
      <c r="V694" s="12" t="s">
        <v>1420</v>
      </c>
      <c r="W694" s="12" t="s">
        <v>1420</v>
      </c>
      <c r="X694" s="12" t="s">
        <v>1414</v>
      </c>
      <c r="Y694" s="12" t="s">
        <v>1420</v>
      </c>
      <c r="Z694" s="12" t="s">
        <v>1420</v>
      </c>
      <c r="AA694" s="12" t="s">
        <v>1414</v>
      </c>
      <c r="AB694" s="12" t="s">
        <v>1420</v>
      </c>
      <c r="AC694" s="12" t="s">
        <v>1414</v>
      </c>
      <c r="AD694" s="12" t="s">
        <v>1420</v>
      </c>
      <c r="AE694" s="12" t="s">
        <v>1420</v>
      </c>
      <c r="AF694" s="12" t="s">
        <v>1420</v>
      </c>
      <c r="AG694" s="12" t="s">
        <v>1420</v>
      </c>
    </row>
    <row r="695" spans="1:33" ht="14.4" x14ac:dyDescent="0.3">
      <c r="A695" s="12" t="s">
        <v>8</v>
      </c>
      <c r="B695" s="12" t="s">
        <v>975</v>
      </c>
      <c r="C695" s="12" t="s">
        <v>974</v>
      </c>
      <c r="D695" s="12" t="s">
        <v>1410</v>
      </c>
      <c r="E695" s="12" t="s">
        <v>2717</v>
      </c>
      <c r="F695" s="12" t="s">
        <v>2718</v>
      </c>
      <c r="G695" s="12" t="s">
        <v>2719</v>
      </c>
      <c r="H695" s="12" t="s">
        <v>1424</v>
      </c>
      <c r="I695" s="12" t="s">
        <v>1420</v>
      </c>
      <c r="J695" s="12" t="s">
        <v>1414</v>
      </c>
      <c r="K695" s="12" t="s">
        <v>1420</v>
      </c>
      <c r="L695" s="12" t="s">
        <v>1420</v>
      </c>
      <c r="M695" s="12" t="s">
        <v>1420</v>
      </c>
      <c r="N695" s="12" t="s">
        <v>1414</v>
      </c>
      <c r="O695" s="12" t="s">
        <v>1420</v>
      </c>
      <c r="P695" s="12" t="s">
        <v>1420</v>
      </c>
      <c r="Q695" s="12" t="s">
        <v>1420</v>
      </c>
      <c r="R695" s="12" t="s">
        <v>1420</v>
      </c>
      <c r="S695" s="12" t="s">
        <v>1414</v>
      </c>
      <c r="T695" s="12" t="s">
        <v>1420</v>
      </c>
      <c r="U695" s="12" t="s">
        <v>1420</v>
      </c>
      <c r="V695" s="12" t="s">
        <v>1420</v>
      </c>
      <c r="W695" s="12" t="s">
        <v>1420</v>
      </c>
      <c r="X695" s="12" t="s">
        <v>1420</v>
      </c>
      <c r="Y695" s="12" t="s">
        <v>1420</v>
      </c>
      <c r="Z695" s="12" t="s">
        <v>1420</v>
      </c>
      <c r="AA695" s="12" t="s">
        <v>1420</v>
      </c>
      <c r="AB695" s="12" t="s">
        <v>1420</v>
      </c>
      <c r="AC695" s="12" t="s">
        <v>1420</v>
      </c>
      <c r="AD695" s="12" t="s">
        <v>1420</v>
      </c>
      <c r="AE695" s="12" t="s">
        <v>1420</v>
      </c>
      <c r="AF695" s="12" t="s">
        <v>1420</v>
      </c>
      <c r="AG695" s="12" t="s">
        <v>1420</v>
      </c>
    </row>
    <row r="696" spans="1:33" ht="14.4" x14ac:dyDescent="0.3">
      <c r="A696" s="12" t="s">
        <v>8</v>
      </c>
      <c r="B696" s="12" t="s">
        <v>977</v>
      </c>
      <c r="C696" s="12" t="s">
        <v>976</v>
      </c>
      <c r="D696" s="12" t="s">
        <v>1410</v>
      </c>
      <c r="E696" s="12" t="s">
        <v>3152</v>
      </c>
      <c r="F696" s="12" t="s">
        <v>3153</v>
      </c>
      <c r="G696" s="12" t="s">
        <v>3154</v>
      </c>
      <c r="H696" s="12" t="s">
        <v>1464</v>
      </c>
      <c r="I696" s="12" t="s">
        <v>1420</v>
      </c>
      <c r="J696" s="12" t="s">
        <v>1420</v>
      </c>
      <c r="K696" s="12" t="s">
        <v>1420</v>
      </c>
      <c r="L696" s="12" t="s">
        <v>1420</v>
      </c>
      <c r="M696" s="12" t="s">
        <v>1420</v>
      </c>
      <c r="N696" s="12" t="s">
        <v>1420</v>
      </c>
      <c r="O696" s="12" t="s">
        <v>1420</v>
      </c>
      <c r="P696" s="12" t="s">
        <v>1420</v>
      </c>
      <c r="Q696" s="12" t="s">
        <v>1420</v>
      </c>
      <c r="R696" s="12" t="s">
        <v>1420</v>
      </c>
      <c r="S696" s="12" t="s">
        <v>1420</v>
      </c>
      <c r="T696" s="12" t="s">
        <v>1420</v>
      </c>
      <c r="U696" s="12" t="s">
        <v>1420</v>
      </c>
      <c r="V696" s="12" t="s">
        <v>1420</v>
      </c>
      <c r="W696" s="12" t="s">
        <v>1420</v>
      </c>
      <c r="X696" s="12" t="s">
        <v>1420</v>
      </c>
      <c r="Y696" s="12" t="s">
        <v>1420</v>
      </c>
      <c r="Z696" s="12" t="s">
        <v>1420</v>
      </c>
      <c r="AA696" s="12" t="s">
        <v>1420</v>
      </c>
      <c r="AB696" s="12" t="s">
        <v>1420</v>
      </c>
      <c r="AC696" s="12" t="s">
        <v>1420</v>
      </c>
      <c r="AD696" s="12" t="s">
        <v>1420</v>
      </c>
      <c r="AE696" s="12" t="s">
        <v>1420</v>
      </c>
      <c r="AF696" s="12" t="s">
        <v>1420</v>
      </c>
      <c r="AG696" s="12" t="s">
        <v>1420</v>
      </c>
    </row>
    <row r="697" spans="1:33" ht="14.4" x14ac:dyDescent="0.3">
      <c r="A697" s="12" t="s">
        <v>55</v>
      </c>
      <c r="B697" s="12" t="s">
        <v>1263</v>
      </c>
      <c r="C697" s="12" t="s">
        <v>1262</v>
      </c>
      <c r="D697" s="12" t="s">
        <v>1410</v>
      </c>
      <c r="E697" s="12" t="s">
        <v>1958</v>
      </c>
      <c r="F697" s="12" t="s">
        <v>1959</v>
      </c>
      <c r="G697" s="12" t="s">
        <v>1960</v>
      </c>
      <c r="H697" s="12" t="s">
        <v>1448</v>
      </c>
      <c r="I697" s="12" t="s">
        <v>1420</v>
      </c>
      <c r="J697" s="12" t="s">
        <v>1420</v>
      </c>
      <c r="K697" s="12" t="s">
        <v>1420</v>
      </c>
      <c r="L697" s="12" t="s">
        <v>1420</v>
      </c>
      <c r="M697" s="12" t="s">
        <v>1420</v>
      </c>
      <c r="N697" s="12" t="s">
        <v>1420</v>
      </c>
      <c r="O697" s="12" t="s">
        <v>1420</v>
      </c>
      <c r="P697" s="12" t="s">
        <v>1414</v>
      </c>
      <c r="Q697" s="12" t="s">
        <v>1420</v>
      </c>
      <c r="R697" s="12" t="s">
        <v>1420</v>
      </c>
      <c r="S697" s="12" t="s">
        <v>1420</v>
      </c>
      <c r="T697" s="12" t="s">
        <v>1414</v>
      </c>
      <c r="U697" s="12" t="s">
        <v>1420</v>
      </c>
      <c r="V697" s="12" t="s">
        <v>1420</v>
      </c>
      <c r="W697" s="12" t="s">
        <v>1414</v>
      </c>
      <c r="X697" s="12" t="s">
        <v>1414</v>
      </c>
      <c r="Y697" s="12" t="s">
        <v>1420</v>
      </c>
      <c r="Z697" s="12" t="s">
        <v>1420</v>
      </c>
      <c r="AA697" s="12" t="s">
        <v>1420</v>
      </c>
      <c r="AB697" s="12" t="s">
        <v>1420</v>
      </c>
      <c r="AC697" s="12" t="s">
        <v>1414</v>
      </c>
      <c r="AD697" s="12" t="s">
        <v>1420</v>
      </c>
      <c r="AE697" s="12" t="s">
        <v>1420</v>
      </c>
      <c r="AF697" s="12" t="s">
        <v>1420</v>
      </c>
      <c r="AG697" s="12" t="s">
        <v>1420</v>
      </c>
    </row>
    <row r="698" spans="1:33" ht="14.4" x14ac:dyDescent="0.3">
      <c r="A698" s="12" t="s">
        <v>42</v>
      </c>
      <c r="B698" s="12" t="s">
        <v>1265</v>
      </c>
      <c r="C698" s="12" t="s">
        <v>1264</v>
      </c>
      <c r="D698" s="12" t="s">
        <v>1410</v>
      </c>
      <c r="E698" s="12" t="s">
        <v>3027</v>
      </c>
      <c r="F698" s="12" t="s">
        <v>3044</v>
      </c>
      <c r="G698" s="12" t="s">
        <v>3045</v>
      </c>
      <c r="H698" s="12" t="s">
        <v>1452</v>
      </c>
      <c r="I698" s="12" t="s">
        <v>1420</v>
      </c>
      <c r="J698" s="12" t="s">
        <v>1420</v>
      </c>
      <c r="K698" s="12" t="s">
        <v>1420</v>
      </c>
      <c r="L698" s="12" t="s">
        <v>1420</v>
      </c>
      <c r="M698" s="12" t="s">
        <v>1420</v>
      </c>
      <c r="N698" s="12" t="s">
        <v>1420</v>
      </c>
      <c r="O698" s="12" t="s">
        <v>1420</v>
      </c>
      <c r="P698" s="12" t="s">
        <v>1420</v>
      </c>
      <c r="Q698" s="12" t="s">
        <v>1420</v>
      </c>
      <c r="R698" s="12" t="s">
        <v>1420</v>
      </c>
      <c r="S698" s="12" t="s">
        <v>1420</v>
      </c>
      <c r="T698" s="12" t="s">
        <v>1420</v>
      </c>
      <c r="U698" s="12" t="s">
        <v>1420</v>
      </c>
      <c r="V698" s="12" t="s">
        <v>1420</v>
      </c>
      <c r="W698" s="12" t="s">
        <v>1420</v>
      </c>
      <c r="X698" s="12" t="s">
        <v>1420</v>
      </c>
      <c r="Y698" s="12" t="s">
        <v>1420</v>
      </c>
      <c r="Z698" s="12" t="s">
        <v>1420</v>
      </c>
      <c r="AA698" s="12" t="s">
        <v>1414</v>
      </c>
      <c r="AB698" s="12" t="s">
        <v>1420</v>
      </c>
      <c r="AC698" s="12" t="s">
        <v>1420</v>
      </c>
      <c r="AD698" s="12" t="s">
        <v>1420</v>
      </c>
      <c r="AE698" s="12" t="s">
        <v>1420</v>
      </c>
      <c r="AF698" s="12" t="s">
        <v>1420</v>
      </c>
      <c r="AG698" s="12" t="s">
        <v>1420</v>
      </c>
    </row>
    <row r="699" spans="1:33" ht="14.4" x14ac:dyDescent="0.3">
      <c r="A699" s="12" t="s">
        <v>123</v>
      </c>
      <c r="B699" s="12" t="s">
        <v>979</v>
      </c>
      <c r="C699" s="12" t="s">
        <v>978</v>
      </c>
      <c r="D699" s="12" t="s">
        <v>1410</v>
      </c>
      <c r="E699" s="12" t="s">
        <v>2602</v>
      </c>
      <c r="F699" s="12" t="s">
        <v>2603</v>
      </c>
      <c r="G699" s="12" t="s">
        <v>2604</v>
      </c>
      <c r="H699" s="12" t="s">
        <v>1606</v>
      </c>
      <c r="I699" s="12" t="s">
        <v>1420</v>
      </c>
      <c r="J699" s="12" t="s">
        <v>1414</v>
      </c>
      <c r="K699" s="12" t="s">
        <v>1420</v>
      </c>
      <c r="L699" s="12" t="s">
        <v>1420</v>
      </c>
      <c r="M699" s="12" t="s">
        <v>1420</v>
      </c>
      <c r="N699" s="12" t="s">
        <v>1420</v>
      </c>
      <c r="O699" s="12" t="s">
        <v>1414</v>
      </c>
      <c r="P699" s="12" t="s">
        <v>1420</v>
      </c>
      <c r="Q699" s="12" t="s">
        <v>1420</v>
      </c>
      <c r="R699" s="12" t="s">
        <v>1420</v>
      </c>
      <c r="S699" s="12" t="s">
        <v>1414</v>
      </c>
      <c r="T699" s="12" t="s">
        <v>1420</v>
      </c>
      <c r="U699" s="12" t="s">
        <v>1420</v>
      </c>
      <c r="V699" s="12" t="s">
        <v>1414</v>
      </c>
      <c r="W699" s="12" t="s">
        <v>1420</v>
      </c>
      <c r="X699" s="12" t="s">
        <v>1420</v>
      </c>
      <c r="Y699" s="12" t="s">
        <v>1414</v>
      </c>
      <c r="Z699" s="12" t="s">
        <v>1420</v>
      </c>
      <c r="AA699" s="12" t="s">
        <v>1420</v>
      </c>
      <c r="AB699" s="12" t="s">
        <v>1420</v>
      </c>
      <c r="AC699" s="12" t="s">
        <v>1414</v>
      </c>
      <c r="AD699" s="12" t="s">
        <v>1414</v>
      </c>
      <c r="AE699" s="12" t="s">
        <v>1420</v>
      </c>
      <c r="AF699" s="12" t="s">
        <v>1414</v>
      </c>
      <c r="AG699" s="12" t="s">
        <v>1420</v>
      </c>
    </row>
    <row r="700" spans="1:33" ht="14.4" x14ac:dyDescent="0.3">
      <c r="A700" s="12" t="s">
        <v>123</v>
      </c>
      <c r="B700" s="12" t="s">
        <v>979</v>
      </c>
      <c r="C700" s="12" t="s">
        <v>978</v>
      </c>
      <c r="D700" s="12" t="s">
        <v>1410</v>
      </c>
      <c r="E700" s="12" t="s">
        <v>2608</v>
      </c>
      <c r="F700" s="12" t="s">
        <v>2609</v>
      </c>
      <c r="G700" s="12" t="s">
        <v>1497</v>
      </c>
      <c r="H700" s="12" t="s">
        <v>1424</v>
      </c>
      <c r="I700" s="12" t="s">
        <v>1420</v>
      </c>
      <c r="J700" s="12" t="s">
        <v>1420</v>
      </c>
      <c r="K700" s="12" t="s">
        <v>1420</v>
      </c>
      <c r="L700" s="12" t="s">
        <v>1420</v>
      </c>
      <c r="M700" s="12" t="s">
        <v>1420</v>
      </c>
      <c r="N700" s="12" t="s">
        <v>1420</v>
      </c>
      <c r="O700" s="12" t="s">
        <v>1420</v>
      </c>
      <c r="P700" s="12" t="s">
        <v>1420</v>
      </c>
      <c r="Q700" s="12" t="s">
        <v>1420</v>
      </c>
      <c r="R700" s="12" t="s">
        <v>1420</v>
      </c>
      <c r="S700" s="12" t="s">
        <v>1420</v>
      </c>
      <c r="T700" s="12" t="s">
        <v>1420</v>
      </c>
      <c r="U700" s="12" t="s">
        <v>1420</v>
      </c>
      <c r="V700" s="12" t="s">
        <v>1420</v>
      </c>
      <c r="W700" s="12" t="s">
        <v>1420</v>
      </c>
      <c r="X700" s="12" t="s">
        <v>1420</v>
      </c>
      <c r="Y700" s="12" t="s">
        <v>1420</v>
      </c>
      <c r="Z700" s="12" t="s">
        <v>1420</v>
      </c>
      <c r="AA700" s="12" t="s">
        <v>1420</v>
      </c>
      <c r="AB700" s="12" t="s">
        <v>1414</v>
      </c>
      <c r="AC700" s="12" t="s">
        <v>1414</v>
      </c>
      <c r="AD700" s="12" t="s">
        <v>1414</v>
      </c>
      <c r="AE700" s="12" t="s">
        <v>1420</v>
      </c>
      <c r="AF700" s="12" t="s">
        <v>1420</v>
      </c>
      <c r="AG700" s="12" t="s">
        <v>1420</v>
      </c>
    </row>
    <row r="701" spans="1:33" ht="14.4" x14ac:dyDescent="0.3">
      <c r="A701" s="12" t="s">
        <v>55</v>
      </c>
      <c r="B701" s="12" t="s">
        <v>204</v>
      </c>
      <c r="C701" s="12" t="s">
        <v>203</v>
      </c>
      <c r="D701" s="12" t="s">
        <v>1410</v>
      </c>
      <c r="E701" s="12" t="s">
        <v>2417</v>
      </c>
      <c r="F701" s="12" t="s">
        <v>2418</v>
      </c>
      <c r="G701" s="12" t="s">
        <v>2366</v>
      </c>
      <c r="H701" s="12" t="s">
        <v>1452</v>
      </c>
      <c r="I701" s="12" t="s">
        <v>1420</v>
      </c>
      <c r="J701" s="12" t="s">
        <v>1420</v>
      </c>
      <c r="K701" s="12" t="s">
        <v>1420</v>
      </c>
      <c r="L701" s="12" t="s">
        <v>1420</v>
      </c>
      <c r="M701" s="12" t="s">
        <v>1420</v>
      </c>
      <c r="N701" s="12" t="s">
        <v>1420</v>
      </c>
      <c r="O701" s="12" t="s">
        <v>1420</v>
      </c>
      <c r="P701" s="12" t="s">
        <v>1414</v>
      </c>
      <c r="Q701" s="12" t="s">
        <v>1420</v>
      </c>
      <c r="R701" s="12" t="s">
        <v>1420</v>
      </c>
      <c r="S701" s="12" t="s">
        <v>1420</v>
      </c>
      <c r="T701" s="12" t="s">
        <v>1420</v>
      </c>
      <c r="U701" s="12" t="s">
        <v>1420</v>
      </c>
      <c r="V701" s="12" t="s">
        <v>1420</v>
      </c>
      <c r="W701" s="12" t="s">
        <v>1420</v>
      </c>
      <c r="X701" s="12" t="s">
        <v>1420</v>
      </c>
      <c r="Y701" s="12" t="s">
        <v>1420</v>
      </c>
      <c r="Z701" s="12" t="s">
        <v>1420</v>
      </c>
      <c r="AA701" s="12" t="s">
        <v>1420</v>
      </c>
      <c r="AB701" s="12" t="s">
        <v>1420</v>
      </c>
      <c r="AC701" s="12" t="s">
        <v>1420</v>
      </c>
      <c r="AD701" s="12" t="s">
        <v>1420</v>
      </c>
      <c r="AE701" s="12" t="s">
        <v>1420</v>
      </c>
      <c r="AF701" s="12" t="s">
        <v>1420</v>
      </c>
      <c r="AG701" s="12" t="s">
        <v>1420</v>
      </c>
    </row>
    <row r="702" spans="1:33" ht="14.4" x14ac:dyDescent="0.3">
      <c r="A702" s="12" t="s">
        <v>8</v>
      </c>
      <c r="B702" s="12" t="s">
        <v>204</v>
      </c>
      <c r="C702" s="12" t="s">
        <v>5943</v>
      </c>
      <c r="D702" s="12" t="s">
        <v>1410</v>
      </c>
      <c r="E702" s="12" t="s">
        <v>5944</v>
      </c>
      <c r="F702" s="12" t="s">
        <v>5945</v>
      </c>
      <c r="G702" s="12" t="s">
        <v>1842</v>
      </c>
      <c r="H702" s="12" t="s">
        <v>1452</v>
      </c>
      <c r="I702" s="12" t="s">
        <v>1420</v>
      </c>
      <c r="J702" s="12" t="s">
        <v>1420</v>
      </c>
      <c r="K702" s="12" t="s">
        <v>1420</v>
      </c>
      <c r="L702" s="12" t="s">
        <v>1420</v>
      </c>
      <c r="M702" s="12" t="s">
        <v>1420</v>
      </c>
      <c r="N702" s="12" t="s">
        <v>1420</v>
      </c>
      <c r="O702" s="12" t="s">
        <v>1414</v>
      </c>
      <c r="P702" s="12" t="s">
        <v>1420</v>
      </c>
      <c r="Q702" s="12" t="s">
        <v>1420</v>
      </c>
      <c r="R702" s="12" t="s">
        <v>1420</v>
      </c>
      <c r="S702" s="12" t="s">
        <v>1420</v>
      </c>
      <c r="T702" s="12" t="s">
        <v>1420</v>
      </c>
      <c r="U702" s="12" t="s">
        <v>1420</v>
      </c>
      <c r="V702" s="12" t="s">
        <v>1420</v>
      </c>
      <c r="W702" s="12" t="s">
        <v>1420</v>
      </c>
      <c r="X702" s="12" t="s">
        <v>1420</v>
      </c>
      <c r="Y702" s="12" t="s">
        <v>1420</v>
      </c>
      <c r="Z702" s="12" t="s">
        <v>1420</v>
      </c>
      <c r="AA702" s="12" t="s">
        <v>1420</v>
      </c>
      <c r="AB702" s="12" t="s">
        <v>1420</v>
      </c>
      <c r="AC702" s="12" t="s">
        <v>1420</v>
      </c>
      <c r="AD702" s="12" t="s">
        <v>1420</v>
      </c>
      <c r="AE702" s="12" t="s">
        <v>1420</v>
      </c>
      <c r="AF702" s="12" t="s">
        <v>1420</v>
      </c>
      <c r="AG702" s="12" t="s">
        <v>1420</v>
      </c>
    </row>
    <row r="703" spans="1:33" ht="14.4" x14ac:dyDescent="0.3">
      <c r="A703" s="12" t="s">
        <v>8</v>
      </c>
      <c r="B703" s="12" t="s">
        <v>204</v>
      </c>
      <c r="C703" s="12" t="s">
        <v>1266</v>
      </c>
      <c r="D703" s="12" t="s">
        <v>1410</v>
      </c>
      <c r="E703" s="12" t="s">
        <v>3006</v>
      </c>
      <c r="F703" s="12" t="s">
        <v>3022</v>
      </c>
      <c r="G703" s="12" t="s">
        <v>3023</v>
      </c>
      <c r="H703" s="12" t="s">
        <v>1488</v>
      </c>
      <c r="I703" s="12" t="s">
        <v>1420</v>
      </c>
      <c r="J703" s="12" t="s">
        <v>1420</v>
      </c>
      <c r="K703" s="12" t="s">
        <v>1420</v>
      </c>
      <c r="L703" s="12" t="s">
        <v>1420</v>
      </c>
      <c r="M703" s="12" t="s">
        <v>1420</v>
      </c>
      <c r="N703" s="12" t="s">
        <v>1414</v>
      </c>
      <c r="O703" s="12" t="s">
        <v>1414</v>
      </c>
      <c r="P703" s="12" t="s">
        <v>1414</v>
      </c>
      <c r="Q703" s="12" t="s">
        <v>1420</v>
      </c>
      <c r="R703" s="12" t="s">
        <v>1420</v>
      </c>
      <c r="S703" s="12" t="s">
        <v>1420</v>
      </c>
      <c r="T703" s="12" t="s">
        <v>1420</v>
      </c>
      <c r="U703" s="12" t="s">
        <v>1420</v>
      </c>
      <c r="V703" s="12" t="s">
        <v>1420</v>
      </c>
      <c r="W703" s="12" t="s">
        <v>1420</v>
      </c>
      <c r="X703" s="12" t="s">
        <v>1420</v>
      </c>
      <c r="Y703" s="12" t="s">
        <v>1420</v>
      </c>
      <c r="Z703" s="12" t="s">
        <v>1420</v>
      </c>
      <c r="AA703" s="12" t="s">
        <v>1420</v>
      </c>
      <c r="AB703" s="12" t="s">
        <v>1420</v>
      </c>
      <c r="AC703" s="12" t="s">
        <v>1420</v>
      </c>
      <c r="AD703" s="12" t="s">
        <v>1414</v>
      </c>
      <c r="AE703" s="12" t="s">
        <v>1420</v>
      </c>
      <c r="AF703" s="12" t="s">
        <v>1420</v>
      </c>
      <c r="AG703" s="12" t="s">
        <v>1420</v>
      </c>
    </row>
    <row r="704" spans="1:33" ht="14.4" x14ac:dyDescent="0.3">
      <c r="A704" s="12" t="s">
        <v>337</v>
      </c>
      <c r="B704" s="12" t="s">
        <v>399</v>
      </c>
      <c r="C704" s="12" t="s">
        <v>398</v>
      </c>
      <c r="D704" s="12" t="s">
        <v>1410</v>
      </c>
      <c r="E704" s="12" t="s">
        <v>1757</v>
      </c>
      <c r="F704" s="12" t="s">
        <v>1793</v>
      </c>
      <c r="G704" s="12" t="s">
        <v>1794</v>
      </c>
      <c r="H704" s="12" t="s">
        <v>1488</v>
      </c>
      <c r="I704" s="12" t="s">
        <v>1420</v>
      </c>
      <c r="J704" s="12" t="s">
        <v>1420</v>
      </c>
      <c r="K704" s="12" t="s">
        <v>1420</v>
      </c>
      <c r="L704" s="12" t="s">
        <v>1420</v>
      </c>
      <c r="M704" s="12" t="s">
        <v>1420</v>
      </c>
      <c r="N704" s="12" t="s">
        <v>1414</v>
      </c>
      <c r="O704" s="12" t="s">
        <v>1414</v>
      </c>
      <c r="P704" s="12" t="s">
        <v>1420</v>
      </c>
      <c r="Q704" s="12" t="s">
        <v>1420</v>
      </c>
      <c r="R704" s="12" t="s">
        <v>1420</v>
      </c>
      <c r="S704" s="12" t="s">
        <v>1414</v>
      </c>
      <c r="T704" s="12" t="s">
        <v>1420</v>
      </c>
      <c r="U704" s="12" t="s">
        <v>1414</v>
      </c>
      <c r="V704" s="12" t="s">
        <v>1420</v>
      </c>
      <c r="W704" s="12" t="s">
        <v>1420</v>
      </c>
      <c r="X704" s="12" t="s">
        <v>1420</v>
      </c>
      <c r="Y704" s="12" t="s">
        <v>1420</v>
      </c>
      <c r="Z704" s="12" t="s">
        <v>1420</v>
      </c>
      <c r="AA704" s="12" t="s">
        <v>1420</v>
      </c>
      <c r="AB704" s="12" t="s">
        <v>1420</v>
      </c>
      <c r="AC704" s="12" t="s">
        <v>1420</v>
      </c>
      <c r="AD704" s="12" t="s">
        <v>1420</v>
      </c>
      <c r="AE704" s="12" t="s">
        <v>1420</v>
      </c>
      <c r="AF704" s="12" t="s">
        <v>1420</v>
      </c>
      <c r="AG704" s="12" t="s">
        <v>1420</v>
      </c>
    </row>
    <row r="705" spans="1:33" ht="14.4" x14ac:dyDescent="0.3">
      <c r="A705" s="12" t="s">
        <v>55</v>
      </c>
      <c r="B705" s="12" t="s">
        <v>647</v>
      </c>
      <c r="C705" s="12" t="s">
        <v>646</v>
      </c>
      <c r="D705" s="12" t="s">
        <v>1410</v>
      </c>
      <c r="E705" s="12" t="s">
        <v>1574</v>
      </c>
      <c r="F705" s="12" t="s">
        <v>1575</v>
      </c>
      <c r="G705" s="12" t="s">
        <v>1576</v>
      </c>
      <c r="H705" s="12" t="s">
        <v>1448</v>
      </c>
      <c r="I705" s="12" t="s">
        <v>1420</v>
      </c>
      <c r="J705" s="12" t="s">
        <v>1420</v>
      </c>
      <c r="K705" s="12" t="s">
        <v>1420</v>
      </c>
      <c r="L705" s="12" t="s">
        <v>1420</v>
      </c>
      <c r="M705" s="12" t="s">
        <v>1420</v>
      </c>
      <c r="N705" s="12" t="s">
        <v>1420</v>
      </c>
      <c r="O705" s="12" t="s">
        <v>1420</v>
      </c>
      <c r="P705" s="12" t="s">
        <v>1414</v>
      </c>
      <c r="Q705" s="12" t="s">
        <v>1420</v>
      </c>
      <c r="R705" s="12" t="s">
        <v>1420</v>
      </c>
      <c r="S705" s="12" t="s">
        <v>1414</v>
      </c>
      <c r="T705" s="12" t="s">
        <v>1420</v>
      </c>
      <c r="U705" s="12" t="s">
        <v>1420</v>
      </c>
      <c r="V705" s="12" t="s">
        <v>1420</v>
      </c>
      <c r="W705" s="12" t="s">
        <v>1414</v>
      </c>
      <c r="X705" s="12" t="s">
        <v>1414</v>
      </c>
      <c r="Y705" s="12" t="s">
        <v>1420</v>
      </c>
      <c r="Z705" s="12" t="s">
        <v>1414</v>
      </c>
      <c r="AA705" s="12" t="s">
        <v>1420</v>
      </c>
      <c r="AB705" s="12" t="s">
        <v>1420</v>
      </c>
      <c r="AC705" s="12" t="s">
        <v>1420</v>
      </c>
      <c r="AD705" s="12" t="s">
        <v>1420</v>
      </c>
      <c r="AE705" s="12" t="s">
        <v>1420</v>
      </c>
      <c r="AF705" s="12" t="s">
        <v>1420</v>
      </c>
      <c r="AG705" s="12" t="s">
        <v>1420</v>
      </c>
    </row>
    <row r="706" spans="1:33" ht="14.4" x14ac:dyDescent="0.3">
      <c r="A706" s="12" t="s">
        <v>55</v>
      </c>
      <c r="B706" s="12" t="s">
        <v>649</v>
      </c>
      <c r="C706" s="12" t="s">
        <v>648</v>
      </c>
      <c r="D706" s="12" t="s">
        <v>1410</v>
      </c>
      <c r="E706" s="12" t="s">
        <v>1577</v>
      </c>
      <c r="F706" s="12" t="s">
        <v>1578</v>
      </c>
      <c r="G706" s="12" t="s">
        <v>1579</v>
      </c>
      <c r="H706" s="12" t="s">
        <v>1464</v>
      </c>
      <c r="I706" s="12" t="s">
        <v>1420</v>
      </c>
      <c r="J706" s="12" t="s">
        <v>1420</v>
      </c>
      <c r="K706" s="12" t="s">
        <v>1420</v>
      </c>
      <c r="L706" s="12" t="s">
        <v>1420</v>
      </c>
      <c r="M706" s="12" t="s">
        <v>1420</v>
      </c>
      <c r="N706" s="12" t="s">
        <v>1420</v>
      </c>
      <c r="O706" s="12" t="s">
        <v>1420</v>
      </c>
      <c r="P706" s="12" t="s">
        <v>1420</v>
      </c>
      <c r="Q706" s="12" t="s">
        <v>1420</v>
      </c>
      <c r="R706" s="12" t="s">
        <v>1420</v>
      </c>
      <c r="S706" s="12" t="s">
        <v>1420</v>
      </c>
      <c r="T706" s="12" t="s">
        <v>1420</v>
      </c>
      <c r="U706" s="12" t="s">
        <v>1420</v>
      </c>
      <c r="V706" s="12" t="s">
        <v>1420</v>
      </c>
      <c r="W706" s="12" t="s">
        <v>1420</v>
      </c>
      <c r="X706" s="12" t="s">
        <v>1420</v>
      </c>
      <c r="Y706" s="12" t="s">
        <v>1420</v>
      </c>
      <c r="Z706" s="12" t="s">
        <v>1420</v>
      </c>
      <c r="AA706" s="12" t="s">
        <v>1420</v>
      </c>
      <c r="AB706" s="12" t="s">
        <v>1420</v>
      </c>
      <c r="AC706" s="12" t="s">
        <v>1420</v>
      </c>
      <c r="AD706" s="12" t="s">
        <v>1420</v>
      </c>
      <c r="AE706" s="12" t="s">
        <v>1420</v>
      </c>
      <c r="AF706" s="12" t="s">
        <v>1420</v>
      </c>
      <c r="AG706" s="12" t="s">
        <v>1420</v>
      </c>
    </row>
    <row r="707" spans="1:33" ht="14.4" x14ac:dyDescent="0.3">
      <c r="A707" s="12" t="s">
        <v>11</v>
      </c>
      <c r="B707" s="12" t="s">
        <v>206</v>
      </c>
      <c r="C707" s="12" t="s">
        <v>205</v>
      </c>
      <c r="D707" s="12" t="s">
        <v>1410</v>
      </c>
      <c r="E707" s="12" t="s">
        <v>2187</v>
      </c>
      <c r="F707" s="12" t="s">
        <v>2188</v>
      </c>
      <c r="G707" s="12" t="s">
        <v>2189</v>
      </c>
      <c r="H707" s="12" t="s">
        <v>1488</v>
      </c>
      <c r="I707" s="12" t="s">
        <v>1420</v>
      </c>
      <c r="J707" s="12" t="s">
        <v>1420</v>
      </c>
      <c r="K707" s="12" t="s">
        <v>1420</v>
      </c>
      <c r="L707" s="12" t="s">
        <v>1420</v>
      </c>
      <c r="M707" s="12" t="s">
        <v>1420</v>
      </c>
      <c r="N707" s="12" t="s">
        <v>1420</v>
      </c>
      <c r="O707" s="12" t="s">
        <v>1420</v>
      </c>
      <c r="P707" s="12" t="s">
        <v>1414</v>
      </c>
      <c r="Q707" s="12" t="s">
        <v>1420</v>
      </c>
      <c r="R707" s="12" t="s">
        <v>1420</v>
      </c>
      <c r="S707" s="12" t="s">
        <v>1420</v>
      </c>
      <c r="T707" s="12" t="s">
        <v>1420</v>
      </c>
      <c r="U707" s="12" t="s">
        <v>1420</v>
      </c>
      <c r="V707" s="12" t="s">
        <v>1420</v>
      </c>
      <c r="W707" s="12" t="s">
        <v>1420</v>
      </c>
      <c r="X707" s="12" t="s">
        <v>1420</v>
      </c>
      <c r="Y707" s="12" t="s">
        <v>1420</v>
      </c>
      <c r="Z707" s="12" t="s">
        <v>1414</v>
      </c>
      <c r="AA707" s="12" t="s">
        <v>1414</v>
      </c>
      <c r="AB707" s="12" t="s">
        <v>1420</v>
      </c>
      <c r="AC707" s="12" t="s">
        <v>1414</v>
      </c>
      <c r="AD707" s="12" t="s">
        <v>1420</v>
      </c>
      <c r="AE707" s="12" t="s">
        <v>1420</v>
      </c>
      <c r="AF707" s="12" t="s">
        <v>1420</v>
      </c>
      <c r="AG707" s="12" t="s">
        <v>1420</v>
      </c>
    </row>
    <row r="708" spans="1:33" ht="14.4" x14ac:dyDescent="0.3">
      <c r="A708" s="12" t="s">
        <v>42</v>
      </c>
      <c r="B708" s="12" t="s">
        <v>208</v>
      </c>
      <c r="C708" s="12" t="s">
        <v>207</v>
      </c>
      <c r="D708" s="12" t="s">
        <v>1410</v>
      </c>
      <c r="E708" s="12" t="s">
        <v>2185</v>
      </c>
      <c r="F708" s="12" t="s">
        <v>2183</v>
      </c>
      <c r="G708" s="12" t="s">
        <v>2186</v>
      </c>
      <c r="H708" s="12" t="s">
        <v>1464</v>
      </c>
      <c r="I708" s="12" t="s">
        <v>1420</v>
      </c>
      <c r="J708" s="12" t="s">
        <v>1420</v>
      </c>
      <c r="K708" s="12" t="s">
        <v>1420</v>
      </c>
      <c r="L708" s="12" t="s">
        <v>1420</v>
      </c>
      <c r="M708" s="12" t="s">
        <v>1420</v>
      </c>
      <c r="N708" s="12" t="s">
        <v>1420</v>
      </c>
      <c r="O708" s="12" t="s">
        <v>1420</v>
      </c>
      <c r="P708" s="12" t="s">
        <v>1420</v>
      </c>
      <c r="Q708" s="12" t="s">
        <v>1420</v>
      </c>
      <c r="R708" s="12" t="s">
        <v>1420</v>
      </c>
      <c r="S708" s="12" t="s">
        <v>1420</v>
      </c>
      <c r="T708" s="12" t="s">
        <v>1420</v>
      </c>
      <c r="U708" s="12" t="s">
        <v>1420</v>
      </c>
      <c r="V708" s="12" t="s">
        <v>1420</v>
      </c>
      <c r="W708" s="12" t="s">
        <v>1420</v>
      </c>
      <c r="X708" s="12" t="s">
        <v>1420</v>
      </c>
      <c r="Y708" s="12" t="s">
        <v>1420</v>
      </c>
      <c r="Z708" s="12" t="s">
        <v>1420</v>
      </c>
      <c r="AA708" s="12" t="s">
        <v>1420</v>
      </c>
      <c r="AB708" s="12" t="s">
        <v>1420</v>
      </c>
      <c r="AC708" s="12" t="s">
        <v>1420</v>
      </c>
      <c r="AD708" s="12" t="s">
        <v>1420</v>
      </c>
      <c r="AE708" s="12" t="s">
        <v>1420</v>
      </c>
      <c r="AF708" s="12" t="s">
        <v>1420</v>
      </c>
      <c r="AG708" s="12" t="s">
        <v>1420</v>
      </c>
    </row>
    <row r="709" spans="1:33" ht="14.4" x14ac:dyDescent="0.3">
      <c r="A709" s="12" t="s">
        <v>80</v>
      </c>
      <c r="B709" s="12" t="s">
        <v>277</v>
      </c>
      <c r="C709" s="12" t="s">
        <v>276</v>
      </c>
      <c r="D709" s="12" t="s">
        <v>1410</v>
      </c>
      <c r="E709" s="12" t="s">
        <v>2414</v>
      </c>
      <c r="F709" s="12" t="s">
        <v>2415</v>
      </c>
      <c r="G709" s="12" t="s">
        <v>2416</v>
      </c>
      <c r="H709" s="12" t="s">
        <v>1488</v>
      </c>
      <c r="I709" s="12" t="s">
        <v>1420</v>
      </c>
      <c r="J709" s="12" t="s">
        <v>1420</v>
      </c>
      <c r="K709" s="12" t="s">
        <v>1420</v>
      </c>
      <c r="L709" s="12" t="s">
        <v>1420</v>
      </c>
      <c r="M709" s="12" t="s">
        <v>1420</v>
      </c>
      <c r="N709" s="12" t="s">
        <v>1420</v>
      </c>
      <c r="O709" s="12" t="s">
        <v>1420</v>
      </c>
      <c r="P709" s="12" t="s">
        <v>1420</v>
      </c>
      <c r="Q709" s="12" t="s">
        <v>1420</v>
      </c>
      <c r="R709" s="12" t="s">
        <v>1420</v>
      </c>
      <c r="S709" s="12" t="s">
        <v>1420</v>
      </c>
      <c r="T709" s="12" t="s">
        <v>1420</v>
      </c>
      <c r="U709" s="12" t="s">
        <v>1420</v>
      </c>
      <c r="V709" s="12" t="s">
        <v>1420</v>
      </c>
      <c r="W709" s="12" t="s">
        <v>1420</v>
      </c>
      <c r="X709" s="12" t="s">
        <v>1414</v>
      </c>
      <c r="Y709" s="12" t="s">
        <v>1420</v>
      </c>
      <c r="Z709" s="12" t="s">
        <v>1414</v>
      </c>
      <c r="AA709" s="12" t="s">
        <v>1414</v>
      </c>
      <c r="AB709" s="12" t="s">
        <v>1420</v>
      </c>
      <c r="AC709" s="12" t="s">
        <v>1420</v>
      </c>
      <c r="AD709" s="12" t="s">
        <v>1420</v>
      </c>
      <c r="AE709" s="12" t="s">
        <v>1414</v>
      </c>
      <c r="AF709" s="12" t="s">
        <v>1420</v>
      </c>
      <c r="AG709" s="12" t="s">
        <v>1420</v>
      </c>
    </row>
    <row r="710" spans="1:33" ht="14.4" x14ac:dyDescent="0.3">
      <c r="A710" s="12" t="s">
        <v>42</v>
      </c>
      <c r="B710" s="12" t="s">
        <v>5946</v>
      </c>
      <c r="C710" s="12" t="s">
        <v>5947</v>
      </c>
      <c r="D710" s="12" t="s">
        <v>1410</v>
      </c>
      <c r="E710" s="12" t="s">
        <v>5845</v>
      </c>
      <c r="F710" s="12" t="s">
        <v>5684</v>
      </c>
      <c r="G710" s="12" t="s">
        <v>2579</v>
      </c>
      <c r="H710" s="12" t="s">
        <v>1464</v>
      </c>
      <c r="I710" s="12" t="s">
        <v>1420</v>
      </c>
      <c r="J710" s="12" t="s">
        <v>1420</v>
      </c>
      <c r="K710" s="12" t="s">
        <v>1420</v>
      </c>
      <c r="L710" s="12" t="s">
        <v>1420</v>
      </c>
      <c r="M710" s="12" t="s">
        <v>1420</v>
      </c>
      <c r="N710" s="12" t="s">
        <v>1420</v>
      </c>
      <c r="O710" s="12" t="s">
        <v>1420</v>
      </c>
      <c r="P710" s="12" t="s">
        <v>1420</v>
      </c>
      <c r="Q710" s="12" t="s">
        <v>1420</v>
      </c>
      <c r="R710" s="12" t="s">
        <v>1420</v>
      </c>
      <c r="S710" s="12" t="s">
        <v>1420</v>
      </c>
      <c r="T710" s="12" t="s">
        <v>1420</v>
      </c>
      <c r="U710" s="12" t="s">
        <v>1420</v>
      </c>
      <c r="V710" s="12" t="s">
        <v>1420</v>
      </c>
      <c r="W710" s="12" t="s">
        <v>1420</v>
      </c>
      <c r="X710" s="12" t="s">
        <v>1420</v>
      </c>
      <c r="Y710" s="12" t="s">
        <v>1420</v>
      </c>
      <c r="Z710" s="12" t="s">
        <v>1420</v>
      </c>
      <c r="AA710" s="12" t="s">
        <v>1420</v>
      </c>
      <c r="AB710" s="12" t="s">
        <v>1420</v>
      </c>
      <c r="AC710" s="12" t="s">
        <v>1420</v>
      </c>
      <c r="AD710" s="12" t="s">
        <v>1420</v>
      </c>
      <c r="AE710" s="12" t="s">
        <v>1420</v>
      </c>
      <c r="AF710" s="12" t="s">
        <v>1420</v>
      </c>
      <c r="AG710" s="12" t="s">
        <v>1420</v>
      </c>
    </row>
    <row r="711" spans="1:33" ht="14.4" x14ac:dyDescent="0.3">
      <c r="A711" s="12" t="s">
        <v>8</v>
      </c>
      <c r="B711" s="12" t="s">
        <v>981</v>
      </c>
      <c r="C711" s="12" t="s">
        <v>980</v>
      </c>
      <c r="D711" s="12" t="s">
        <v>1410</v>
      </c>
      <c r="E711" s="12" t="s">
        <v>2940</v>
      </c>
      <c r="F711" s="12" t="s">
        <v>2941</v>
      </c>
      <c r="G711" s="12" t="s">
        <v>1413</v>
      </c>
      <c r="H711" s="12" t="s">
        <v>1424</v>
      </c>
      <c r="I711" s="12" t="s">
        <v>1420</v>
      </c>
      <c r="J711" s="12" t="s">
        <v>1420</v>
      </c>
      <c r="K711" s="12" t="s">
        <v>1420</v>
      </c>
      <c r="L711" s="12" t="s">
        <v>1420</v>
      </c>
      <c r="M711" s="12" t="s">
        <v>1420</v>
      </c>
      <c r="N711" s="12" t="s">
        <v>1420</v>
      </c>
      <c r="O711" s="12" t="s">
        <v>1420</v>
      </c>
      <c r="P711" s="12" t="s">
        <v>1414</v>
      </c>
      <c r="Q711" s="12" t="s">
        <v>1420</v>
      </c>
      <c r="R711" s="12" t="s">
        <v>1420</v>
      </c>
      <c r="S711" s="12" t="s">
        <v>1420</v>
      </c>
      <c r="T711" s="12" t="s">
        <v>1420</v>
      </c>
      <c r="U711" s="12" t="s">
        <v>1420</v>
      </c>
      <c r="V711" s="12" t="s">
        <v>1420</v>
      </c>
      <c r="W711" s="12" t="s">
        <v>1420</v>
      </c>
      <c r="X711" s="12" t="s">
        <v>1414</v>
      </c>
      <c r="Y711" s="12" t="s">
        <v>1420</v>
      </c>
      <c r="Z711" s="12" t="s">
        <v>1420</v>
      </c>
      <c r="AA711" s="12" t="s">
        <v>1420</v>
      </c>
      <c r="AB711" s="12" t="s">
        <v>1420</v>
      </c>
      <c r="AC711" s="12" t="s">
        <v>1420</v>
      </c>
      <c r="AD711" s="12" t="s">
        <v>1420</v>
      </c>
      <c r="AE711" s="12" t="s">
        <v>1414</v>
      </c>
      <c r="AF711" s="12" t="s">
        <v>1420</v>
      </c>
      <c r="AG711" s="12" t="s">
        <v>1420</v>
      </c>
    </row>
    <row r="712" spans="1:33" ht="14.4" x14ac:dyDescent="0.3">
      <c r="A712" s="12" t="s">
        <v>19</v>
      </c>
      <c r="B712" s="12" t="s">
        <v>401</v>
      </c>
      <c r="C712" s="12" t="s">
        <v>400</v>
      </c>
      <c r="D712" s="12" t="s">
        <v>1410</v>
      </c>
      <c r="E712" s="12" t="s">
        <v>2025</v>
      </c>
      <c r="F712" s="12" t="s">
        <v>2026</v>
      </c>
      <c r="G712" s="12" t="s">
        <v>1734</v>
      </c>
      <c r="H712" s="12" t="s">
        <v>1419</v>
      </c>
      <c r="I712" s="12" t="s">
        <v>1420</v>
      </c>
      <c r="J712" s="12" t="s">
        <v>1420</v>
      </c>
      <c r="K712" s="12" t="s">
        <v>1420</v>
      </c>
      <c r="L712" s="12" t="s">
        <v>1420</v>
      </c>
      <c r="M712" s="12" t="s">
        <v>1420</v>
      </c>
      <c r="N712" s="12" t="s">
        <v>1420</v>
      </c>
      <c r="O712" s="12" t="s">
        <v>1420</v>
      </c>
      <c r="P712" s="12" t="s">
        <v>1420</v>
      </c>
      <c r="Q712" s="12" t="s">
        <v>1420</v>
      </c>
      <c r="R712" s="12" t="s">
        <v>1420</v>
      </c>
      <c r="S712" s="12" t="s">
        <v>1420</v>
      </c>
      <c r="T712" s="12" t="s">
        <v>1414</v>
      </c>
      <c r="U712" s="12" t="s">
        <v>1420</v>
      </c>
      <c r="V712" s="12" t="s">
        <v>1414</v>
      </c>
      <c r="W712" s="12" t="s">
        <v>1420</v>
      </c>
      <c r="X712" s="12" t="s">
        <v>1420</v>
      </c>
      <c r="Y712" s="12" t="s">
        <v>1420</v>
      </c>
      <c r="Z712" s="12" t="s">
        <v>1420</v>
      </c>
      <c r="AA712" s="12" t="s">
        <v>1420</v>
      </c>
      <c r="AB712" s="12" t="s">
        <v>1420</v>
      </c>
      <c r="AC712" s="12" t="s">
        <v>1420</v>
      </c>
      <c r="AD712" s="12" t="s">
        <v>1420</v>
      </c>
      <c r="AE712" s="12" t="s">
        <v>1420</v>
      </c>
      <c r="AF712" s="12" t="s">
        <v>1420</v>
      </c>
      <c r="AG712" s="12" t="s">
        <v>1420</v>
      </c>
    </row>
    <row r="713" spans="1:33" ht="14.4" x14ac:dyDescent="0.3">
      <c r="A713" s="12" t="s">
        <v>8</v>
      </c>
      <c r="B713" s="12" t="s">
        <v>983</v>
      </c>
      <c r="C713" s="12" t="s">
        <v>982</v>
      </c>
      <c r="D713" s="12" t="s">
        <v>1410</v>
      </c>
      <c r="E713" s="12" t="s">
        <v>2877</v>
      </c>
      <c r="F713" s="12" t="s">
        <v>2878</v>
      </c>
      <c r="G713" s="12" t="s">
        <v>2879</v>
      </c>
      <c r="H713" s="12" t="s">
        <v>1419</v>
      </c>
      <c r="I713" s="12" t="s">
        <v>1420</v>
      </c>
      <c r="J713" s="12" t="s">
        <v>1420</v>
      </c>
      <c r="K713" s="12" t="s">
        <v>1420</v>
      </c>
      <c r="L713" s="12" t="s">
        <v>1420</v>
      </c>
      <c r="M713" s="12" t="s">
        <v>1420</v>
      </c>
      <c r="N713" s="12" t="s">
        <v>1420</v>
      </c>
      <c r="O713" s="12" t="s">
        <v>1420</v>
      </c>
      <c r="P713" s="12" t="s">
        <v>1420</v>
      </c>
      <c r="Q713" s="12" t="s">
        <v>1420</v>
      </c>
      <c r="R713" s="12" t="s">
        <v>1420</v>
      </c>
      <c r="S713" s="12" t="s">
        <v>1414</v>
      </c>
      <c r="T713" s="12" t="s">
        <v>1420</v>
      </c>
      <c r="U713" s="12" t="s">
        <v>1420</v>
      </c>
      <c r="V713" s="12" t="s">
        <v>1420</v>
      </c>
      <c r="W713" s="12" t="s">
        <v>1420</v>
      </c>
      <c r="X713" s="12" t="s">
        <v>1420</v>
      </c>
      <c r="Y713" s="12" t="s">
        <v>1420</v>
      </c>
      <c r="Z713" s="12" t="s">
        <v>1420</v>
      </c>
      <c r="AA713" s="12" t="s">
        <v>1420</v>
      </c>
      <c r="AB713" s="12" t="s">
        <v>1420</v>
      </c>
      <c r="AC713" s="12" t="s">
        <v>1420</v>
      </c>
      <c r="AD713" s="12" t="s">
        <v>1420</v>
      </c>
      <c r="AE713" s="12" t="s">
        <v>1420</v>
      </c>
      <c r="AF713" s="12" t="s">
        <v>1414</v>
      </c>
      <c r="AG713" s="12" t="s">
        <v>1420</v>
      </c>
    </row>
    <row r="714" spans="1:33" ht="14.4" x14ac:dyDescent="0.3">
      <c r="A714" s="12" t="s">
        <v>22</v>
      </c>
      <c r="B714" s="12" t="s">
        <v>210</v>
      </c>
      <c r="C714" s="12" t="s">
        <v>209</v>
      </c>
      <c r="D714" s="12" t="s">
        <v>1410</v>
      </c>
      <c r="E714" s="12" t="s">
        <v>2684</v>
      </c>
      <c r="F714" s="12" t="s">
        <v>2685</v>
      </c>
      <c r="G714" s="12" t="s">
        <v>2686</v>
      </c>
      <c r="H714" s="12" t="s">
        <v>1448</v>
      </c>
      <c r="I714" s="12" t="s">
        <v>1420</v>
      </c>
      <c r="J714" s="12" t="s">
        <v>1414</v>
      </c>
      <c r="K714" s="12" t="s">
        <v>1420</v>
      </c>
      <c r="L714" s="12" t="s">
        <v>1420</v>
      </c>
      <c r="M714" s="12" t="s">
        <v>1420</v>
      </c>
      <c r="N714" s="12" t="s">
        <v>1420</v>
      </c>
      <c r="O714" s="12" t="s">
        <v>1420</v>
      </c>
      <c r="P714" s="12" t="s">
        <v>1414</v>
      </c>
      <c r="Q714" s="12" t="s">
        <v>1420</v>
      </c>
      <c r="R714" s="12" t="s">
        <v>1414</v>
      </c>
      <c r="S714" s="12" t="s">
        <v>1420</v>
      </c>
      <c r="T714" s="12" t="s">
        <v>1420</v>
      </c>
      <c r="U714" s="12" t="s">
        <v>1420</v>
      </c>
      <c r="V714" s="12" t="s">
        <v>1414</v>
      </c>
      <c r="W714" s="12" t="s">
        <v>1415</v>
      </c>
      <c r="X714" s="12" t="s">
        <v>1420</v>
      </c>
      <c r="Y714" s="12" t="s">
        <v>1420</v>
      </c>
      <c r="Z714" s="12" t="s">
        <v>1420</v>
      </c>
      <c r="AA714" s="12" t="s">
        <v>1420</v>
      </c>
      <c r="AB714" s="12" t="s">
        <v>1420</v>
      </c>
      <c r="AC714" s="12" t="s">
        <v>1420</v>
      </c>
      <c r="AD714" s="12" t="s">
        <v>1420</v>
      </c>
      <c r="AE714" s="12" t="s">
        <v>1420</v>
      </c>
      <c r="AF714" s="12" t="s">
        <v>1420</v>
      </c>
      <c r="AG714" s="12" t="s">
        <v>1420</v>
      </c>
    </row>
    <row r="715" spans="1:33" ht="14.4" x14ac:dyDescent="0.3">
      <c r="A715" s="12" t="s">
        <v>652</v>
      </c>
      <c r="B715" s="12" t="s">
        <v>651</v>
      </c>
      <c r="C715" s="12" t="s">
        <v>650</v>
      </c>
      <c r="D715" s="12" t="s">
        <v>1410</v>
      </c>
      <c r="E715" s="12" t="s">
        <v>1588</v>
      </c>
      <c r="F715" s="12" t="s">
        <v>1589</v>
      </c>
      <c r="G715" s="12" t="s">
        <v>1590</v>
      </c>
      <c r="H715" s="12" t="s">
        <v>1419</v>
      </c>
      <c r="I715" s="12" t="s">
        <v>1420</v>
      </c>
      <c r="J715" s="12" t="s">
        <v>1420</v>
      </c>
      <c r="K715" s="12" t="s">
        <v>1420</v>
      </c>
      <c r="L715" s="12" t="s">
        <v>1420</v>
      </c>
      <c r="M715" s="12" t="s">
        <v>1420</v>
      </c>
      <c r="N715" s="12" t="s">
        <v>1420</v>
      </c>
      <c r="O715" s="12" t="s">
        <v>1420</v>
      </c>
      <c r="P715" s="12" t="s">
        <v>1420</v>
      </c>
      <c r="Q715" s="12" t="s">
        <v>1420</v>
      </c>
      <c r="R715" s="12" t="s">
        <v>1420</v>
      </c>
      <c r="S715" s="12" t="s">
        <v>1420</v>
      </c>
      <c r="T715" s="12" t="s">
        <v>1420</v>
      </c>
      <c r="U715" s="12" t="s">
        <v>1420</v>
      </c>
      <c r="V715" s="12" t="s">
        <v>1420</v>
      </c>
      <c r="W715" s="12" t="s">
        <v>1420</v>
      </c>
      <c r="X715" s="12" t="s">
        <v>1420</v>
      </c>
      <c r="Y715" s="12" t="s">
        <v>1420</v>
      </c>
      <c r="Z715" s="12" t="s">
        <v>1420</v>
      </c>
      <c r="AA715" s="12" t="s">
        <v>1414</v>
      </c>
      <c r="AB715" s="12" t="s">
        <v>1420</v>
      </c>
      <c r="AC715" s="12" t="s">
        <v>1420</v>
      </c>
      <c r="AD715" s="12" t="s">
        <v>1420</v>
      </c>
      <c r="AE715" s="12" t="s">
        <v>1414</v>
      </c>
      <c r="AF715" s="12" t="s">
        <v>1420</v>
      </c>
      <c r="AG715" s="12" t="s">
        <v>1420</v>
      </c>
    </row>
    <row r="716" spans="1:33" ht="14.4" x14ac:dyDescent="0.3">
      <c r="A716" s="12" t="s">
        <v>28</v>
      </c>
      <c r="B716" s="12" t="s">
        <v>212</v>
      </c>
      <c r="C716" s="12" t="s">
        <v>211</v>
      </c>
      <c r="D716" s="12" t="s">
        <v>1410</v>
      </c>
      <c r="E716" s="12" t="s">
        <v>2382</v>
      </c>
      <c r="F716" s="12" t="s">
        <v>2383</v>
      </c>
      <c r="G716" s="12" t="s">
        <v>2384</v>
      </c>
      <c r="H716" s="12" t="s">
        <v>1464</v>
      </c>
      <c r="I716" s="12" t="s">
        <v>1420</v>
      </c>
      <c r="J716" s="12" t="s">
        <v>1420</v>
      </c>
      <c r="K716" s="12" t="s">
        <v>1420</v>
      </c>
      <c r="L716" s="12" t="s">
        <v>1420</v>
      </c>
      <c r="M716" s="12" t="s">
        <v>1420</v>
      </c>
      <c r="N716" s="12" t="s">
        <v>1420</v>
      </c>
      <c r="O716" s="12" t="s">
        <v>1420</v>
      </c>
      <c r="P716" s="12" t="s">
        <v>1420</v>
      </c>
      <c r="Q716" s="12" t="s">
        <v>1420</v>
      </c>
      <c r="R716" s="12" t="s">
        <v>1420</v>
      </c>
      <c r="S716" s="12" t="s">
        <v>1420</v>
      </c>
      <c r="T716" s="12" t="s">
        <v>1420</v>
      </c>
      <c r="U716" s="12" t="s">
        <v>1420</v>
      </c>
      <c r="V716" s="12" t="s">
        <v>1420</v>
      </c>
      <c r="W716" s="12" t="s">
        <v>1420</v>
      </c>
      <c r="X716" s="12" t="s">
        <v>1420</v>
      </c>
      <c r="Y716" s="12" t="s">
        <v>1420</v>
      </c>
      <c r="Z716" s="12" t="s">
        <v>1420</v>
      </c>
      <c r="AA716" s="12" t="s">
        <v>1420</v>
      </c>
      <c r="AB716" s="12" t="s">
        <v>1420</v>
      </c>
      <c r="AC716" s="12" t="s">
        <v>1420</v>
      </c>
      <c r="AD716" s="12" t="s">
        <v>1420</v>
      </c>
      <c r="AE716" s="12" t="s">
        <v>1420</v>
      </c>
      <c r="AF716" s="12" t="s">
        <v>1420</v>
      </c>
      <c r="AG716" s="12" t="s">
        <v>1420</v>
      </c>
    </row>
    <row r="717" spans="1:33" ht="14.4" x14ac:dyDescent="0.3">
      <c r="A717" s="12" t="s">
        <v>8</v>
      </c>
      <c r="B717" s="12" t="s">
        <v>5948</v>
      </c>
      <c r="C717" s="12" t="s">
        <v>5949</v>
      </c>
      <c r="D717" s="12" t="s">
        <v>1456</v>
      </c>
      <c r="E717" s="12" t="s">
        <v>5950</v>
      </c>
      <c r="F717" s="12" t="s">
        <v>1415</v>
      </c>
      <c r="G717" s="12" t="s">
        <v>1415</v>
      </c>
      <c r="H717" s="12" t="s">
        <v>1415</v>
      </c>
      <c r="I717" s="12" t="s">
        <v>1415</v>
      </c>
      <c r="J717" s="12" t="s">
        <v>1415</v>
      </c>
      <c r="K717" s="12" t="s">
        <v>1415</v>
      </c>
      <c r="L717" s="12" t="s">
        <v>1415</v>
      </c>
      <c r="M717" s="12" t="s">
        <v>1415</v>
      </c>
      <c r="N717" s="12" t="s">
        <v>1415</v>
      </c>
      <c r="O717" s="12" t="s">
        <v>1415</v>
      </c>
      <c r="P717" s="12" t="s">
        <v>1415</v>
      </c>
      <c r="Q717" s="12" t="s">
        <v>1415</v>
      </c>
      <c r="R717" s="12" t="s">
        <v>1415</v>
      </c>
      <c r="S717" s="12" t="s">
        <v>1415</v>
      </c>
      <c r="T717" s="12" t="s">
        <v>1415</v>
      </c>
      <c r="U717" s="12" t="s">
        <v>1415</v>
      </c>
      <c r="V717" s="12" t="s">
        <v>1415</v>
      </c>
      <c r="W717" s="12" t="s">
        <v>1415</v>
      </c>
      <c r="X717" s="12" t="s">
        <v>1415</v>
      </c>
      <c r="Y717" s="12" t="s">
        <v>1415</v>
      </c>
      <c r="Z717" s="12" t="s">
        <v>1415</v>
      </c>
      <c r="AA717" s="12" t="s">
        <v>1415</v>
      </c>
      <c r="AB717" s="12" t="s">
        <v>1415</v>
      </c>
      <c r="AC717" s="12" t="s">
        <v>1415</v>
      </c>
      <c r="AD717" s="12" t="s">
        <v>1415</v>
      </c>
      <c r="AE717" s="12" t="s">
        <v>1415</v>
      </c>
      <c r="AF717" s="12" t="s">
        <v>1415</v>
      </c>
      <c r="AG717" s="12" t="s">
        <v>1415</v>
      </c>
    </row>
    <row r="718" spans="1:33" ht="14.4" x14ac:dyDescent="0.3">
      <c r="A718" s="12" t="s">
        <v>11</v>
      </c>
      <c r="B718" s="12" t="s">
        <v>654</v>
      </c>
      <c r="C718" s="12" t="s">
        <v>653</v>
      </c>
      <c r="D718" s="12" t="s">
        <v>1410</v>
      </c>
      <c r="E718" s="12" t="s">
        <v>2970</v>
      </c>
      <c r="F718" s="12" t="s">
        <v>2971</v>
      </c>
      <c r="G718" s="12" t="s">
        <v>2123</v>
      </c>
      <c r="H718" s="12" t="s">
        <v>1419</v>
      </c>
      <c r="I718" s="12" t="s">
        <v>1420</v>
      </c>
      <c r="J718" s="12" t="s">
        <v>1420</v>
      </c>
      <c r="K718" s="12" t="s">
        <v>1420</v>
      </c>
      <c r="L718" s="12" t="s">
        <v>1420</v>
      </c>
      <c r="M718" s="12" t="s">
        <v>1420</v>
      </c>
      <c r="N718" s="12" t="s">
        <v>1420</v>
      </c>
      <c r="O718" s="12" t="s">
        <v>1420</v>
      </c>
      <c r="P718" s="12" t="s">
        <v>1420</v>
      </c>
      <c r="Q718" s="12" t="s">
        <v>1420</v>
      </c>
      <c r="R718" s="12" t="s">
        <v>1420</v>
      </c>
      <c r="S718" s="12" t="s">
        <v>1414</v>
      </c>
      <c r="T718" s="12" t="s">
        <v>1420</v>
      </c>
      <c r="U718" s="12" t="s">
        <v>1420</v>
      </c>
      <c r="V718" s="12" t="s">
        <v>1420</v>
      </c>
      <c r="W718" s="12" t="s">
        <v>1414</v>
      </c>
      <c r="X718" s="12" t="s">
        <v>1420</v>
      </c>
      <c r="Y718" s="12" t="s">
        <v>1420</v>
      </c>
      <c r="Z718" s="12" t="s">
        <v>1420</v>
      </c>
      <c r="AA718" s="12" t="s">
        <v>1420</v>
      </c>
      <c r="AB718" s="12" t="s">
        <v>1420</v>
      </c>
      <c r="AC718" s="12" t="s">
        <v>1420</v>
      </c>
      <c r="AD718" s="12" t="s">
        <v>1420</v>
      </c>
      <c r="AE718" s="12" t="s">
        <v>1420</v>
      </c>
      <c r="AF718" s="12" t="s">
        <v>1420</v>
      </c>
      <c r="AG718" s="12" t="s">
        <v>1420</v>
      </c>
    </row>
    <row r="719" spans="1:33" ht="14.4" x14ac:dyDescent="0.3">
      <c r="A719" s="12" t="s">
        <v>11</v>
      </c>
      <c r="B719" s="12" t="s">
        <v>5951</v>
      </c>
      <c r="C719" s="12" t="s">
        <v>5952</v>
      </c>
      <c r="D719" s="12" t="s">
        <v>1410</v>
      </c>
      <c r="E719" s="12" t="s">
        <v>5953</v>
      </c>
      <c r="F719" s="12" t="s">
        <v>5954</v>
      </c>
      <c r="G719" s="12" t="s">
        <v>5955</v>
      </c>
      <c r="H719" s="12" t="s">
        <v>1452</v>
      </c>
      <c r="I719" s="12" t="s">
        <v>1420</v>
      </c>
      <c r="J719" s="12" t="s">
        <v>1420</v>
      </c>
      <c r="K719" s="12" t="s">
        <v>1420</v>
      </c>
      <c r="L719" s="12" t="s">
        <v>1420</v>
      </c>
      <c r="M719" s="12" t="s">
        <v>1420</v>
      </c>
      <c r="N719" s="12" t="s">
        <v>1420</v>
      </c>
      <c r="O719" s="12" t="s">
        <v>1420</v>
      </c>
      <c r="P719" s="12" t="s">
        <v>1420</v>
      </c>
      <c r="Q719" s="12" t="s">
        <v>1420</v>
      </c>
      <c r="R719" s="12" t="s">
        <v>1420</v>
      </c>
      <c r="S719" s="12" t="s">
        <v>1420</v>
      </c>
      <c r="T719" s="12" t="s">
        <v>1420</v>
      </c>
      <c r="U719" s="12" t="s">
        <v>1420</v>
      </c>
      <c r="V719" s="12" t="s">
        <v>1420</v>
      </c>
      <c r="W719" s="12" t="s">
        <v>1420</v>
      </c>
      <c r="X719" s="12" t="s">
        <v>1420</v>
      </c>
      <c r="Y719" s="12" t="s">
        <v>1420</v>
      </c>
      <c r="Z719" s="12" t="s">
        <v>1420</v>
      </c>
      <c r="AA719" s="12" t="s">
        <v>1420</v>
      </c>
      <c r="AB719" s="12" t="s">
        <v>1420</v>
      </c>
      <c r="AC719" s="12" t="s">
        <v>1414</v>
      </c>
      <c r="AD719" s="12" t="s">
        <v>1420</v>
      </c>
      <c r="AE719" s="12" t="s">
        <v>1420</v>
      </c>
      <c r="AF719" s="12" t="s">
        <v>1420</v>
      </c>
      <c r="AG719" s="12" t="s">
        <v>1420</v>
      </c>
    </row>
    <row r="720" spans="1:33" ht="14.4" x14ac:dyDescent="0.3">
      <c r="A720" s="12" t="s">
        <v>31</v>
      </c>
      <c r="B720" s="12" t="s">
        <v>1065</v>
      </c>
      <c r="C720" s="12" t="s">
        <v>1064</v>
      </c>
      <c r="D720" s="12" t="s">
        <v>1410</v>
      </c>
      <c r="E720" s="12" t="s">
        <v>1747</v>
      </c>
      <c r="F720" s="12" t="s">
        <v>1748</v>
      </c>
      <c r="G720" s="12" t="s">
        <v>1413</v>
      </c>
      <c r="H720" s="12" t="s">
        <v>1749</v>
      </c>
      <c r="I720" s="12" t="s">
        <v>1420</v>
      </c>
      <c r="J720" s="12" t="s">
        <v>1420</v>
      </c>
      <c r="K720" s="12" t="s">
        <v>1420</v>
      </c>
      <c r="L720" s="12" t="s">
        <v>1420</v>
      </c>
      <c r="M720" s="12" t="s">
        <v>1415</v>
      </c>
      <c r="N720" s="12" t="s">
        <v>1415</v>
      </c>
      <c r="O720" s="12" t="s">
        <v>1415</v>
      </c>
      <c r="P720" s="12" t="s">
        <v>1415</v>
      </c>
      <c r="Q720" s="12" t="s">
        <v>1415</v>
      </c>
      <c r="R720" s="12" t="s">
        <v>1415</v>
      </c>
      <c r="S720" s="12" t="s">
        <v>1415</v>
      </c>
      <c r="T720" s="12" t="s">
        <v>1415</v>
      </c>
      <c r="U720" s="12" t="s">
        <v>1415</v>
      </c>
      <c r="V720" s="12" t="s">
        <v>1415</v>
      </c>
      <c r="W720" s="12" t="s">
        <v>1415</v>
      </c>
      <c r="X720" s="12" t="s">
        <v>1415</v>
      </c>
      <c r="Y720" s="12" t="s">
        <v>1415</v>
      </c>
      <c r="Z720" s="12" t="s">
        <v>1415</v>
      </c>
      <c r="AA720" s="12" t="s">
        <v>1415</v>
      </c>
      <c r="AB720" s="12" t="s">
        <v>1415</v>
      </c>
      <c r="AC720" s="12" t="s">
        <v>1415</v>
      </c>
      <c r="AD720" s="12" t="s">
        <v>1415</v>
      </c>
      <c r="AE720" s="12" t="s">
        <v>1415</v>
      </c>
      <c r="AF720" s="12" t="s">
        <v>1415</v>
      </c>
      <c r="AG720" s="12" t="s">
        <v>1415</v>
      </c>
    </row>
    <row r="721" spans="1:33" ht="15" customHeight="1" x14ac:dyDescent="0.3">
      <c r="A721" s="12" t="s">
        <v>8</v>
      </c>
      <c r="B721" s="12" t="s">
        <v>1358</v>
      </c>
      <c r="C721" s="12" t="s">
        <v>1357</v>
      </c>
      <c r="D721" s="12" t="s">
        <v>1410</v>
      </c>
      <c r="E721" s="12" t="s">
        <v>1439</v>
      </c>
      <c r="F721" s="12" t="s">
        <v>1440</v>
      </c>
      <c r="G721" s="12" t="s">
        <v>1441</v>
      </c>
      <c r="H721" s="12" t="s">
        <v>1438</v>
      </c>
      <c r="I721" s="12" t="s">
        <v>1420</v>
      </c>
      <c r="J721" s="12" t="s">
        <v>1420</v>
      </c>
      <c r="K721" s="12" t="s">
        <v>1420</v>
      </c>
      <c r="L721" s="12" t="s">
        <v>1420</v>
      </c>
      <c r="M721" s="12" t="s">
        <v>1420</v>
      </c>
      <c r="N721" s="12" t="s">
        <v>1414</v>
      </c>
      <c r="O721" s="12" t="s">
        <v>1414</v>
      </c>
      <c r="P721" s="12" t="s">
        <v>1414</v>
      </c>
      <c r="Q721" s="12" t="s">
        <v>1420</v>
      </c>
      <c r="R721" s="12" t="s">
        <v>1420</v>
      </c>
      <c r="S721" s="12" t="s">
        <v>1420</v>
      </c>
      <c r="T721" s="12" t="s">
        <v>1420</v>
      </c>
      <c r="U721" s="12" t="s">
        <v>1420</v>
      </c>
      <c r="V721" s="12" t="s">
        <v>1420</v>
      </c>
      <c r="W721" s="12" t="s">
        <v>1420</v>
      </c>
      <c r="X721" s="12" t="s">
        <v>1414</v>
      </c>
      <c r="Y721" s="12" t="s">
        <v>1420</v>
      </c>
      <c r="Z721" s="12" t="s">
        <v>1420</v>
      </c>
      <c r="AA721" s="12" t="s">
        <v>1420</v>
      </c>
      <c r="AB721" s="12" t="s">
        <v>1420</v>
      </c>
      <c r="AC721" s="12" t="s">
        <v>1414</v>
      </c>
      <c r="AD721" s="12" t="s">
        <v>1414</v>
      </c>
      <c r="AE721" s="12" t="s">
        <v>1420</v>
      </c>
      <c r="AF721" s="12" t="s">
        <v>1420</v>
      </c>
      <c r="AG721" s="12" t="s">
        <v>1420</v>
      </c>
    </row>
    <row r="722" spans="1:33" ht="15" customHeight="1" x14ac:dyDescent="0.3">
      <c r="A722" s="12" t="s">
        <v>8</v>
      </c>
      <c r="B722" s="12" t="s">
        <v>403</v>
      </c>
      <c r="C722" s="12" t="s">
        <v>402</v>
      </c>
      <c r="D722" s="12" t="s">
        <v>1410</v>
      </c>
      <c r="E722" s="12" t="s">
        <v>1670</v>
      </c>
      <c r="F722" s="12" t="s">
        <v>1671</v>
      </c>
      <c r="G722" s="12" t="s">
        <v>1672</v>
      </c>
      <c r="H722" s="12" t="s">
        <v>1464</v>
      </c>
      <c r="I722" s="12" t="s">
        <v>1420</v>
      </c>
      <c r="J722" s="12" t="s">
        <v>1420</v>
      </c>
      <c r="K722" s="12" t="s">
        <v>1420</v>
      </c>
      <c r="L722" s="12" t="s">
        <v>1420</v>
      </c>
      <c r="M722" s="12" t="s">
        <v>1420</v>
      </c>
      <c r="N722" s="12" t="s">
        <v>1420</v>
      </c>
      <c r="O722" s="12" t="s">
        <v>1420</v>
      </c>
      <c r="P722" s="12" t="s">
        <v>1420</v>
      </c>
      <c r="Q722" s="12" t="s">
        <v>1420</v>
      </c>
      <c r="R722" s="12" t="s">
        <v>1420</v>
      </c>
      <c r="S722" s="12" t="s">
        <v>1420</v>
      </c>
      <c r="T722" s="12" t="s">
        <v>1420</v>
      </c>
      <c r="U722" s="12" t="s">
        <v>1420</v>
      </c>
      <c r="V722" s="12" t="s">
        <v>1420</v>
      </c>
      <c r="W722" s="12" t="s">
        <v>1420</v>
      </c>
      <c r="X722" s="12" t="s">
        <v>1420</v>
      </c>
      <c r="Y722" s="12" t="s">
        <v>1420</v>
      </c>
      <c r="Z722" s="12" t="s">
        <v>1420</v>
      </c>
      <c r="AA722" s="12" t="s">
        <v>1420</v>
      </c>
      <c r="AB722" s="12" t="s">
        <v>1420</v>
      </c>
      <c r="AC722" s="12" t="s">
        <v>1420</v>
      </c>
      <c r="AD722" s="12" t="s">
        <v>1420</v>
      </c>
      <c r="AE722" s="12" t="s">
        <v>1420</v>
      </c>
      <c r="AF722" s="12" t="s">
        <v>1420</v>
      </c>
      <c r="AG722" s="12" t="s">
        <v>1420</v>
      </c>
    </row>
    <row r="723" spans="1:33" ht="15" customHeight="1" x14ac:dyDescent="0.3">
      <c r="A723" s="12" t="s">
        <v>123</v>
      </c>
      <c r="B723" s="12" t="s">
        <v>656</v>
      </c>
      <c r="C723" s="12" t="s">
        <v>655</v>
      </c>
      <c r="D723" s="12" t="s">
        <v>1410</v>
      </c>
      <c r="E723" s="12" t="s">
        <v>1540</v>
      </c>
      <c r="F723" s="12" t="s">
        <v>1541</v>
      </c>
      <c r="G723" s="12" t="s">
        <v>1542</v>
      </c>
      <c r="H723" s="12" t="s">
        <v>1452</v>
      </c>
      <c r="I723" s="12" t="s">
        <v>1420</v>
      </c>
      <c r="J723" s="12" t="s">
        <v>1420</v>
      </c>
      <c r="K723" s="12" t="s">
        <v>1420</v>
      </c>
      <c r="L723" s="12" t="s">
        <v>1420</v>
      </c>
      <c r="M723" s="12" t="s">
        <v>1420</v>
      </c>
      <c r="N723" s="12" t="s">
        <v>1420</v>
      </c>
      <c r="O723" s="12" t="s">
        <v>1420</v>
      </c>
      <c r="P723" s="12" t="s">
        <v>1420</v>
      </c>
      <c r="Q723" s="12" t="s">
        <v>1420</v>
      </c>
      <c r="R723" s="12" t="s">
        <v>1420</v>
      </c>
      <c r="S723" s="12" t="s">
        <v>1420</v>
      </c>
      <c r="T723" s="12" t="s">
        <v>1420</v>
      </c>
      <c r="U723" s="12" t="s">
        <v>1420</v>
      </c>
      <c r="V723" s="12" t="s">
        <v>1420</v>
      </c>
      <c r="W723" s="12" t="s">
        <v>1420</v>
      </c>
      <c r="X723" s="12" t="s">
        <v>1420</v>
      </c>
      <c r="Y723" s="12" t="s">
        <v>1420</v>
      </c>
      <c r="Z723" s="12" t="s">
        <v>1420</v>
      </c>
      <c r="AA723" s="12" t="s">
        <v>1420</v>
      </c>
      <c r="AB723" s="12" t="s">
        <v>1420</v>
      </c>
      <c r="AC723" s="12" t="s">
        <v>1420</v>
      </c>
      <c r="AD723" s="12" t="s">
        <v>1420</v>
      </c>
      <c r="AE723" s="12" t="s">
        <v>1414</v>
      </c>
      <c r="AF723" s="12" t="s">
        <v>1420</v>
      </c>
      <c r="AG723" s="12" t="s">
        <v>1420</v>
      </c>
    </row>
    <row r="724" spans="1:33" ht="15" customHeight="1" x14ac:dyDescent="0.3">
      <c r="A724" s="12" t="s">
        <v>31</v>
      </c>
      <c r="B724" s="12" t="s">
        <v>985</v>
      </c>
      <c r="C724" s="12" t="s">
        <v>984</v>
      </c>
      <c r="D724" s="12" t="s">
        <v>1410</v>
      </c>
      <c r="E724" s="12" t="s">
        <v>3106</v>
      </c>
      <c r="F724" s="12" t="s">
        <v>3107</v>
      </c>
      <c r="G724" s="12" t="s">
        <v>3108</v>
      </c>
      <c r="H724" s="12" t="s">
        <v>1452</v>
      </c>
      <c r="I724" s="12" t="s">
        <v>1420</v>
      </c>
      <c r="J724" s="12" t="s">
        <v>1420</v>
      </c>
      <c r="K724" s="12" t="s">
        <v>1420</v>
      </c>
      <c r="L724" s="12" t="s">
        <v>1420</v>
      </c>
      <c r="M724" s="12" t="s">
        <v>1420</v>
      </c>
      <c r="N724" s="12" t="s">
        <v>1420</v>
      </c>
      <c r="O724" s="12" t="s">
        <v>1420</v>
      </c>
      <c r="P724" s="12" t="s">
        <v>1420</v>
      </c>
      <c r="Q724" s="12" t="s">
        <v>1420</v>
      </c>
      <c r="R724" s="12" t="s">
        <v>1420</v>
      </c>
      <c r="S724" s="12" t="s">
        <v>1420</v>
      </c>
      <c r="T724" s="12" t="s">
        <v>1420</v>
      </c>
      <c r="U724" s="12" t="s">
        <v>1420</v>
      </c>
      <c r="V724" s="12" t="s">
        <v>1414</v>
      </c>
      <c r="W724" s="12" t="s">
        <v>1420</v>
      </c>
      <c r="X724" s="12" t="s">
        <v>1420</v>
      </c>
      <c r="Y724" s="12" t="s">
        <v>1420</v>
      </c>
      <c r="Z724" s="12" t="s">
        <v>1420</v>
      </c>
      <c r="AA724" s="12" t="s">
        <v>1420</v>
      </c>
      <c r="AB724" s="12" t="s">
        <v>1420</v>
      </c>
      <c r="AC724" s="12" t="s">
        <v>1420</v>
      </c>
      <c r="AD724" s="12" t="s">
        <v>1420</v>
      </c>
      <c r="AE724" s="12" t="s">
        <v>1420</v>
      </c>
      <c r="AF724" s="12" t="s">
        <v>1420</v>
      </c>
      <c r="AG724" s="12" t="s">
        <v>1420</v>
      </c>
    </row>
    <row r="725" spans="1:33" ht="15" customHeight="1" x14ac:dyDescent="0.3">
      <c r="A725" s="12" t="s">
        <v>8</v>
      </c>
      <c r="B725" s="12" t="s">
        <v>658</v>
      </c>
      <c r="C725" s="12" t="s">
        <v>657</v>
      </c>
      <c r="D725" s="12" t="s">
        <v>1410</v>
      </c>
      <c r="E725" s="12" t="s">
        <v>2533</v>
      </c>
      <c r="F725" s="12" t="s">
        <v>2534</v>
      </c>
      <c r="G725" s="12" t="s">
        <v>1934</v>
      </c>
      <c r="H725" s="12" t="s">
        <v>1424</v>
      </c>
      <c r="I725" s="12" t="s">
        <v>1420</v>
      </c>
      <c r="J725" s="12" t="s">
        <v>1420</v>
      </c>
      <c r="K725" s="12" t="s">
        <v>1420</v>
      </c>
      <c r="L725" s="12" t="s">
        <v>1420</v>
      </c>
      <c r="M725" s="12" t="s">
        <v>1420</v>
      </c>
      <c r="N725" s="12" t="s">
        <v>1420</v>
      </c>
      <c r="O725" s="12" t="s">
        <v>1420</v>
      </c>
      <c r="P725" s="12" t="s">
        <v>1420</v>
      </c>
      <c r="Q725" s="12" t="s">
        <v>1420</v>
      </c>
      <c r="R725" s="12" t="s">
        <v>1420</v>
      </c>
      <c r="S725" s="12" t="s">
        <v>1414</v>
      </c>
      <c r="T725" s="12" t="s">
        <v>1420</v>
      </c>
      <c r="U725" s="12" t="s">
        <v>1414</v>
      </c>
      <c r="V725" s="12" t="s">
        <v>1420</v>
      </c>
      <c r="W725" s="12" t="s">
        <v>1420</v>
      </c>
      <c r="X725" s="12" t="s">
        <v>1420</v>
      </c>
      <c r="Y725" s="12" t="s">
        <v>1420</v>
      </c>
      <c r="Z725" s="12" t="s">
        <v>1420</v>
      </c>
      <c r="AA725" s="12" t="s">
        <v>1420</v>
      </c>
      <c r="AB725" s="12" t="s">
        <v>1420</v>
      </c>
      <c r="AC725" s="12" t="s">
        <v>1420</v>
      </c>
      <c r="AD725" s="12" t="s">
        <v>1414</v>
      </c>
      <c r="AE725" s="12" t="s">
        <v>1420</v>
      </c>
      <c r="AF725" s="12" t="s">
        <v>1420</v>
      </c>
      <c r="AG725" s="12" t="s">
        <v>1420</v>
      </c>
    </row>
    <row r="726" spans="1:33" ht="15" customHeight="1" x14ac:dyDescent="0.3">
      <c r="A726" s="12" t="s">
        <v>8</v>
      </c>
      <c r="B726" s="12" t="s">
        <v>658</v>
      </c>
      <c r="C726" s="12" t="s">
        <v>657</v>
      </c>
      <c r="D726" s="12" t="s">
        <v>1410</v>
      </c>
      <c r="E726" s="12" t="s">
        <v>2543</v>
      </c>
      <c r="F726" s="12" t="s">
        <v>2544</v>
      </c>
      <c r="G726" s="12" t="s">
        <v>2545</v>
      </c>
      <c r="H726" s="12" t="s">
        <v>1464</v>
      </c>
      <c r="I726" s="12" t="s">
        <v>1420</v>
      </c>
      <c r="J726" s="12" t="s">
        <v>1420</v>
      </c>
      <c r="K726" s="12" t="s">
        <v>1420</v>
      </c>
      <c r="L726" s="12" t="s">
        <v>1420</v>
      </c>
      <c r="M726" s="12" t="s">
        <v>1420</v>
      </c>
      <c r="N726" s="12" t="s">
        <v>1420</v>
      </c>
      <c r="O726" s="12" t="s">
        <v>1420</v>
      </c>
      <c r="P726" s="12" t="s">
        <v>1420</v>
      </c>
      <c r="Q726" s="12" t="s">
        <v>1420</v>
      </c>
      <c r="R726" s="12" t="s">
        <v>1420</v>
      </c>
      <c r="S726" s="12" t="s">
        <v>1420</v>
      </c>
      <c r="T726" s="12" t="s">
        <v>1420</v>
      </c>
      <c r="U726" s="12" t="s">
        <v>1420</v>
      </c>
      <c r="V726" s="12" t="s">
        <v>1420</v>
      </c>
      <c r="W726" s="12" t="s">
        <v>1420</v>
      </c>
      <c r="X726" s="12" t="s">
        <v>1420</v>
      </c>
      <c r="Y726" s="12" t="s">
        <v>1420</v>
      </c>
      <c r="Z726" s="12" t="s">
        <v>1420</v>
      </c>
      <c r="AA726" s="12" t="s">
        <v>1420</v>
      </c>
      <c r="AB726" s="12" t="s">
        <v>1420</v>
      </c>
      <c r="AC726" s="12" t="s">
        <v>1420</v>
      </c>
      <c r="AD726" s="12" t="s">
        <v>1420</v>
      </c>
      <c r="AE726" s="12" t="s">
        <v>1420</v>
      </c>
      <c r="AF726" s="12" t="s">
        <v>1420</v>
      </c>
      <c r="AG726" s="12" t="s">
        <v>1420</v>
      </c>
    </row>
    <row r="727" spans="1:33" ht="15" customHeight="1" x14ac:dyDescent="0.3">
      <c r="A727" s="12" t="s">
        <v>28</v>
      </c>
      <c r="B727" s="12" t="s">
        <v>5956</v>
      </c>
      <c r="C727" s="12" t="s">
        <v>5957</v>
      </c>
      <c r="D727" s="12" t="s">
        <v>1410</v>
      </c>
      <c r="E727" s="12" t="s">
        <v>5958</v>
      </c>
      <c r="F727" s="12" t="s">
        <v>5959</v>
      </c>
      <c r="G727" s="12" t="s">
        <v>5960</v>
      </c>
      <c r="H727" s="12" t="s">
        <v>1428</v>
      </c>
      <c r="I727" s="12" t="s">
        <v>1420</v>
      </c>
      <c r="J727" s="12" t="s">
        <v>1420</v>
      </c>
      <c r="K727" s="12" t="s">
        <v>1420</v>
      </c>
      <c r="L727" s="12" t="s">
        <v>1420</v>
      </c>
      <c r="M727" s="12" t="s">
        <v>1420</v>
      </c>
      <c r="N727" s="12" t="s">
        <v>1420</v>
      </c>
      <c r="O727" s="12" t="s">
        <v>1420</v>
      </c>
      <c r="P727" s="12" t="s">
        <v>1420</v>
      </c>
      <c r="Q727" s="12" t="s">
        <v>1420</v>
      </c>
      <c r="R727" s="12" t="s">
        <v>1420</v>
      </c>
      <c r="S727" s="12" t="s">
        <v>1414</v>
      </c>
      <c r="T727" s="12" t="s">
        <v>1420</v>
      </c>
      <c r="U727" s="12" t="s">
        <v>1420</v>
      </c>
      <c r="V727" s="12" t="s">
        <v>1420</v>
      </c>
      <c r="W727" s="12" t="s">
        <v>1420</v>
      </c>
      <c r="X727" s="12" t="s">
        <v>1420</v>
      </c>
      <c r="Y727" s="12" t="s">
        <v>1420</v>
      </c>
      <c r="Z727" s="12" t="s">
        <v>1420</v>
      </c>
      <c r="AA727" s="12" t="s">
        <v>1420</v>
      </c>
      <c r="AB727" s="12" t="s">
        <v>1414</v>
      </c>
      <c r="AC727" s="12" t="s">
        <v>1414</v>
      </c>
      <c r="AD727" s="12" t="s">
        <v>1414</v>
      </c>
      <c r="AE727" s="12" t="s">
        <v>1414</v>
      </c>
      <c r="AF727" s="12" t="s">
        <v>1414</v>
      </c>
      <c r="AG727" s="12" t="s">
        <v>1414</v>
      </c>
    </row>
    <row r="728" spans="1:33" ht="15" customHeight="1" x14ac:dyDescent="0.3">
      <c r="A728" s="12" t="s">
        <v>42</v>
      </c>
      <c r="B728" s="12" t="s">
        <v>214</v>
      </c>
      <c r="C728" s="12" t="s">
        <v>213</v>
      </c>
      <c r="D728" s="12" t="s">
        <v>1410</v>
      </c>
      <c r="E728" s="12" t="s">
        <v>2512</v>
      </c>
      <c r="F728" s="12" t="s">
        <v>2513</v>
      </c>
      <c r="G728" s="12" t="s">
        <v>2514</v>
      </c>
      <c r="H728" s="12" t="s">
        <v>1419</v>
      </c>
      <c r="I728" s="12" t="s">
        <v>1420</v>
      </c>
      <c r="J728" s="12" t="s">
        <v>1420</v>
      </c>
      <c r="K728" s="12" t="s">
        <v>1420</v>
      </c>
      <c r="L728" s="12" t="s">
        <v>1420</v>
      </c>
      <c r="M728" s="12" t="s">
        <v>1420</v>
      </c>
      <c r="N728" s="12" t="s">
        <v>1414</v>
      </c>
      <c r="O728" s="12" t="s">
        <v>1420</v>
      </c>
      <c r="P728" s="12" t="s">
        <v>1420</v>
      </c>
      <c r="Q728" s="12" t="s">
        <v>1420</v>
      </c>
      <c r="R728" s="12" t="s">
        <v>1420</v>
      </c>
      <c r="S728" s="12" t="s">
        <v>1420</v>
      </c>
      <c r="T728" s="12" t="s">
        <v>1420</v>
      </c>
      <c r="U728" s="12" t="s">
        <v>1420</v>
      </c>
      <c r="V728" s="12" t="s">
        <v>1420</v>
      </c>
      <c r="W728" s="12" t="s">
        <v>1420</v>
      </c>
      <c r="X728" s="12" t="s">
        <v>1420</v>
      </c>
      <c r="Y728" s="12" t="s">
        <v>1420</v>
      </c>
      <c r="Z728" s="12" t="s">
        <v>1420</v>
      </c>
      <c r="AA728" s="12" t="s">
        <v>1420</v>
      </c>
      <c r="AB728" s="12" t="s">
        <v>1420</v>
      </c>
      <c r="AC728" s="12" t="s">
        <v>1420</v>
      </c>
      <c r="AD728" s="12" t="s">
        <v>1420</v>
      </c>
      <c r="AE728" s="12" t="s">
        <v>1414</v>
      </c>
      <c r="AF728" s="12" t="s">
        <v>1420</v>
      </c>
      <c r="AG728" s="12" t="s">
        <v>1420</v>
      </c>
    </row>
    <row r="729" spans="1:33" ht="15" customHeight="1" x14ac:dyDescent="0.3">
      <c r="A729" s="12" t="s">
        <v>28</v>
      </c>
      <c r="B729" s="12" t="s">
        <v>5961</v>
      </c>
      <c r="C729" s="12" t="s">
        <v>5962</v>
      </c>
      <c r="D729" s="12" t="s">
        <v>1410</v>
      </c>
      <c r="E729" s="12" t="s">
        <v>5503</v>
      </c>
      <c r="F729" s="12" t="s">
        <v>5591</v>
      </c>
      <c r="G729" s="12" t="s">
        <v>5963</v>
      </c>
      <c r="H729" s="12" t="s">
        <v>1448</v>
      </c>
      <c r="I729" s="12" t="s">
        <v>1420</v>
      </c>
      <c r="J729" s="12" t="s">
        <v>1420</v>
      </c>
      <c r="K729" s="12" t="s">
        <v>1420</v>
      </c>
      <c r="L729" s="12" t="s">
        <v>1420</v>
      </c>
      <c r="M729" s="12" t="s">
        <v>1420</v>
      </c>
      <c r="N729" s="12" t="s">
        <v>1420</v>
      </c>
      <c r="O729" s="12" t="s">
        <v>1420</v>
      </c>
      <c r="P729" s="12" t="s">
        <v>1414</v>
      </c>
      <c r="Q729" s="12" t="s">
        <v>1420</v>
      </c>
      <c r="R729" s="12" t="s">
        <v>1420</v>
      </c>
      <c r="S729" s="12" t="s">
        <v>1420</v>
      </c>
      <c r="T729" s="12" t="s">
        <v>1420</v>
      </c>
      <c r="U729" s="12" t="s">
        <v>1420</v>
      </c>
      <c r="V729" s="12" t="s">
        <v>1420</v>
      </c>
      <c r="W729" s="12" t="s">
        <v>1420</v>
      </c>
      <c r="X729" s="12" t="s">
        <v>1414</v>
      </c>
      <c r="Y729" s="12" t="s">
        <v>1420</v>
      </c>
      <c r="Z729" s="12" t="s">
        <v>1420</v>
      </c>
      <c r="AA729" s="12" t="s">
        <v>1420</v>
      </c>
      <c r="AB729" s="12" t="s">
        <v>1414</v>
      </c>
      <c r="AC729" s="12" t="s">
        <v>1414</v>
      </c>
      <c r="AD729" s="12" t="s">
        <v>1420</v>
      </c>
      <c r="AE729" s="12" t="s">
        <v>1414</v>
      </c>
      <c r="AF729" s="12" t="s">
        <v>1420</v>
      </c>
      <c r="AG729" s="12" t="s">
        <v>1420</v>
      </c>
    </row>
    <row r="730" spans="1:33" ht="15" customHeight="1" x14ac:dyDescent="0.3">
      <c r="A730" s="12" t="s">
        <v>123</v>
      </c>
      <c r="B730" s="12" t="s">
        <v>216</v>
      </c>
      <c r="C730" s="12" t="s">
        <v>215</v>
      </c>
      <c r="D730" s="12" t="s">
        <v>1410</v>
      </c>
      <c r="E730" s="12" t="s">
        <v>2323</v>
      </c>
      <c r="F730" s="12" t="s">
        <v>2324</v>
      </c>
      <c r="G730" s="12" t="s">
        <v>2325</v>
      </c>
      <c r="H730" s="12" t="s">
        <v>1464</v>
      </c>
      <c r="I730" s="12" t="s">
        <v>1420</v>
      </c>
      <c r="J730" s="12" t="s">
        <v>1420</v>
      </c>
      <c r="K730" s="12" t="s">
        <v>1420</v>
      </c>
      <c r="L730" s="12" t="s">
        <v>1420</v>
      </c>
      <c r="M730" s="12" t="s">
        <v>1420</v>
      </c>
      <c r="N730" s="12" t="s">
        <v>1420</v>
      </c>
      <c r="O730" s="12" t="s">
        <v>1420</v>
      </c>
      <c r="P730" s="12" t="s">
        <v>1420</v>
      </c>
      <c r="Q730" s="12" t="s">
        <v>1420</v>
      </c>
      <c r="R730" s="12" t="s">
        <v>1420</v>
      </c>
      <c r="S730" s="12" t="s">
        <v>1420</v>
      </c>
      <c r="T730" s="12" t="s">
        <v>1420</v>
      </c>
      <c r="U730" s="12" t="s">
        <v>1420</v>
      </c>
      <c r="V730" s="12" t="s">
        <v>1420</v>
      </c>
      <c r="W730" s="12" t="s">
        <v>1420</v>
      </c>
      <c r="X730" s="12" t="s">
        <v>1420</v>
      </c>
      <c r="Y730" s="12" t="s">
        <v>1420</v>
      </c>
      <c r="Z730" s="12" t="s">
        <v>1420</v>
      </c>
      <c r="AA730" s="12" t="s">
        <v>1420</v>
      </c>
      <c r="AB730" s="12" t="s">
        <v>1420</v>
      </c>
      <c r="AC730" s="12" t="s">
        <v>1420</v>
      </c>
      <c r="AD730" s="12" t="s">
        <v>1420</v>
      </c>
      <c r="AE730" s="12" t="s">
        <v>1420</v>
      </c>
      <c r="AF730" s="12" t="s">
        <v>1420</v>
      </c>
      <c r="AG730" s="12" t="s">
        <v>1420</v>
      </c>
    </row>
    <row r="731" spans="1:33" ht="15" customHeight="1" x14ac:dyDescent="0.3">
      <c r="A731" s="12" t="s">
        <v>5964</v>
      </c>
      <c r="B731" s="12" t="s">
        <v>5965</v>
      </c>
      <c r="C731" s="12" t="s">
        <v>217</v>
      </c>
      <c r="D731" s="12" t="s">
        <v>1410</v>
      </c>
      <c r="E731" s="12" t="s">
        <v>2546</v>
      </c>
      <c r="F731" s="12" t="s">
        <v>2547</v>
      </c>
      <c r="G731" s="12" t="s">
        <v>2548</v>
      </c>
      <c r="H731" s="12" t="s">
        <v>1438</v>
      </c>
      <c r="I731" s="12" t="s">
        <v>1420</v>
      </c>
      <c r="J731" s="12" t="s">
        <v>1420</v>
      </c>
      <c r="K731" s="12" t="s">
        <v>1420</v>
      </c>
      <c r="L731" s="12" t="s">
        <v>1420</v>
      </c>
      <c r="M731" s="12" t="s">
        <v>1420</v>
      </c>
      <c r="N731" s="12" t="s">
        <v>1420</v>
      </c>
      <c r="O731" s="12" t="s">
        <v>1414</v>
      </c>
      <c r="P731" s="12" t="s">
        <v>1414</v>
      </c>
      <c r="Q731" s="12" t="s">
        <v>1420</v>
      </c>
      <c r="R731" s="12" t="s">
        <v>1420</v>
      </c>
      <c r="S731" s="12" t="s">
        <v>1414</v>
      </c>
      <c r="T731" s="12" t="s">
        <v>1420</v>
      </c>
      <c r="U731" s="12" t="s">
        <v>1420</v>
      </c>
      <c r="V731" s="12" t="s">
        <v>1420</v>
      </c>
      <c r="W731" s="12" t="s">
        <v>1420</v>
      </c>
      <c r="X731" s="12" t="s">
        <v>1414</v>
      </c>
      <c r="Y731" s="12" t="s">
        <v>1420</v>
      </c>
      <c r="Z731" s="12" t="s">
        <v>1420</v>
      </c>
      <c r="AA731" s="12" t="s">
        <v>1414</v>
      </c>
      <c r="AB731" s="12" t="s">
        <v>1420</v>
      </c>
      <c r="AC731" s="12" t="s">
        <v>1414</v>
      </c>
      <c r="AD731" s="12" t="s">
        <v>1420</v>
      </c>
      <c r="AE731" s="12" t="s">
        <v>1420</v>
      </c>
      <c r="AF731" s="12" t="s">
        <v>1420</v>
      </c>
      <c r="AG731" s="12" t="s">
        <v>1420</v>
      </c>
    </row>
    <row r="732" spans="1:33" ht="15" customHeight="1" x14ac:dyDescent="0.3">
      <c r="A732" s="12" t="s">
        <v>49</v>
      </c>
      <c r="B732" s="12" t="s">
        <v>660</v>
      </c>
      <c r="C732" s="12" t="s">
        <v>659</v>
      </c>
      <c r="D732" s="12" t="s">
        <v>1410</v>
      </c>
      <c r="E732" s="12" t="s">
        <v>1633</v>
      </c>
      <c r="F732" s="12" t="s">
        <v>1634</v>
      </c>
      <c r="G732" s="12" t="s">
        <v>1635</v>
      </c>
      <c r="H732" s="12" t="s">
        <v>1419</v>
      </c>
      <c r="I732" s="12" t="s">
        <v>1420</v>
      </c>
      <c r="J732" s="12" t="s">
        <v>1420</v>
      </c>
      <c r="K732" s="12" t="s">
        <v>1420</v>
      </c>
      <c r="L732" s="12" t="s">
        <v>1420</v>
      </c>
      <c r="M732" s="12" t="s">
        <v>1420</v>
      </c>
      <c r="N732" s="12" t="s">
        <v>1420</v>
      </c>
      <c r="O732" s="12" t="s">
        <v>1420</v>
      </c>
      <c r="P732" s="12" t="s">
        <v>1420</v>
      </c>
      <c r="Q732" s="12" t="s">
        <v>1420</v>
      </c>
      <c r="R732" s="12" t="s">
        <v>1420</v>
      </c>
      <c r="S732" s="12" t="s">
        <v>1414</v>
      </c>
      <c r="T732" s="12" t="s">
        <v>1420</v>
      </c>
      <c r="U732" s="12" t="s">
        <v>1420</v>
      </c>
      <c r="V732" s="12" t="s">
        <v>1420</v>
      </c>
      <c r="W732" s="12" t="s">
        <v>1420</v>
      </c>
      <c r="X732" s="12" t="s">
        <v>1420</v>
      </c>
      <c r="Y732" s="12" t="s">
        <v>1420</v>
      </c>
      <c r="Z732" s="12" t="s">
        <v>1420</v>
      </c>
      <c r="AA732" s="12" t="s">
        <v>1414</v>
      </c>
      <c r="AB732" s="12" t="s">
        <v>1420</v>
      </c>
      <c r="AC732" s="12" t="s">
        <v>1420</v>
      </c>
      <c r="AD732" s="12" t="s">
        <v>1420</v>
      </c>
      <c r="AE732" s="12" t="s">
        <v>1420</v>
      </c>
      <c r="AF732" s="12" t="s">
        <v>1420</v>
      </c>
      <c r="AG732" s="12" t="s">
        <v>1420</v>
      </c>
    </row>
    <row r="733" spans="1:33" ht="15" customHeight="1" x14ac:dyDescent="0.3">
      <c r="A733" s="12" t="s">
        <v>49</v>
      </c>
      <c r="B733" s="12" t="s">
        <v>1268</v>
      </c>
      <c r="C733" s="12" t="s">
        <v>1267</v>
      </c>
      <c r="D733" s="12" t="s">
        <v>1410</v>
      </c>
      <c r="E733" s="12" t="s">
        <v>2972</v>
      </c>
      <c r="F733" s="12" t="s">
        <v>2973</v>
      </c>
      <c r="G733" s="12" t="s">
        <v>2974</v>
      </c>
      <c r="H733" s="12" t="s">
        <v>1488</v>
      </c>
      <c r="I733" s="12" t="s">
        <v>1420</v>
      </c>
      <c r="J733" s="12" t="s">
        <v>1414</v>
      </c>
      <c r="K733" s="12" t="s">
        <v>1420</v>
      </c>
      <c r="L733" s="12" t="s">
        <v>1420</v>
      </c>
      <c r="M733" s="12" t="s">
        <v>1420</v>
      </c>
      <c r="N733" s="12" t="s">
        <v>1420</v>
      </c>
      <c r="O733" s="12" t="s">
        <v>1420</v>
      </c>
      <c r="P733" s="12" t="s">
        <v>1420</v>
      </c>
      <c r="Q733" s="12" t="s">
        <v>1420</v>
      </c>
      <c r="R733" s="12" t="s">
        <v>1420</v>
      </c>
      <c r="S733" s="12" t="s">
        <v>1414</v>
      </c>
      <c r="T733" s="12" t="s">
        <v>1420</v>
      </c>
      <c r="U733" s="12" t="s">
        <v>1420</v>
      </c>
      <c r="V733" s="12" t="s">
        <v>1420</v>
      </c>
      <c r="W733" s="12" t="s">
        <v>1420</v>
      </c>
      <c r="X733" s="12" t="s">
        <v>1420</v>
      </c>
      <c r="Y733" s="12" t="s">
        <v>1420</v>
      </c>
      <c r="Z733" s="12" t="s">
        <v>1420</v>
      </c>
      <c r="AA733" s="12" t="s">
        <v>1414</v>
      </c>
      <c r="AB733" s="12" t="s">
        <v>1420</v>
      </c>
      <c r="AC733" s="12" t="s">
        <v>1414</v>
      </c>
      <c r="AD733" s="12" t="s">
        <v>1420</v>
      </c>
      <c r="AE733" s="12" t="s">
        <v>1420</v>
      </c>
      <c r="AF733" s="12" t="s">
        <v>1420</v>
      </c>
      <c r="AG733" s="12" t="s">
        <v>1420</v>
      </c>
    </row>
    <row r="734" spans="1:33" ht="15" customHeight="1" x14ac:dyDescent="0.3">
      <c r="A734" s="12" t="s">
        <v>31</v>
      </c>
      <c r="B734" s="12" t="s">
        <v>987</v>
      </c>
      <c r="C734" s="12" t="s">
        <v>986</v>
      </c>
      <c r="D734" s="12" t="s">
        <v>1410</v>
      </c>
      <c r="E734" s="12" t="s">
        <v>2897</v>
      </c>
      <c r="F734" s="12" t="s">
        <v>2898</v>
      </c>
      <c r="G734" s="12" t="s">
        <v>2899</v>
      </c>
      <c r="H734" s="12" t="s">
        <v>1464</v>
      </c>
      <c r="I734" s="12" t="s">
        <v>1420</v>
      </c>
      <c r="J734" s="12" t="s">
        <v>1420</v>
      </c>
      <c r="K734" s="12" t="s">
        <v>1420</v>
      </c>
      <c r="L734" s="12" t="s">
        <v>1420</v>
      </c>
      <c r="M734" s="12" t="s">
        <v>1420</v>
      </c>
      <c r="N734" s="12" t="s">
        <v>1420</v>
      </c>
      <c r="O734" s="12" t="s">
        <v>1420</v>
      </c>
      <c r="P734" s="12" t="s">
        <v>1420</v>
      </c>
      <c r="Q734" s="12" t="s">
        <v>1420</v>
      </c>
      <c r="R734" s="12" t="s">
        <v>1420</v>
      </c>
      <c r="S734" s="12" t="s">
        <v>1420</v>
      </c>
      <c r="T734" s="12" t="s">
        <v>1420</v>
      </c>
      <c r="U734" s="12" t="s">
        <v>1420</v>
      </c>
      <c r="V734" s="12" t="s">
        <v>1420</v>
      </c>
      <c r="W734" s="12" t="s">
        <v>1420</v>
      </c>
      <c r="X734" s="12" t="s">
        <v>1420</v>
      </c>
      <c r="Y734" s="12" t="s">
        <v>1420</v>
      </c>
      <c r="Z734" s="12" t="s">
        <v>1420</v>
      </c>
      <c r="AA734" s="12" t="s">
        <v>1420</v>
      </c>
      <c r="AB734" s="12" t="s">
        <v>1420</v>
      </c>
      <c r="AC734" s="12" t="s">
        <v>1420</v>
      </c>
      <c r="AD734" s="12" t="s">
        <v>1420</v>
      </c>
      <c r="AE734" s="12" t="s">
        <v>1420</v>
      </c>
      <c r="AF734" s="12" t="s">
        <v>1420</v>
      </c>
      <c r="AG734" s="12" t="s">
        <v>1420</v>
      </c>
    </row>
    <row r="735" spans="1:33" ht="15" customHeight="1" x14ac:dyDescent="0.3">
      <c r="A735" s="12" t="s">
        <v>31</v>
      </c>
      <c r="B735" s="12" t="s">
        <v>662</v>
      </c>
      <c r="C735" s="12" t="s">
        <v>661</v>
      </c>
      <c r="D735" s="12" t="s">
        <v>1410</v>
      </c>
      <c r="E735" s="12" t="s">
        <v>1546</v>
      </c>
      <c r="F735" s="12" t="s">
        <v>1547</v>
      </c>
      <c r="G735" s="12" t="s">
        <v>1548</v>
      </c>
      <c r="H735" s="12" t="s">
        <v>1464</v>
      </c>
      <c r="I735" s="12" t="s">
        <v>1420</v>
      </c>
      <c r="J735" s="12" t="s">
        <v>1420</v>
      </c>
      <c r="K735" s="12" t="s">
        <v>1420</v>
      </c>
      <c r="L735" s="12" t="s">
        <v>1420</v>
      </c>
      <c r="M735" s="12" t="s">
        <v>1420</v>
      </c>
      <c r="N735" s="12" t="s">
        <v>1420</v>
      </c>
      <c r="O735" s="12" t="s">
        <v>1420</v>
      </c>
      <c r="P735" s="12" t="s">
        <v>1420</v>
      </c>
      <c r="Q735" s="12" t="s">
        <v>1420</v>
      </c>
      <c r="R735" s="12" t="s">
        <v>1420</v>
      </c>
      <c r="S735" s="12" t="s">
        <v>1420</v>
      </c>
      <c r="T735" s="12" t="s">
        <v>1420</v>
      </c>
      <c r="U735" s="12" t="s">
        <v>1420</v>
      </c>
      <c r="V735" s="12" t="s">
        <v>1420</v>
      </c>
      <c r="W735" s="12" t="s">
        <v>1420</v>
      </c>
      <c r="X735" s="12" t="s">
        <v>1420</v>
      </c>
      <c r="Y735" s="12" t="s">
        <v>1420</v>
      </c>
      <c r="Z735" s="12" t="s">
        <v>1420</v>
      </c>
      <c r="AA735" s="12" t="s">
        <v>1420</v>
      </c>
      <c r="AB735" s="12" t="s">
        <v>1420</v>
      </c>
      <c r="AC735" s="12" t="s">
        <v>1420</v>
      </c>
      <c r="AD735" s="12" t="s">
        <v>1420</v>
      </c>
      <c r="AE735" s="12" t="s">
        <v>1420</v>
      </c>
      <c r="AF735" s="12" t="s">
        <v>1420</v>
      </c>
      <c r="AG735" s="12" t="s">
        <v>1420</v>
      </c>
    </row>
    <row r="736" spans="1:33" ht="15" customHeight="1" x14ac:dyDescent="0.3">
      <c r="A736" s="12" t="s">
        <v>8</v>
      </c>
      <c r="B736" s="12" t="s">
        <v>5966</v>
      </c>
      <c r="C736" s="12" t="s">
        <v>5967</v>
      </c>
      <c r="D736" s="12" t="s">
        <v>1410</v>
      </c>
      <c r="E736" s="12" t="s">
        <v>5889</v>
      </c>
      <c r="F736" s="12" t="s">
        <v>5968</v>
      </c>
      <c r="G736" s="12" t="s">
        <v>2282</v>
      </c>
      <c r="H736" s="12" t="s">
        <v>1452</v>
      </c>
      <c r="I736" s="12" t="s">
        <v>1420</v>
      </c>
      <c r="J736" s="12" t="s">
        <v>1420</v>
      </c>
      <c r="K736" s="12" t="s">
        <v>1420</v>
      </c>
      <c r="L736" s="12" t="s">
        <v>1420</v>
      </c>
      <c r="M736" s="12" t="s">
        <v>1420</v>
      </c>
      <c r="N736" s="12" t="s">
        <v>1420</v>
      </c>
      <c r="O736" s="12" t="s">
        <v>1420</v>
      </c>
      <c r="P736" s="12" t="s">
        <v>1414</v>
      </c>
      <c r="Q736" s="12" t="s">
        <v>1420</v>
      </c>
      <c r="R736" s="12" t="s">
        <v>1420</v>
      </c>
      <c r="S736" s="12" t="s">
        <v>1420</v>
      </c>
      <c r="T736" s="12" t="s">
        <v>1420</v>
      </c>
      <c r="U736" s="12" t="s">
        <v>1420</v>
      </c>
      <c r="V736" s="12" t="s">
        <v>1420</v>
      </c>
      <c r="W736" s="12" t="s">
        <v>1420</v>
      </c>
      <c r="X736" s="12" t="s">
        <v>1420</v>
      </c>
      <c r="Y736" s="12" t="s">
        <v>1420</v>
      </c>
      <c r="Z736" s="12" t="s">
        <v>1420</v>
      </c>
      <c r="AA736" s="12" t="s">
        <v>1420</v>
      </c>
      <c r="AB736" s="12" t="s">
        <v>1420</v>
      </c>
      <c r="AC736" s="12" t="s">
        <v>1420</v>
      </c>
      <c r="AD736" s="12" t="s">
        <v>1420</v>
      </c>
      <c r="AE736" s="12" t="s">
        <v>1420</v>
      </c>
      <c r="AF736" s="12" t="s">
        <v>1420</v>
      </c>
      <c r="AG736" s="12" t="s">
        <v>1420</v>
      </c>
    </row>
    <row r="737" spans="1:33" ht="15" customHeight="1" x14ac:dyDescent="0.3">
      <c r="A737" s="12" t="s">
        <v>280</v>
      </c>
      <c r="B737" s="12" t="s">
        <v>279</v>
      </c>
      <c r="C737" s="12" t="s">
        <v>278</v>
      </c>
      <c r="D737" s="12" t="s">
        <v>1410</v>
      </c>
      <c r="E737" s="12" t="s">
        <v>2500</v>
      </c>
      <c r="F737" s="12" t="s">
        <v>2501</v>
      </c>
      <c r="G737" s="12" t="s">
        <v>1657</v>
      </c>
      <c r="H737" s="12" t="s">
        <v>1424</v>
      </c>
      <c r="I737" s="12" t="s">
        <v>1420</v>
      </c>
      <c r="J737" s="12" t="s">
        <v>1420</v>
      </c>
      <c r="K737" s="12" t="s">
        <v>1420</v>
      </c>
      <c r="L737" s="12" t="s">
        <v>1420</v>
      </c>
      <c r="M737" s="12" t="s">
        <v>1420</v>
      </c>
      <c r="N737" s="12" t="s">
        <v>1420</v>
      </c>
      <c r="O737" s="12" t="s">
        <v>1414</v>
      </c>
      <c r="P737" s="12" t="s">
        <v>1414</v>
      </c>
      <c r="Q737" s="12" t="s">
        <v>1420</v>
      </c>
      <c r="R737" s="12" t="s">
        <v>1420</v>
      </c>
      <c r="S737" s="12" t="s">
        <v>1414</v>
      </c>
      <c r="T737" s="12" t="s">
        <v>1420</v>
      </c>
      <c r="U737" s="12" t="s">
        <v>1420</v>
      </c>
      <c r="V737" s="12" t="s">
        <v>1420</v>
      </c>
      <c r="W737" s="12" t="s">
        <v>1420</v>
      </c>
      <c r="X737" s="12" t="s">
        <v>1420</v>
      </c>
      <c r="Y737" s="12" t="s">
        <v>1420</v>
      </c>
      <c r="Z737" s="12" t="s">
        <v>1420</v>
      </c>
      <c r="AA737" s="12" t="s">
        <v>1420</v>
      </c>
      <c r="AB737" s="12" t="s">
        <v>1420</v>
      </c>
      <c r="AC737" s="12" t="s">
        <v>1420</v>
      </c>
      <c r="AD737" s="12" t="s">
        <v>1420</v>
      </c>
      <c r="AE737" s="12" t="s">
        <v>1420</v>
      </c>
      <c r="AF737" s="12" t="s">
        <v>1420</v>
      </c>
      <c r="AG737" s="12" t="s">
        <v>1420</v>
      </c>
    </row>
    <row r="738" spans="1:33" ht="15" customHeight="1" x14ac:dyDescent="0.3">
      <c r="A738" s="12" t="s">
        <v>221</v>
      </c>
      <c r="B738" s="12" t="s">
        <v>220</v>
      </c>
      <c r="C738" s="12" t="s">
        <v>219</v>
      </c>
      <c r="D738" s="12" t="s">
        <v>1410</v>
      </c>
      <c r="E738" s="12" t="s">
        <v>2403</v>
      </c>
      <c r="F738" s="12" t="s">
        <v>2404</v>
      </c>
      <c r="G738" s="12" t="s">
        <v>2405</v>
      </c>
      <c r="H738" s="12" t="s">
        <v>1488</v>
      </c>
      <c r="I738" s="12" t="s">
        <v>1420</v>
      </c>
      <c r="J738" s="12" t="s">
        <v>1420</v>
      </c>
      <c r="K738" s="12" t="s">
        <v>1420</v>
      </c>
      <c r="L738" s="12" t="s">
        <v>1420</v>
      </c>
      <c r="M738" s="12" t="s">
        <v>1420</v>
      </c>
      <c r="N738" s="12" t="s">
        <v>1420</v>
      </c>
      <c r="O738" s="12" t="s">
        <v>1414</v>
      </c>
      <c r="P738" s="12" t="s">
        <v>1414</v>
      </c>
      <c r="Q738" s="12" t="s">
        <v>1420</v>
      </c>
      <c r="R738" s="12" t="s">
        <v>1420</v>
      </c>
      <c r="S738" s="12" t="s">
        <v>1420</v>
      </c>
      <c r="T738" s="12" t="s">
        <v>1420</v>
      </c>
      <c r="U738" s="12" t="s">
        <v>1420</v>
      </c>
      <c r="V738" s="12" t="s">
        <v>1420</v>
      </c>
      <c r="W738" s="12" t="s">
        <v>1420</v>
      </c>
      <c r="X738" s="12" t="s">
        <v>1414</v>
      </c>
      <c r="Y738" s="12" t="s">
        <v>1420</v>
      </c>
      <c r="Z738" s="12" t="s">
        <v>1420</v>
      </c>
      <c r="AA738" s="12" t="s">
        <v>1420</v>
      </c>
      <c r="AB738" s="12" t="s">
        <v>1420</v>
      </c>
      <c r="AC738" s="12" t="s">
        <v>1420</v>
      </c>
      <c r="AD738" s="12" t="s">
        <v>1414</v>
      </c>
      <c r="AE738" s="12" t="s">
        <v>1420</v>
      </c>
      <c r="AF738" s="12" t="s">
        <v>1420</v>
      </c>
      <c r="AG738" s="12" t="s">
        <v>1420</v>
      </c>
    </row>
    <row r="739" spans="1:33" ht="15" customHeight="1" x14ac:dyDescent="0.3">
      <c r="A739" s="12" t="s">
        <v>42</v>
      </c>
      <c r="B739" s="12" t="s">
        <v>664</v>
      </c>
      <c r="C739" s="12" t="s">
        <v>663</v>
      </c>
      <c r="D739" s="12" t="s">
        <v>1410</v>
      </c>
      <c r="E739" s="12" t="s">
        <v>1528</v>
      </c>
      <c r="F739" s="12" t="s">
        <v>1529</v>
      </c>
      <c r="G739" s="12" t="s">
        <v>1530</v>
      </c>
      <c r="H739" s="12" t="s">
        <v>1419</v>
      </c>
      <c r="I739" s="12" t="s">
        <v>1420</v>
      </c>
      <c r="J739" s="12" t="s">
        <v>1420</v>
      </c>
      <c r="K739" s="12" t="s">
        <v>1420</v>
      </c>
      <c r="L739" s="12" t="s">
        <v>1420</v>
      </c>
      <c r="M739" s="12" t="s">
        <v>1420</v>
      </c>
      <c r="N739" s="12" t="s">
        <v>1420</v>
      </c>
      <c r="O739" s="12" t="s">
        <v>1420</v>
      </c>
      <c r="P739" s="12" t="s">
        <v>1420</v>
      </c>
      <c r="Q739" s="12" t="s">
        <v>1420</v>
      </c>
      <c r="R739" s="12" t="s">
        <v>1420</v>
      </c>
      <c r="S739" s="12" t="s">
        <v>1414</v>
      </c>
      <c r="T739" s="12" t="s">
        <v>1420</v>
      </c>
      <c r="U739" s="12" t="s">
        <v>1414</v>
      </c>
      <c r="V739" s="12" t="s">
        <v>1420</v>
      </c>
      <c r="W739" s="12" t="s">
        <v>1420</v>
      </c>
      <c r="X739" s="12" t="s">
        <v>1420</v>
      </c>
      <c r="Y739" s="12" t="s">
        <v>1420</v>
      </c>
      <c r="Z739" s="12" t="s">
        <v>1420</v>
      </c>
      <c r="AA739" s="12" t="s">
        <v>1420</v>
      </c>
      <c r="AB739" s="12" t="s">
        <v>1420</v>
      </c>
      <c r="AC739" s="12" t="s">
        <v>1420</v>
      </c>
      <c r="AD739" s="12" t="s">
        <v>1420</v>
      </c>
      <c r="AE739" s="12" t="s">
        <v>1420</v>
      </c>
      <c r="AF739" s="12" t="s">
        <v>1420</v>
      </c>
      <c r="AG739" s="12" t="s">
        <v>1420</v>
      </c>
    </row>
    <row r="740" spans="1:33" ht="15" customHeight="1" x14ac:dyDescent="0.3">
      <c r="A740" s="12" t="s">
        <v>25</v>
      </c>
      <c r="B740" s="12" t="s">
        <v>989</v>
      </c>
      <c r="C740" s="12" t="s">
        <v>988</v>
      </c>
      <c r="D740" s="12" t="s">
        <v>1410</v>
      </c>
      <c r="E740" s="12" t="s">
        <v>2553</v>
      </c>
      <c r="F740" s="12" t="s">
        <v>2560</v>
      </c>
      <c r="G740" s="12" t="s">
        <v>2561</v>
      </c>
      <c r="H740" s="12" t="s">
        <v>1419</v>
      </c>
      <c r="I740" s="12" t="s">
        <v>1420</v>
      </c>
      <c r="J740" s="12" t="s">
        <v>1414</v>
      </c>
      <c r="K740" s="12" t="s">
        <v>1420</v>
      </c>
      <c r="L740" s="12" t="s">
        <v>1420</v>
      </c>
      <c r="M740" s="12" t="s">
        <v>1420</v>
      </c>
      <c r="N740" s="12" t="s">
        <v>1414</v>
      </c>
      <c r="O740" s="12" t="s">
        <v>1420</v>
      </c>
      <c r="P740" s="12" t="s">
        <v>1420</v>
      </c>
      <c r="Q740" s="12" t="s">
        <v>1420</v>
      </c>
      <c r="R740" s="12" t="s">
        <v>1420</v>
      </c>
      <c r="S740" s="12" t="s">
        <v>1420</v>
      </c>
      <c r="T740" s="12" t="s">
        <v>1420</v>
      </c>
      <c r="U740" s="12" t="s">
        <v>1420</v>
      </c>
      <c r="V740" s="12" t="s">
        <v>1420</v>
      </c>
      <c r="W740" s="12" t="s">
        <v>1420</v>
      </c>
      <c r="X740" s="12" t="s">
        <v>1420</v>
      </c>
      <c r="Y740" s="12" t="s">
        <v>1420</v>
      </c>
      <c r="Z740" s="12" t="s">
        <v>1420</v>
      </c>
      <c r="AA740" s="12" t="s">
        <v>1420</v>
      </c>
      <c r="AB740" s="12" t="s">
        <v>1420</v>
      </c>
      <c r="AC740" s="12" t="s">
        <v>1420</v>
      </c>
      <c r="AD740" s="12" t="s">
        <v>1420</v>
      </c>
      <c r="AE740" s="12" t="s">
        <v>1420</v>
      </c>
      <c r="AF740" s="12" t="s">
        <v>1420</v>
      </c>
      <c r="AG740" s="12" t="s">
        <v>1420</v>
      </c>
    </row>
    <row r="741" spans="1:33" ht="15" customHeight="1" x14ac:dyDescent="0.3">
      <c r="A741" s="12" t="s">
        <v>19</v>
      </c>
      <c r="B741" s="12" t="s">
        <v>223</v>
      </c>
      <c r="C741" s="12" t="s">
        <v>222</v>
      </c>
      <c r="D741" s="12" t="s">
        <v>1410</v>
      </c>
      <c r="E741" s="12" t="s">
        <v>2524</v>
      </c>
      <c r="F741" s="12" t="s">
        <v>2525</v>
      </c>
      <c r="G741" s="12" t="s">
        <v>2526</v>
      </c>
      <c r="H741" s="12" t="s">
        <v>1438</v>
      </c>
      <c r="I741" s="12" t="s">
        <v>1420</v>
      </c>
      <c r="J741" s="12" t="s">
        <v>1414</v>
      </c>
      <c r="K741" s="12" t="s">
        <v>1420</v>
      </c>
      <c r="L741" s="12" t="s">
        <v>1420</v>
      </c>
      <c r="M741" s="12" t="s">
        <v>1420</v>
      </c>
      <c r="N741" s="12" t="s">
        <v>1414</v>
      </c>
      <c r="O741" s="12" t="s">
        <v>1414</v>
      </c>
      <c r="P741" s="12" t="s">
        <v>1414</v>
      </c>
      <c r="Q741" s="12" t="s">
        <v>1420</v>
      </c>
      <c r="R741" s="12" t="s">
        <v>1414</v>
      </c>
      <c r="S741" s="12" t="s">
        <v>1414</v>
      </c>
      <c r="T741" s="12" t="s">
        <v>1420</v>
      </c>
      <c r="U741" s="12" t="s">
        <v>1420</v>
      </c>
      <c r="V741" s="12" t="s">
        <v>1420</v>
      </c>
      <c r="W741" s="12" t="s">
        <v>1420</v>
      </c>
      <c r="X741" s="12" t="s">
        <v>1420</v>
      </c>
      <c r="Y741" s="12" t="s">
        <v>1420</v>
      </c>
      <c r="Z741" s="12" t="s">
        <v>1420</v>
      </c>
      <c r="AA741" s="12" t="s">
        <v>1420</v>
      </c>
      <c r="AB741" s="12" t="s">
        <v>1420</v>
      </c>
      <c r="AC741" s="12" t="s">
        <v>1420</v>
      </c>
      <c r="AD741" s="12" t="s">
        <v>1420</v>
      </c>
      <c r="AE741" s="12" t="s">
        <v>1420</v>
      </c>
      <c r="AF741" s="12" t="s">
        <v>1420</v>
      </c>
      <c r="AG741" s="12" t="s">
        <v>1420</v>
      </c>
    </row>
    <row r="742" spans="1:33" ht="15" customHeight="1" x14ac:dyDescent="0.3">
      <c r="A742" s="12" t="s">
        <v>55</v>
      </c>
      <c r="B742" s="12" t="s">
        <v>1408</v>
      </c>
      <c r="C742" s="12" t="s">
        <v>1409</v>
      </c>
      <c r="D742" s="12" t="s">
        <v>1410</v>
      </c>
      <c r="E742" s="12" t="s">
        <v>1411</v>
      </c>
      <c r="F742" s="12" t="s">
        <v>1412</v>
      </c>
      <c r="G742" s="12" t="s">
        <v>1413</v>
      </c>
      <c r="H742" s="12" t="s">
        <v>1414</v>
      </c>
      <c r="I742" s="12" t="s">
        <v>1415</v>
      </c>
      <c r="J742" s="12" t="s">
        <v>1415</v>
      </c>
      <c r="K742" s="12" t="s">
        <v>1415</v>
      </c>
      <c r="L742" s="12" t="s">
        <v>1415</v>
      </c>
      <c r="M742" s="12" t="s">
        <v>1415</v>
      </c>
      <c r="N742" s="12" t="s">
        <v>1415</v>
      </c>
      <c r="O742" s="12" t="s">
        <v>1415</v>
      </c>
      <c r="P742" s="12" t="s">
        <v>1415</v>
      </c>
      <c r="Q742" s="12" t="s">
        <v>1415</v>
      </c>
      <c r="R742" s="12" t="s">
        <v>1415</v>
      </c>
      <c r="S742" s="12" t="s">
        <v>1415</v>
      </c>
      <c r="T742" s="12" t="s">
        <v>1415</v>
      </c>
      <c r="U742" s="12" t="s">
        <v>1415</v>
      </c>
      <c r="V742" s="12" t="s">
        <v>1415</v>
      </c>
      <c r="W742" s="12" t="s">
        <v>1415</v>
      </c>
      <c r="X742" s="12" t="s">
        <v>1415</v>
      </c>
      <c r="Y742" s="12" t="s">
        <v>1415</v>
      </c>
      <c r="Z742" s="12" t="s">
        <v>1415</v>
      </c>
      <c r="AA742" s="12" t="s">
        <v>1415</v>
      </c>
      <c r="AB742" s="12" t="s">
        <v>1415</v>
      </c>
      <c r="AC742" s="12" t="s">
        <v>1415</v>
      </c>
      <c r="AD742" s="12" t="s">
        <v>1415</v>
      </c>
      <c r="AE742" s="12" t="s">
        <v>1415</v>
      </c>
      <c r="AF742" s="12" t="s">
        <v>1415</v>
      </c>
      <c r="AG742" s="12" t="s">
        <v>1415</v>
      </c>
    </row>
    <row r="743" spans="1:33" ht="15" customHeight="1" x14ac:dyDescent="0.3">
      <c r="A743" s="12" t="s">
        <v>8</v>
      </c>
      <c r="B743" s="12" t="s">
        <v>1270</v>
      </c>
      <c r="C743" s="12" t="s">
        <v>1269</v>
      </c>
      <c r="D743" s="12" t="s">
        <v>1410</v>
      </c>
      <c r="E743" s="12" t="s">
        <v>3092</v>
      </c>
      <c r="F743" s="12" t="s">
        <v>3096</v>
      </c>
      <c r="G743" s="12" t="s">
        <v>3097</v>
      </c>
      <c r="H743" s="12" t="s">
        <v>1419</v>
      </c>
      <c r="I743" s="12" t="s">
        <v>1414</v>
      </c>
      <c r="J743" s="12" t="s">
        <v>1420</v>
      </c>
      <c r="K743" s="12" t="s">
        <v>1420</v>
      </c>
      <c r="L743" s="12" t="s">
        <v>1420</v>
      </c>
      <c r="M743" s="12" t="s">
        <v>1420</v>
      </c>
      <c r="N743" s="12" t="s">
        <v>1420</v>
      </c>
      <c r="O743" s="12" t="s">
        <v>1420</v>
      </c>
      <c r="P743" s="12" t="s">
        <v>1420</v>
      </c>
      <c r="Q743" s="12" t="s">
        <v>1420</v>
      </c>
      <c r="R743" s="12" t="s">
        <v>1420</v>
      </c>
      <c r="S743" s="12" t="s">
        <v>1420</v>
      </c>
      <c r="T743" s="12" t="s">
        <v>1420</v>
      </c>
      <c r="U743" s="12" t="s">
        <v>1420</v>
      </c>
      <c r="V743" s="12" t="s">
        <v>1420</v>
      </c>
      <c r="W743" s="12" t="s">
        <v>1420</v>
      </c>
      <c r="X743" s="12" t="s">
        <v>1420</v>
      </c>
      <c r="Y743" s="12" t="s">
        <v>1420</v>
      </c>
      <c r="Z743" s="12" t="s">
        <v>1420</v>
      </c>
      <c r="AA743" s="12" t="s">
        <v>1420</v>
      </c>
      <c r="AB743" s="12" t="s">
        <v>1420</v>
      </c>
      <c r="AC743" s="12" t="s">
        <v>1420</v>
      </c>
      <c r="AD743" s="12" t="s">
        <v>1420</v>
      </c>
      <c r="AE743" s="12" t="s">
        <v>1414</v>
      </c>
      <c r="AF743" s="12" t="s">
        <v>1420</v>
      </c>
      <c r="AG743" s="12" t="s">
        <v>1420</v>
      </c>
    </row>
    <row r="744" spans="1:33" ht="15" customHeight="1" x14ac:dyDescent="0.3">
      <c r="A744" s="12" t="s">
        <v>22</v>
      </c>
      <c r="B744" s="12" t="s">
        <v>666</v>
      </c>
      <c r="C744" s="12" t="s">
        <v>665</v>
      </c>
      <c r="D744" s="12" t="s">
        <v>1410</v>
      </c>
      <c r="E744" s="12" t="s">
        <v>1532</v>
      </c>
      <c r="F744" s="12" t="s">
        <v>1533</v>
      </c>
      <c r="G744" s="12" t="s">
        <v>1534</v>
      </c>
      <c r="H744" s="12" t="s">
        <v>1438</v>
      </c>
      <c r="I744" s="12" t="s">
        <v>1420</v>
      </c>
      <c r="J744" s="12" t="s">
        <v>1414</v>
      </c>
      <c r="K744" s="12" t="s">
        <v>1414</v>
      </c>
      <c r="L744" s="12" t="s">
        <v>1414</v>
      </c>
      <c r="M744" s="12" t="s">
        <v>1420</v>
      </c>
      <c r="N744" s="12" t="s">
        <v>1414</v>
      </c>
      <c r="O744" s="12" t="s">
        <v>1414</v>
      </c>
      <c r="P744" s="12" t="s">
        <v>1420</v>
      </c>
      <c r="Q744" s="12" t="s">
        <v>1420</v>
      </c>
      <c r="R744" s="12" t="s">
        <v>1420</v>
      </c>
      <c r="S744" s="12" t="s">
        <v>1420</v>
      </c>
      <c r="T744" s="12" t="s">
        <v>1414</v>
      </c>
      <c r="U744" s="12" t="s">
        <v>1420</v>
      </c>
      <c r="V744" s="12" t="s">
        <v>1420</v>
      </c>
      <c r="W744" s="12" t="s">
        <v>1420</v>
      </c>
      <c r="X744" s="12" t="s">
        <v>1420</v>
      </c>
      <c r="Y744" s="12" t="s">
        <v>1420</v>
      </c>
      <c r="Z744" s="12" t="s">
        <v>1420</v>
      </c>
      <c r="AA744" s="12" t="s">
        <v>1420</v>
      </c>
      <c r="AB744" s="12" t="s">
        <v>1420</v>
      </c>
      <c r="AC744" s="12" t="s">
        <v>1420</v>
      </c>
      <c r="AD744" s="12" t="s">
        <v>1420</v>
      </c>
      <c r="AE744" s="12" t="s">
        <v>1420</v>
      </c>
      <c r="AF744" s="12" t="s">
        <v>1420</v>
      </c>
      <c r="AG744" s="12" t="s">
        <v>1420</v>
      </c>
    </row>
    <row r="745" spans="1:33" ht="15" customHeight="1" x14ac:dyDescent="0.3">
      <c r="A745" s="12" t="s">
        <v>84</v>
      </c>
      <c r="B745" s="12" t="s">
        <v>405</v>
      </c>
      <c r="C745" s="12" t="s">
        <v>404</v>
      </c>
      <c r="D745" s="12" t="s">
        <v>1410</v>
      </c>
      <c r="E745" s="12" t="s">
        <v>1653</v>
      </c>
      <c r="F745" s="12" t="s">
        <v>1654</v>
      </c>
      <c r="G745" s="12" t="s">
        <v>1655</v>
      </c>
      <c r="H745" s="12" t="s">
        <v>1448</v>
      </c>
      <c r="I745" s="12" t="s">
        <v>1420</v>
      </c>
      <c r="J745" s="12" t="s">
        <v>1414</v>
      </c>
      <c r="K745" s="12" t="s">
        <v>1420</v>
      </c>
      <c r="L745" s="12" t="s">
        <v>1420</v>
      </c>
      <c r="M745" s="12" t="s">
        <v>1420</v>
      </c>
      <c r="N745" s="12" t="s">
        <v>1414</v>
      </c>
      <c r="O745" s="12" t="s">
        <v>1420</v>
      </c>
      <c r="P745" s="12" t="s">
        <v>1420</v>
      </c>
      <c r="Q745" s="12" t="s">
        <v>1420</v>
      </c>
      <c r="R745" s="12" t="s">
        <v>1420</v>
      </c>
      <c r="S745" s="12" t="s">
        <v>1414</v>
      </c>
      <c r="T745" s="12" t="s">
        <v>1420</v>
      </c>
      <c r="U745" s="12" t="s">
        <v>1414</v>
      </c>
      <c r="V745" s="12" t="s">
        <v>1420</v>
      </c>
      <c r="W745" s="12" t="s">
        <v>1414</v>
      </c>
      <c r="X745" s="12" t="s">
        <v>1420</v>
      </c>
      <c r="Y745" s="12" t="s">
        <v>1420</v>
      </c>
      <c r="Z745" s="12" t="s">
        <v>1420</v>
      </c>
      <c r="AA745" s="12" t="s">
        <v>1420</v>
      </c>
      <c r="AB745" s="12" t="s">
        <v>1420</v>
      </c>
      <c r="AC745" s="12" t="s">
        <v>1420</v>
      </c>
      <c r="AD745" s="12" t="s">
        <v>1420</v>
      </c>
      <c r="AE745" s="12" t="s">
        <v>1420</v>
      </c>
      <c r="AF745" s="12" t="s">
        <v>1420</v>
      </c>
      <c r="AG745" s="12" t="s">
        <v>1420</v>
      </c>
    </row>
    <row r="746" spans="1:33" ht="15" customHeight="1" x14ac:dyDescent="0.3">
      <c r="A746" s="12" t="s">
        <v>71</v>
      </c>
      <c r="B746" s="12" t="s">
        <v>1272</v>
      </c>
      <c r="C746" s="12" t="s">
        <v>1271</v>
      </c>
      <c r="D746" s="12" t="s">
        <v>1410</v>
      </c>
      <c r="E746" s="12" t="s">
        <v>2907</v>
      </c>
      <c r="F746" s="12" t="s">
        <v>2908</v>
      </c>
      <c r="G746" s="12" t="s">
        <v>2701</v>
      </c>
      <c r="H746" s="12" t="s">
        <v>1448</v>
      </c>
      <c r="I746" s="12" t="s">
        <v>1420</v>
      </c>
      <c r="J746" s="12" t="s">
        <v>1420</v>
      </c>
      <c r="K746" s="12" t="s">
        <v>1420</v>
      </c>
      <c r="L746" s="12" t="s">
        <v>1420</v>
      </c>
      <c r="M746" s="12" t="s">
        <v>1420</v>
      </c>
      <c r="N746" s="12" t="s">
        <v>1420</v>
      </c>
      <c r="O746" s="12" t="s">
        <v>1420</v>
      </c>
      <c r="P746" s="12" t="s">
        <v>1420</v>
      </c>
      <c r="Q746" s="12" t="s">
        <v>1420</v>
      </c>
      <c r="R746" s="12" t="s">
        <v>1420</v>
      </c>
      <c r="S746" s="12" t="s">
        <v>1420</v>
      </c>
      <c r="T746" s="12" t="s">
        <v>1420</v>
      </c>
      <c r="U746" s="12" t="s">
        <v>1420</v>
      </c>
      <c r="V746" s="12" t="s">
        <v>1420</v>
      </c>
      <c r="W746" s="12" t="s">
        <v>1420</v>
      </c>
      <c r="X746" s="12" t="s">
        <v>1414</v>
      </c>
      <c r="Y746" s="12" t="s">
        <v>1420</v>
      </c>
      <c r="Z746" s="12" t="s">
        <v>1420</v>
      </c>
      <c r="AA746" s="12" t="s">
        <v>1420</v>
      </c>
      <c r="AB746" s="12" t="s">
        <v>1414</v>
      </c>
      <c r="AC746" s="12" t="s">
        <v>1420</v>
      </c>
      <c r="AD746" s="12" t="s">
        <v>1414</v>
      </c>
      <c r="AE746" s="12" t="s">
        <v>1414</v>
      </c>
      <c r="AF746" s="12" t="s">
        <v>1420</v>
      </c>
      <c r="AG746" s="12" t="s">
        <v>1414</v>
      </c>
    </row>
    <row r="747" spans="1:33" ht="15" customHeight="1" x14ac:dyDescent="0.3">
      <c r="A747" s="12" t="s">
        <v>8</v>
      </c>
      <c r="B747" s="12" t="s">
        <v>5969</v>
      </c>
      <c r="C747" s="12" t="s">
        <v>5970</v>
      </c>
      <c r="D747" s="12" t="s">
        <v>1410</v>
      </c>
      <c r="E747" s="12" t="s">
        <v>5971</v>
      </c>
      <c r="F747" s="12" t="s">
        <v>5972</v>
      </c>
      <c r="G747" s="12" t="s">
        <v>5973</v>
      </c>
      <c r="H747" s="12" t="s">
        <v>1464</v>
      </c>
      <c r="I747" s="12" t="s">
        <v>1420</v>
      </c>
      <c r="J747" s="12" t="s">
        <v>1420</v>
      </c>
      <c r="K747" s="12" t="s">
        <v>1420</v>
      </c>
      <c r="L747" s="12" t="s">
        <v>1420</v>
      </c>
      <c r="M747" s="12" t="s">
        <v>1420</v>
      </c>
      <c r="N747" s="12" t="s">
        <v>1420</v>
      </c>
      <c r="O747" s="12" t="s">
        <v>1420</v>
      </c>
      <c r="P747" s="12" t="s">
        <v>1420</v>
      </c>
      <c r="Q747" s="12" t="s">
        <v>1420</v>
      </c>
      <c r="R747" s="12" t="s">
        <v>1420</v>
      </c>
      <c r="S747" s="12" t="s">
        <v>1420</v>
      </c>
      <c r="T747" s="12" t="s">
        <v>1420</v>
      </c>
      <c r="U747" s="12" t="s">
        <v>1420</v>
      </c>
      <c r="V747" s="12" t="s">
        <v>1420</v>
      </c>
      <c r="W747" s="12" t="s">
        <v>1420</v>
      </c>
      <c r="X747" s="12" t="s">
        <v>1420</v>
      </c>
      <c r="Y747" s="12" t="s">
        <v>1420</v>
      </c>
      <c r="Z747" s="12" t="s">
        <v>1420</v>
      </c>
      <c r="AA747" s="12" t="s">
        <v>1420</v>
      </c>
      <c r="AB747" s="12" t="s">
        <v>1420</v>
      </c>
      <c r="AC747" s="12" t="s">
        <v>1420</v>
      </c>
      <c r="AD747" s="12" t="s">
        <v>1420</v>
      </c>
      <c r="AE747" s="12" t="s">
        <v>1420</v>
      </c>
      <c r="AF747" s="12" t="s">
        <v>1420</v>
      </c>
      <c r="AG747" s="12" t="s">
        <v>1420</v>
      </c>
    </row>
    <row r="748" spans="1:33" ht="15" customHeight="1" x14ac:dyDescent="0.3">
      <c r="A748" s="12" t="s">
        <v>8</v>
      </c>
      <c r="B748" s="12" t="s">
        <v>5974</v>
      </c>
      <c r="C748" s="12" t="s">
        <v>5975</v>
      </c>
      <c r="D748" s="12" t="s">
        <v>1410</v>
      </c>
      <c r="E748" s="12" t="s">
        <v>5976</v>
      </c>
      <c r="F748" s="12" t="s">
        <v>5591</v>
      </c>
      <c r="G748" s="12" t="s">
        <v>4849</v>
      </c>
      <c r="H748" s="12" t="s">
        <v>1424</v>
      </c>
      <c r="I748" s="12" t="s">
        <v>1420</v>
      </c>
      <c r="J748" s="12" t="s">
        <v>1420</v>
      </c>
      <c r="K748" s="12" t="s">
        <v>1420</v>
      </c>
      <c r="L748" s="12" t="s">
        <v>1420</v>
      </c>
      <c r="M748" s="12" t="s">
        <v>1420</v>
      </c>
      <c r="N748" s="12" t="s">
        <v>1420</v>
      </c>
      <c r="O748" s="12" t="s">
        <v>1420</v>
      </c>
      <c r="P748" s="12" t="s">
        <v>1420</v>
      </c>
      <c r="Q748" s="12" t="s">
        <v>1420</v>
      </c>
      <c r="R748" s="12" t="s">
        <v>1420</v>
      </c>
      <c r="S748" s="12" t="s">
        <v>1414</v>
      </c>
      <c r="T748" s="12" t="s">
        <v>1420</v>
      </c>
      <c r="U748" s="12" t="s">
        <v>1420</v>
      </c>
      <c r="V748" s="12" t="s">
        <v>1420</v>
      </c>
      <c r="W748" s="12" t="s">
        <v>1420</v>
      </c>
      <c r="X748" s="12" t="s">
        <v>1420</v>
      </c>
      <c r="Y748" s="12" t="s">
        <v>1420</v>
      </c>
      <c r="Z748" s="12" t="s">
        <v>1420</v>
      </c>
      <c r="AA748" s="12" t="s">
        <v>1420</v>
      </c>
      <c r="AB748" s="12" t="s">
        <v>1420</v>
      </c>
      <c r="AC748" s="12" t="s">
        <v>1414</v>
      </c>
      <c r="AD748" s="12" t="s">
        <v>1420</v>
      </c>
      <c r="AE748" s="12" t="s">
        <v>1420</v>
      </c>
      <c r="AF748" s="12" t="s">
        <v>1420</v>
      </c>
      <c r="AG748" s="12" t="s">
        <v>1414</v>
      </c>
    </row>
    <row r="749" spans="1:33" ht="15" customHeight="1" x14ac:dyDescent="0.3">
      <c r="A749" s="12" t="s">
        <v>8</v>
      </c>
      <c r="B749" s="12" t="s">
        <v>668</v>
      </c>
      <c r="C749" s="12" t="s">
        <v>667</v>
      </c>
      <c r="D749" s="12" t="s">
        <v>1410</v>
      </c>
      <c r="E749" s="12" t="s">
        <v>1619</v>
      </c>
      <c r="F749" s="12" t="s">
        <v>1620</v>
      </c>
      <c r="G749" s="12" t="s">
        <v>1621</v>
      </c>
      <c r="H749" s="12" t="s">
        <v>1424</v>
      </c>
      <c r="I749" s="12" t="s">
        <v>1420</v>
      </c>
      <c r="J749" s="12" t="s">
        <v>1420</v>
      </c>
      <c r="K749" s="12" t="s">
        <v>1420</v>
      </c>
      <c r="L749" s="12" t="s">
        <v>1420</v>
      </c>
      <c r="M749" s="12" t="s">
        <v>1420</v>
      </c>
      <c r="N749" s="12" t="s">
        <v>1420</v>
      </c>
      <c r="O749" s="12" t="s">
        <v>1420</v>
      </c>
      <c r="P749" s="12" t="s">
        <v>1420</v>
      </c>
      <c r="Q749" s="12" t="s">
        <v>1420</v>
      </c>
      <c r="R749" s="12" t="s">
        <v>1420</v>
      </c>
      <c r="S749" s="12" t="s">
        <v>1420</v>
      </c>
      <c r="T749" s="12" t="s">
        <v>1420</v>
      </c>
      <c r="U749" s="12" t="s">
        <v>1420</v>
      </c>
      <c r="V749" s="12" t="s">
        <v>1420</v>
      </c>
      <c r="W749" s="12" t="s">
        <v>1420</v>
      </c>
      <c r="X749" s="12" t="s">
        <v>1414</v>
      </c>
      <c r="Y749" s="12" t="s">
        <v>1420</v>
      </c>
      <c r="Z749" s="12" t="s">
        <v>1420</v>
      </c>
      <c r="AA749" s="12" t="s">
        <v>1414</v>
      </c>
      <c r="AB749" s="12" t="s">
        <v>1420</v>
      </c>
      <c r="AC749" s="12" t="s">
        <v>1414</v>
      </c>
      <c r="AD749" s="12" t="s">
        <v>1420</v>
      </c>
      <c r="AE749" s="12" t="s">
        <v>1420</v>
      </c>
      <c r="AF749" s="12" t="s">
        <v>1420</v>
      </c>
      <c r="AG749" s="12" t="s">
        <v>1420</v>
      </c>
    </row>
    <row r="750" spans="1:33" ht="15" customHeight="1" x14ac:dyDescent="0.3">
      <c r="A750" s="12" t="s">
        <v>31</v>
      </c>
      <c r="B750" s="12" t="s">
        <v>670</v>
      </c>
      <c r="C750" s="12" t="s">
        <v>669</v>
      </c>
      <c r="D750" s="12" t="s">
        <v>1410</v>
      </c>
      <c r="E750" s="12" t="s">
        <v>1639</v>
      </c>
      <c r="F750" s="12" t="s">
        <v>1640</v>
      </c>
      <c r="G750" s="12" t="s">
        <v>1641</v>
      </c>
      <c r="H750" s="12" t="s">
        <v>1464</v>
      </c>
      <c r="I750" s="12" t="s">
        <v>1420</v>
      </c>
      <c r="J750" s="12" t="s">
        <v>1420</v>
      </c>
      <c r="K750" s="12" t="s">
        <v>1420</v>
      </c>
      <c r="L750" s="12" t="s">
        <v>1420</v>
      </c>
      <c r="M750" s="12" t="s">
        <v>1420</v>
      </c>
      <c r="N750" s="12" t="s">
        <v>1420</v>
      </c>
      <c r="O750" s="12" t="s">
        <v>1420</v>
      </c>
      <c r="P750" s="12" t="s">
        <v>1420</v>
      </c>
      <c r="Q750" s="12" t="s">
        <v>1420</v>
      </c>
      <c r="R750" s="12" t="s">
        <v>1420</v>
      </c>
      <c r="S750" s="12" t="s">
        <v>1420</v>
      </c>
      <c r="T750" s="12" t="s">
        <v>1420</v>
      </c>
      <c r="U750" s="12" t="s">
        <v>1420</v>
      </c>
      <c r="V750" s="12" t="s">
        <v>1420</v>
      </c>
      <c r="W750" s="12" t="s">
        <v>1420</v>
      </c>
      <c r="X750" s="12" t="s">
        <v>1420</v>
      </c>
      <c r="Y750" s="12" t="s">
        <v>1420</v>
      </c>
      <c r="Z750" s="12" t="s">
        <v>1420</v>
      </c>
      <c r="AA750" s="12" t="s">
        <v>1420</v>
      </c>
      <c r="AB750" s="12" t="s">
        <v>1420</v>
      </c>
      <c r="AC750" s="12" t="s">
        <v>1420</v>
      </c>
      <c r="AD750" s="12" t="s">
        <v>1420</v>
      </c>
      <c r="AE750" s="12" t="s">
        <v>1420</v>
      </c>
      <c r="AF750" s="12" t="s">
        <v>1420</v>
      </c>
      <c r="AG750" s="12" t="s">
        <v>1420</v>
      </c>
    </row>
    <row r="751" spans="1:33" ht="15" customHeight="1" x14ac:dyDescent="0.3">
      <c r="A751" s="12" t="s">
        <v>8</v>
      </c>
      <c r="B751" s="12" t="s">
        <v>225</v>
      </c>
      <c r="C751" s="12" t="s">
        <v>224</v>
      </c>
      <c r="D751" s="12" t="s">
        <v>1410</v>
      </c>
      <c r="E751" s="12" t="s">
        <v>2436</v>
      </c>
      <c r="F751" s="12" t="s">
        <v>2437</v>
      </c>
      <c r="G751" s="12" t="s">
        <v>2438</v>
      </c>
      <c r="H751" s="12" t="s">
        <v>1419</v>
      </c>
      <c r="I751" s="12" t="s">
        <v>1420</v>
      </c>
      <c r="J751" s="12" t="s">
        <v>1420</v>
      </c>
      <c r="K751" s="12" t="s">
        <v>1420</v>
      </c>
      <c r="L751" s="12" t="s">
        <v>1420</v>
      </c>
      <c r="M751" s="12" t="s">
        <v>1420</v>
      </c>
      <c r="N751" s="12" t="s">
        <v>1420</v>
      </c>
      <c r="O751" s="12" t="s">
        <v>1420</v>
      </c>
      <c r="P751" s="12" t="s">
        <v>1414</v>
      </c>
      <c r="Q751" s="12" t="s">
        <v>1420</v>
      </c>
      <c r="R751" s="12" t="s">
        <v>1420</v>
      </c>
      <c r="S751" s="12" t="s">
        <v>1420</v>
      </c>
      <c r="T751" s="12" t="s">
        <v>1420</v>
      </c>
      <c r="U751" s="12" t="s">
        <v>1420</v>
      </c>
      <c r="V751" s="12" t="s">
        <v>1420</v>
      </c>
      <c r="W751" s="12" t="s">
        <v>1420</v>
      </c>
      <c r="X751" s="12" t="s">
        <v>1420</v>
      </c>
      <c r="Y751" s="12" t="s">
        <v>1420</v>
      </c>
      <c r="Z751" s="12" t="s">
        <v>1420</v>
      </c>
      <c r="AA751" s="12" t="s">
        <v>1414</v>
      </c>
      <c r="AB751" s="12" t="s">
        <v>1420</v>
      </c>
      <c r="AC751" s="12" t="s">
        <v>1420</v>
      </c>
      <c r="AD751" s="12" t="s">
        <v>1420</v>
      </c>
      <c r="AE751" s="12" t="s">
        <v>1420</v>
      </c>
      <c r="AF751" s="12" t="s">
        <v>1420</v>
      </c>
      <c r="AG751" s="12" t="s">
        <v>1420</v>
      </c>
    </row>
    <row r="752" spans="1:33" ht="15" customHeight="1" x14ac:dyDescent="0.3">
      <c r="A752" s="12" t="s">
        <v>228</v>
      </c>
      <c r="B752" s="12" t="s">
        <v>227</v>
      </c>
      <c r="C752" s="12" t="s">
        <v>226</v>
      </c>
      <c r="D752" s="12" t="s">
        <v>1410</v>
      </c>
      <c r="E752" s="12" t="s">
        <v>2192</v>
      </c>
      <c r="F752" s="12" t="s">
        <v>2193</v>
      </c>
      <c r="G752" s="12" t="s">
        <v>2194</v>
      </c>
      <c r="H752" s="12" t="s">
        <v>1452</v>
      </c>
      <c r="I752" s="12" t="s">
        <v>1420</v>
      </c>
      <c r="J752" s="12" t="s">
        <v>1420</v>
      </c>
      <c r="K752" s="12" t="s">
        <v>1420</v>
      </c>
      <c r="L752" s="12" t="s">
        <v>1420</v>
      </c>
      <c r="M752" s="12" t="s">
        <v>1420</v>
      </c>
      <c r="N752" s="12" t="s">
        <v>1420</v>
      </c>
      <c r="O752" s="12" t="s">
        <v>1420</v>
      </c>
      <c r="P752" s="12" t="s">
        <v>1420</v>
      </c>
      <c r="Q752" s="12" t="s">
        <v>1420</v>
      </c>
      <c r="R752" s="12" t="s">
        <v>1420</v>
      </c>
      <c r="S752" s="12" t="s">
        <v>1414</v>
      </c>
      <c r="T752" s="12" t="s">
        <v>1420</v>
      </c>
      <c r="U752" s="12" t="s">
        <v>1420</v>
      </c>
      <c r="V752" s="12" t="s">
        <v>1420</v>
      </c>
      <c r="W752" s="12" t="s">
        <v>1420</v>
      </c>
      <c r="X752" s="12" t="s">
        <v>1420</v>
      </c>
      <c r="Y752" s="12" t="s">
        <v>1420</v>
      </c>
      <c r="Z752" s="12" t="s">
        <v>1420</v>
      </c>
      <c r="AA752" s="12" t="s">
        <v>1420</v>
      </c>
      <c r="AB752" s="12" t="s">
        <v>1420</v>
      </c>
      <c r="AC752" s="12" t="s">
        <v>1420</v>
      </c>
      <c r="AD752" s="12" t="s">
        <v>1420</v>
      </c>
      <c r="AE752" s="12" t="s">
        <v>1420</v>
      </c>
      <c r="AF752" s="12" t="s">
        <v>1420</v>
      </c>
      <c r="AG752" s="12" t="s">
        <v>1420</v>
      </c>
    </row>
    <row r="753" spans="1:33" ht="15" customHeight="1" x14ac:dyDescent="0.3">
      <c r="A753" s="12" t="s">
        <v>992</v>
      </c>
      <c r="B753" s="12" t="s">
        <v>991</v>
      </c>
      <c r="C753" s="12" t="s">
        <v>990</v>
      </c>
      <c r="D753" s="12" t="s">
        <v>1410</v>
      </c>
      <c r="E753" s="12" t="s">
        <v>3115</v>
      </c>
      <c r="F753" s="12" t="s">
        <v>3116</v>
      </c>
      <c r="G753" s="12" t="s">
        <v>3117</v>
      </c>
      <c r="H753" s="12" t="s">
        <v>1464</v>
      </c>
      <c r="I753" s="12" t="s">
        <v>1420</v>
      </c>
      <c r="J753" s="12" t="s">
        <v>1420</v>
      </c>
      <c r="K753" s="12" t="s">
        <v>1420</v>
      </c>
      <c r="L753" s="12" t="s">
        <v>1420</v>
      </c>
      <c r="M753" s="12" t="s">
        <v>1420</v>
      </c>
      <c r="N753" s="12" t="s">
        <v>1420</v>
      </c>
      <c r="O753" s="12" t="s">
        <v>1420</v>
      </c>
      <c r="P753" s="12" t="s">
        <v>1420</v>
      </c>
      <c r="Q753" s="12" t="s">
        <v>1420</v>
      </c>
      <c r="R753" s="12" t="s">
        <v>1420</v>
      </c>
      <c r="S753" s="12" t="s">
        <v>1420</v>
      </c>
      <c r="T753" s="12" t="s">
        <v>1420</v>
      </c>
      <c r="U753" s="12" t="s">
        <v>1420</v>
      </c>
      <c r="V753" s="12" t="s">
        <v>1420</v>
      </c>
      <c r="W753" s="12" t="s">
        <v>1420</v>
      </c>
      <c r="X753" s="12" t="s">
        <v>1420</v>
      </c>
      <c r="Y753" s="12" t="s">
        <v>1420</v>
      </c>
      <c r="Z753" s="12" t="s">
        <v>1420</v>
      </c>
      <c r="AA753" s="12" t="s">
        <v>1420</v>
      </c>
      <c r="AB753" s="12" t="s">
        <v>1420</v>
      </c>
      <c r="AC753" s="12" t="s">
        <v>1420</v>
      </c>
      <c r="AD753" s="12" t="s">
        <v>1420</v>
      </c>
      <c r="AE753" s="12" t="s">
        <v>1420</v>
      </c>
      <c r="AF753" s="12" t="s">
        <v>1420</v>
      </c>
      <c r="AG753" s="12" t="s">
        <v>1420</v>
      </c>
    </row>
    <row r="754" spans="1:33" ht="15" customHeight="1" x14ac:dyDescent="0.3">
      <c r="A754" s="12" t="s">
        <v>8</v>
      </c>
      <c r="B754" s="12" t="s">
        <v>5977</v>
      </c>
      <c r="C754" s="12" t="s">
        <v>5978</v>
      </c>
      <c r="D754" s="12" t="s">
        <v>1410</v>
      </c>
      <c r="E754" s="12" t="s">
        <v>5979</v>
      </c>
      <c r="F754" s="12" t="s">
        <v>5742</v>
      </c>
      <c r="G754" s="12" t="s">
        <v>4391</v>
      </c>
      <c r="H754" s="12" t="s">
        <v>1464</v>
      </c>
      <c r="I754" s="12" t="s">
        <v>1420</v>
      </c>
      <c r="J754" s="12" t="s">
        <v>1420</v>
      </c>
      <c r="K754" s="12" t="s">
        <v>1420</v>
      </c>
      <c r="L754" s="12" t="s">
        <v>1420</v>
      </c>
      <c r="M754" s="12" t="s">
        <v>1420</v>
      </c>
      <c r="N754" s="12" t="s">
        <v>1420</v>
      </c>
      <c r="O754" s="12" t="s">
        <v>1420</v>
      </c>
      <c r="P754" s="12" t="s">
        <v>1420</v>
      </c>
      <c r="Q754" s="12" t="s">
        <v>1420</v>
      </c>
      <c r="R754" s="12" t="s">
        <v>1420</v>
      </c>
      <c r="S754" s="12" t="s">
        <v>1420</v>
      </c>
      <c r="T754" s="12" t="s">
        <v>1420</v>
      </c>
      <c r="U754" s="12" t="s">
        <v>1420</v>
      </c>
      <c r="V754" s="12" t="s">
        <v>1420</v>
      </c>
      <c r="W754" s="12" t="s">
        <v>1420</v>
      </c>
      <c r="X754" s="12" t="s">
        <v>1420</v>
      </c>
      <c r="Y754" s="12" t="s">
        <v>1420</v>
      </c>
      <c r="Z754" s="12" t="s">
        <v>1420</v>
      </c>
      <c r="AA754" s="12" t="s">
        <v>1420</v>
      </c>
      <c r="AB754" s="12" t="s">
        <v>1420</v>
      </c>
      <c r="AC754" s="12" t="s">
        <v>1420</v>
      </c>
      <c r="AD754" s="12" t="s">
        <v>1420</v>
      </c>
      <c r="AE754" s="12" t="s">
        <v>1420</v>
      </c>
      <c r="AF754" s="12" t="s">
        <v>1420</v>
      </c>
      <c r="AG754" s="12" t="s">
        <v>1420</v>
      </c>
    </row>
    <row r="755" spans="1:33" ht="15" customHeight="1" x14ac:dyDescent="0.3">
      <c r="A755" s="12" t="s">
        <v>28</v>
      </c>
      <c r="B755" s="12" t="s">
        <v>230</v>
      </c>
      <c r="C755" s="12" t="s">
        <v>229</v>
      </c>
      <c r="D755" s="12" t="s">
        <v>1410</v>
      </c>
      <c r="E755" s="12" t="s">
        <v>2650</v>
      </c>
      <c r="F755" s="12" t="s">
        <v>2651</v>
      </c>
      <c r="G755" s="12" t="s">
        <v>2652</v>
      </c>
      <c r="H755" s="12" t="s">
        <v>1448</v>
      </c>
      <c r="I755" s="12" t="s">
        <v>1420</v>
      </c>
      <c r="J755" s="12" t="s">
        <v>1420</v>
      </c>
      <c r="K755" s="12" t="s">
        <v>1420</v>
      </c>
      <c r="L755" s="12" t="s">
        <v>1420</v>
      </c>
      <c r="M755" s="12" t="s">
        <v>1420</v>
      </c>
      <c r="N755" s="12" t="s">
        <v>1420</v>
      </c>
      <c r="O755" s="12" t="s">
        <v>1414</v>
      </c>
      <c r="P755" s="12" t="s">
        <v>1420</v>
      </c>
      <c r="Q755" s="12" t="s">
        <v>1420</v>
      </c>
      <c r="R755" s="12" t="s">
        <v>1420</v>
      </c>
      <c r="S755" s="12" t="s">
        <v>1420</v>
      </c>
      <c r="T755" s="12" t="s">
        <v>1414</v>
      </c>
      <c r="U755" s="12" t="s">
        <v>1414</v>
      </c>
      <c r="V755" s="12" t="s">
        <v>1420</v>
      </c>
      <c r="W755" s="12" t="s">
        <v>1420</v>
      </c>
      <c r="X755" s="12" t="s">
        <v>1420</v>
      </c>
      <c r="Y755" s="12" t="s">
        <v>1420</v>
      </c>
      <c r="Z755" s="12" t="s">
        <v>1420</v>
      </c>
      <c r="AA755" s="12" t="s">
        <v>1420</v>
      </c>
      <c r="AB755" s="12" t="s">
        <v>1420</v>
      </c>
      <c r="AC755" s="12" t="s">
        <v>1420</v>
      </c>
      <c r="AD755" s="12" t="s">
        <v>1414</v>
      </c>
      <c r="AE755" s="12" t="s">
        <v>1414</v>
      </c>
      <c r="AF755" s="12" t="s">
        <v>1420</v>
      </c>
      <c r="AG755" s="12" t="s">
        <v>1420</v>
      </c>
    </row>
    <row r="756" spans="1:33" ht="15" customHeight="1" x14ac:dyDescent="0.3">
      <c r="A756" s="12" t="s">
        <v>995</v>
      </c>
      <c r="B756" s="12" t="s">
        <v>994</v>
      </c>
      <c r="C756" s="12" t="s">
        <v>993</v>
      </c>
      <c r="D756" s="12" t="s">
        <v>1410</v>
      </c>
      <c r="E756" s="12" t="s">
        <v>2363</v>
      </c>
      <c r="F756" s="12" t="s">
        <v>2348</v>
      </c>
      <c r="G756" s="12" t="s">
        <v>2366</v>
      </c>
      <c r="H756" s="12" t="s">
        <v>1464</v>
      </c>
      <c r="I756" s="12" t="s">
        <v>1420</v>
      </c>
      <c r="J756" s="12" t="s">
        <v>1420</v>
      </c>
      <c r="K756" s="12" t="s">
        <v>1420</v>
      </c>
      <c r="L756" s="12" t="s">
        <v>1420</v>
      </c>
      <c r="M756" s="12" t="s">
        <v>1420</v>
      </c>
      <c r="N756" s="12" t="s">
        <v>1420</v>
      </c>
      <c r="O756" s="12" t="s">
        <v>1420</v>
      </c>
      <c r="P756" s="12" t="s">
        <v>1420</v>
      </c>
      <c r="Q756" s="12" t="s">
        <v>1420</v>
      </c>
      <c r="R756" s="12" t="s">
        <v>1420</v>
      </c>
      <c r="S756" s="12" t="s">
        <v>1420</v>
      </c>
      <c r="T756" s="12" t="s">
        <v>1420</v>
      </c>
      <c r="U756" s="12" t="s">
        <v>1420</v>
      </c>
      <c r="V756" s="12" t="s">
        <v>1420</v>
      </c>
      <c r="W756" s="12" t="s">
        <v>1420</v>
      </c>
      <c r="X756" s="12" t="s">
        <v>1420</v>
      </c>
      <c r="Y756" s="12" t="s">
        <v>1420</v>
      </c>
      <c r="Z756" s="12" t="s">
        <v>1420</v>
      </c>
      <c r="AA756" s="12" t="s">
        <v>1420</v>
      </c>
      <c r="AB756" s="12" t="s">
        <v>1420</v>
      </c>
      <c r="AC756" s="12" t="s">
        <v>1420</v>
      </c>
      <c r="AD756" s="12" t="s">
        <v>1420</v>
      </c>
      <c r="AE756" s="12" t="s">
        <v>1420</v>
      </c>
      <c r="AF756" s="12" t="s">
        <v>1420</v>
      </c>
      <c r="AG756" s="12" t="s">
        <v>1420</v>
      </c>
    </row>
    <row r="757" spans="1:33" ht="15" customHeight="1" x14ac:dyDescent="0.3">
      <c r="A757" s="12" t="s">
        <v>11</v>
      </c>
      <c r="B757" s="12" t="s">
        <v>672</v>
      </c>
      <c r="C757" s="12" t="s">
        <v>671</v>
      </c>
      <c r="D757" s="12" t="s">
        <v>1410</v>
      </c>
      <c r="E757" s="12" t="s">
        <v>1533</v>
      </c>
      <c r="F757" s="12" t="s">
        <v>1535</v>
      </c>
      <c r="G757" s="12" t="s">
        <v>1536</v>
      </c>
      <c r="H757" s="12" t="s">
        <v>1488</v>
      </c>
      <c r="I757" s="12" t="s">
        <v>1420</v>
      </c>
      <c r="J757" s="12" t="s">
        <v>1420</v>
      </c>
      <c r="K757" s="12" t="s">
        <v>1420</v>
      </c>
      <c r="L757" s="12" t="s">
        <v>1420</v>
      </c>
      <c r="M757" s="12" t="s">
        <v>1420</v>
      </c>
      <c r="N757" s="12" t="s">
        <v>1420</v>
      </c>
      <c r="O757" s="12" t="s">
        <v>1414</v>
      </c>
      <c r="P757" s="12" t="s">
        <v>1420</v>
      </c>
      <c r="Q757" s="12" t="s">
        <v>1420</v>
      </c>
      <c r="R757" s="12" t="s">
        <v>1420</v>
      </c>
      <c r="S757" s="12" t="s">
        <v>1414</v>
      </c>
      <c r="T757" s="12" t="s">
        <v>1420</v>
      </c>
      <c r="U757" s="12" t="s">
        <v>1414</v>
      </c>
      <c r="V757" s="12" t="s">
        <v>1420</v>
      </c>
      <c r="W757" s="12" t="s">
        <v>1414</v>
      </c>
      <c r="X757" s="12" t="s">
        <v>1420</v>
      </c>
      <c r="Y757" s="12" t="s">
        <v>1420</v>
      </c>
      <c r="Z757" s="12" t="s">
        <v>1420</v>
      </c>
      <c r="AA757" s="12" t="s">
        <v>1420</v>
      </c>
      <c r="AB757" s="12" t="s">
        <v>1420</v>
      </c>
      <c r="AC757" s="12" t="s">
        <v>1420</v>
      </c>
      <c r="AD757" s="12" t="s">
        <v>1420</v>
      </c>
      <c r="AE757" s="12" t="s">
        <v>1420</v>
      </c>
      <c r="AF757" s="12" t="s">
        <v>1420</v>
      </c>
      <c r="AG757" s="12" t="s">
        <v>1420</v>
      </c>
    </row>
    <row r="758" spans="1:33" ht="15" customHeight="1" x14ac:dyDescent="0.3">
      <c r="A758" s="12" t="s">
        <v>228</v>
      </c>
      <c r="B758" s="12" t="s">
        <v>674</v>
      </c>
      <c r="C758" s="12" t="s">
        <v>673</v>
      </c>
      <c r="D758" s="12" t="s">
        <v>1410</v>
      </c>
      <c r="E758" s="12" t="s">
        <v>1560</v>
      </c>
      <c r="F758" s="12" t="s">
        <v>1567</v>
      </c>
      <c r="G758" s="12" t="s">
        <v>1568</v>
      </c>
      <c r="H758" s="12" t="s">
        <v>1452</v>
      </c>
      <c r="I758" s="12" t="s">
        <v>1420</v>
      </c>
      <c r="J758" s="12" t="s">
        <v>1420</v>
      </c>
      <c r="K758" s="12" t="s">
        <v>1420</v>
      </c>
      <c r="L758" s="12" t="s">
        <v>1420</v>
      </c>
      <c r="M758" s="12" t="s">
        <v>1420</v>
      </c>
      <c r="N758" s="12" t="s">
        <v>1420</v>
      </c>
      <c r="O758" s="12" t="s">
        <v>1420</v>
      </c>
      <c r="P758" s="12" t="s">
        <v>1420</v>
      </c>
      <c r="Q758" s="12" t="s">
        <v>1420</v>
      </c>
      <c r="R758" s="12" t="s">
        <v>1420</v>
      </c>
      <c r="S758" s="12" t="s">
        <v>1420</v>
      </c>
      <c r="T758" s="12" t="s">
        <v>1420</v>
      </c>
      <c r="U758" s="12" t="s">
        <v>1420</v>
      </c>
      <c r="V758" s="12" t="s">
        <v>1420</v>
      </c>
      <c r="W758" s="12" t="s">
        <v>1420</v>
      </c>
      <c r="X758" s="12" t="s">
        <v>1420</v>
      </c>
      <c r="Y758" s="12" t="s">
        <v>1420</v>
      </c>
      <c r="Z758" s="12" t="s">
        <v>1420</v>
      </c>
      <c r="AA758" s="12" t="s">
        <v>1420</v>
      </c>
      <c r="AB758" s="12" t="s">
        <v>1420</v>
      </c>
      <c r="AC758" s="12" t="s">
        <v>1420</v>
      </c>
      <c r="AD758" s="12" t="s">
        <v>1414</v>
      </c>
      <c r="AE758" s="12" t="s">
        <v>1420</v>
      </c>
      <c r="AF758" s="12" t="s">
        <v>1420</v>
      </c>
      <c r="AG758" s="12" t="s">
        <v>1420</v>
      </c>
    </row>
    <row r="759" spans="1:33" ht="15" customHeight="1" x14ac:dyDescent="0.3">
      <c r="A759" s="12" t="s">
        <v>28</v>
      </c>
      <c r="B759" s="12" t="s">
        <v>997</v>
      </c>
      <c r="C759" s="12" t="s">
        <v>996</v>
      </c>
      <c r="D759" s="12" t="s">
        <v>1410</v>
      </c>
      <c r="E759" s="12" t="s">
        <v>2303</v>
      </c>
      <c r="F759" s="12" t="s">
        <v>2298</v>
      </c>
      <c r="G759" s="12" t="s">
        <v>1818</v>
      </c>
      <c r="H759" s="12" t="s">
        <v>1419</v>
      </c>
      <c r="I759" s="12" t="s">
        <v>1420</v>
      </c>
      <c r="J759" s="12" t="s">
        <v>1420</v>
      </c>
      <c r="K759" s="12" t="s">
        <v>1420</v>
      </c>
      <c r="L759" s="12" t="s">
        <v>1420</v>
      </c>
      <c r="M759" s="12" t="s">
        <v>1420</v>
      </c>
      <c r="N759" s="12" t="s">
        <v>1420</v>
      </c>
      <c r="O759" s="12" t="s">
        <v>1420</v>
      </c>
      <c r="P759" s="12" t="s">
        <v>1420</v>
      </c>
      <c r="Q759" s="12" t="s">
        <v>1420</v>
      </c>
      <c r="R759" s="12" t="s">
        <v>1420</v>
      </c>
      <c r="S759" s="12" t="s">
        <v>1420</v>
      </c>
      <c r="T759" s="12" t="s">
        <v>1420</v>
      </c>
      <c r="U759" s="12" t="s">
        <v>1420</v>
      </c>
      <c r="V759" s="12" t="s">
        <v>1420</v>
      </c>
      <c r="W759" s="12" t="s">
        <v>1420</v>
      </c>
      <c r="X759" s="12" t="s">
        <v>1420</v>
      </c>
      <c r="Y759" s="12" t="s">
        <v>1420</v>
      </c>
      <c r="Z759" s="12" t="s">
        <v>1420</v>
      </c>
      <c r="AA759" s="12" t="s">
        <v>1420</v>
      </c>
      <c r="AB759" s="12" t="s">
        <v>1420</v>
      </c>
      <c r="AC759" s="12" t="s">
        <v>1414</v>
      </c>
      <c r="AD759" s="12" t="s">
        <v>1420</v>
      </c>
      <c r="AE759" s="12" t="s">
        <v>1420</v>
      </c>
      <c r="AF759" s="12" t="s">
        <v>1420</v>
      </c>
      <c r="AG759" s="12" t="s">
        <v>1414</v>
      </c>
    </row>
    <row r="760" spans="1:33" ht="15" customHeight="1" x14ac:dyDescent="0.3">
      <c r="A760" s="12" t="s">
        <v>293</v>
      </c>
      <c r="B760" s="12" t="s">
        <v>1274</v>
      </c>
      <c r="C760" s="12" t="s">
        <v>1273</v>
      </c>
      <c r="D760" s="12" t="s">
        <v>1410</v>
      </c>
      <c r="E760" s="12" t="s">
        <v>3088</v>
      </c>
      <c r="F760" s="12" t="s">
        <v>3089</v>
      </c>
      <c r="G760" s="12" t="s">
        <v>3090</v>
      </c>
      <c r="H760" s="12" t="s">
        <v>1452</v>
      </c>
      <c r="I760" s="12" t="s">
        <v>1420</v>
      </c>
      <c r="J760" s="12" t="s">
        <v>1420</v>
      </c>
      <c r="K760" s="12" t="s">
        <v>1420</v>
      </c>
      <c r="L760" s="12" t="s">
        <v>1420</v>
      </c>
      <c r="M760" s="12" t="s">
        <v>1420</v>
      </c>
      <c r="N760" s="12" t="s">
        <v>1420</v>
      </c>
      <c r="O760" s="12" t="s">
        <v>1420</v>
      </c>
      <c r="P760" s="12" t="s">
        <v>1420</v>
      </c>
      <c r="Q760" s="12" t="s">
        <v>1420</v>
      </c>
      <c r="R760" s="12" t="s">
        <v>1420</v>
      </c>
      <c r="S760" s="12" t="s">
        <v>1420</v>
      </c>
      <c r="T760" s="12" t="s">
        <v>1420</v>
      </c>
      <c r="U760" s="12" t="s">
        <v>1420</v>
      </c>
      <c r="V760" s="12" t="s">
        <v>1420</v>
      </c>
      <c r="W760" s="12" t="s">
        <v>1420</v>
      </c>
      <c r="X760" s="12" t="s">
        <v>1420</v>
      </c>
      <c r="Y760" s="12" t="s">
        <v>1420</v>
      </c>
      <c r="Z760" s="12" t="s">
        <v>1420</v>
      </c>
      <c r="AA760" s="12" t="s">
        <v>1420</v>
      </c>
      <c r="AB760" s="12" t="s">
        <v>1420</v>
      </c>
      <c r="AC760" s="12" t="s">
        <v>1420</v>
      </c>
      <c r="AD760" s="12" t="s">
        <v>1414</v>
      </c>
      <c r="AE760" s="12" t="s">
        <v>1420</v>
      </c>
      <c r="AF760" s="12" t="s">
        <v>1420</v>
      </c>
      <c r="AG760" s="12" t="s">
        <v>1420</v>
      </c>
    </row>
    <row r="761" spans="1:33" ht="15" customHeight="1" x14ac:dyDescent="0.3">
      <c r="A761" s="12" t="s">
        <v>8</v>
      </c>
      <c r="B761" s="12" t="s">
        <v>232</v>
      </c>
      <c r="C761" s="12" t="s">
        <v>231</v>
      </c>
      <c r="D761" s="12" t="s">
        <v>1410</v>
      </c>
      <c r="E761" s="12" t="s">
        <v>2802</v>
      </c>
      <c r="F761" s="12" t="s">
        <v>2803</v>
      </c>
      <c r="G761" s="12" t="s">
        <v>1587</v>
      </c>
      <c r="H761" s="12" t="s">
        <v>1464</v>
      </c>
      <c r="I761" s="12" t="s">
        <v>1420</v>
      </c>
      <c r="J761" s="12" t="s">
        <v>1420</v>
      </c>
      <c r="K761" s="12" t="s">
        <v>1420</v>
      </c>
      <c r="L761" s="12" t="s">
        <v>1420</v>
      </c>
      <c r="M761" s="12" t="s">
        <v>1420</v>
      </c>
      <c r="N761" s="12" t="s">
        <v>1420</v>
      </c>
      <c r="O761" s="12" t="s">
        <v>1420</v>
      </c>
      <c r="P761" s="12" t="s">
        <v>1420</v>
      </c>
      <c r="Q761" s="12" t="s">
        <v>1420</v>
      </c>
      <c r="R761" s="12" t="s">
        <v>1420</v>
      </c>
      <c r="S761" s="12" t="s">
        <v>1420</v>
      </c>
      <c r="T761" s="12" t="s">
        <v>1420</v>
      </c>
      <c r="U761" s="12" t="s">
        <v>1420</v>
      </c>
      <c r="V761" s="12" t="s">
        <v>1420</v>
      </c>
      <c r="W761" s="12" t="s">
        <v>1420</v>
      </c>
      <c r="X761" s="12" t="s">
        <v>1420</v>
      </c>
      <c r="Y761" s="12" t="s">
        <v>1420</v>
      </c>
      <c r="Z761" s="12" t="s">
        <v>1420</v>
      </c>
      <c r="AA761" s="12" t="s">
        <v>1420</v>
      </c>
      <c r="AB761" s="12" t="s">
        <v>1420</v>
      </c>
      <c r="AC761" s="12" t="s">
        <v>1420</v>
      </c>
      <c r="AD761" s="12" t="s">
        <v>1420</v>
      </c>
      <c r="AE761" s="12" t="s">
        <v>1420</v>
      </c>
      <c r="AF761" s="12" t="s">
        <v>1420</v>
      </c>
      <c r="AG761" s="12" t="s">
        <v>1420</v>
      </c>
    </row>
    <row r="762" spans="1:33" ht="15" customHeight="1" x14ac:dyDescent="0.3">
      <c r="A762" s="12" t="s">
        <v>5808</v>
      </c>
      <c r="B762" s="12" t="s">
        <v>676</v>
      </c>
      <c r="C762" s="12" t="s">
        <v>675</v>
      </c>
      <c r="D762" s="12" t="s">
        <v>1410</v>
      </c>
      <c r="E762" s="12" t="s">
        <v>1616</v>
      </c>
      <c r="F762" s="12" t="s">
        <v>1617</v>
      </c>
      <c r="G762" s="12" t="s">
        <v>1618</v>
      </c>
      <c r="H762" s="12" t="s">
        <v>1448</v>
      </c>
      <c r="I762" s="12" t="s">
        <v>1420</v>
      </c>
      <c r="J762" s="12" t="s">
        <v>1420</v>
      </c>
      <c r="K762" s="12" t="s">
        <v>1420</v>
      </c>
      <c r="L762" s="12" t="s">
        <v>1420</v>
      </c>
      <c r="M762" s="12" t="s">
        <v>1420</v>
      </c>
      <c r="N762" s="12" t="s">
        <v>1420</v>
      </c>
      <c r="O762" s="12" t="s">
        <v>1414</v>
      </c>
      <c r="P762" s="12" t="s">
        <v>1420</v>
      </c>
      <c r="Q762" s="12" t="s">
        <v>1420</v>
      </c>
      <c r="R762" s="12" t="s">
        <v>1420</v>
      </c>
      <c r="S762" s="12" t="s">
        <v>1420</v>
      </c>
      <c r="T762" s="12" t="s">
        <v>1414</v>
      </c>
      <c r="U762" s="12" t="s">
        <v>1420</v>
      </c>
      <c r="V762" s="12" t="s">
        <v>1420</v>
      </c>
      <c r="W762" s="12" t="s">
        <v>1414</v>
      </c>
      <c r="X762" s="12" t="s">
        <v>1420</v>
      </c>
      <c r="Y762" s="12" t="s">
        <v>1420</v>
      </c>
      <c r="Z762" s="12" t="s">
        <v>1420</v>
      </c>
      <c r="AA762" s="12" t="s">
        <v>1420</v>
      </c>
      <c r="AB762" s="12" t="s">
        <v>1420</v>
      </c>
      <c r="AC762" s="12" t="s">
        <v>1420</v>
      </c>
      <c r="AD762" s="12" t="s">
        <v>1420</v>
      </c>
      <c r="AE762" s="12" t="s">
        <v>1414</v>
      </c>
      <c r="AF762" s="12" t="s">
        <v>1420</v>
      </c>
      <c r="AG762" s="12" t="s">
        <v>1414</v>
      </c>
    </row>
    <row r="763" spans="1:33" ht="15" customHeight="1" x14ac:dyDescent="0.3">
      <c r="A763" s="12" t="s">
        <v>55</v>
      </c>
      <c r="B763" s="12" t="s">
        <v>234</v>
      </c>
      <c r="C763" s="12" t="s">
        <v>233</v>
      </c>
      <c r="D763" s="12" t="s">
        <v>1410</v>
      </c>
      <c r="E763" s="12" t="s">
        <v>2509</v>
      </c>
      <c r="F763" s="12" t="s">
        <v>2510</v>
      </c>
      <c r="G763" s="12" t="s">
        <v>2511</v>
      </c>
      <c r="H763" s="12" t="s">
        <v>1452</v>
      </c>
      <c r="I763" s="12" t="s">
        <v>1420</v>
      </c>
      <c r="J763" s="12" t="s">
        <v>1420</v>
      </c>
      <c r="K763" s="12" t="s">
        <v>1420</v>
      </c>
      <c r="L763" s="12" t="s">
        <v>1420</v>
      </c>
      <c r="M763" s="12" t="s">
        <v>1420</v>
      </c>
      <c r="N763" s="12" t="s">
        <v>1420</v>
      </c>
      <c r="O763" s="12" t="s">
        <v>1420</v>
      </c>
      <c r="P763" s="12" t="s">
        <v>1420</v>
      </c>
      <c r="Q763" s="12" t="s">
        <v>1420</v>
      </c>
      <c r="R763" s="12" t="s">
        <v>1420</v>
      </c>
      <c r="S763" s="12" t="s">
        <v>1420</v>
      </c>
      <c r="T763" s="12" t="s">
        <v>1420</v>
      </c>
      <c r="U763" s="12" t="s">
        <v>1420</v>
      </c>
      <c r="V763" s="12" t="s">
        <v>1420</v>
      </c>
      <c r="W763" s="12" t="s">
        <v>1420</v>
      </c>
      <c r="X763" s="12" t="s">
        <v>1420</v>
      </c>
      <c r="Y763" s="12" t="s">
        <v>1420</v>
      </c>
      <c r="Z763" s="12" t="s">
        <v>1420</v>
      </c>
      <c r="AA763" s="12" t="s">
        <v>1414</v>
      </c>
      <c r="AB763" s="12" t="s">
        <v>1420</v>
      </c>
      <c r="AC763" s="12" t="s">
        <v>1420</v>
      </c>
      <c r="AD763" s="12" t="s">
        <v>1420</v>
      </c>
      <c r="AE763" s="12" t="s">
        <v>1420</v>
      </c>
      <c r="AF763" s="12" t="s">
        <v>1420</v>
      </c>
      <c r="AG763" s="12" t="s">
        <v>1420</v>
      </c>
    </row>
    <row r="764" spans="1:33" ht="15" customHeight="1" x14ac:dyDescent="0.3">
      <c r="A764" s="12" t="s">
        <v>133</v>
      </c>
      <c r="B764" s="12" t="s">
        <v>1276</v>
      </c>
      <c r="C764" s="12" t="s">
        <v>1275</v>
      </c>
      <c r="D764" s="12" t="s">
        <v>1410</v>
      </c>
      <c r="E764" s="12" t="s">
        <v>2914</v>
      </c>
      <c r="F764" s="12" t="s">
        <v>2915</v>
      </c>
      <c r="G764" s="12" t="s">
        <v>2916</v>
      </c>
      <c r="H764" s="12" t="s">
        <v>1452</v>
      </c>
      <c r="I764" s="12" t="s">
        <v>1420</v>
      </c>
      <c r="J764" s="12" t="s">
        <v>1420</v>
      </c>
      <c r="K764" s="12" t="s">
        <v>1420</v>
      </c>
      <c r="L764" s="12" t="s">
        <v>1420</v>
      </c>
      <c r="M764" s="12" t="s">
        <v>1420</v>
      </c>
      <c r="N764" s="12" t="s">
        <v>1420</v>
      </c>
      <c r="O764" s="12" t="s">
        <v>1420</v>
      </c>
      <c r="P764" s="12" t="s">
        <v>1420</v>
      </c>
      <c r="Q764" s="12" t="s">
        <v>1420</v>
      </c>
      <c r="R764" s="12" t="s">
        <v>1420</v>
      </c>
      <c r="S764" s="12" t="s">
        <v>1420</v>
      </c>
      <c r="T764" s="12" t="s">
        <v>1414</v>
      </c>
      <c r="U764" s="12" t="s">
        <v>1420</v>
      </c>
      <c r="V764" s="12" t="s">
        <v>1420</v>
      </c>
      <c r="W764" s="12" t="s">
        <v>1420</v>
      </c>
      <c r="X764" s="12" t="s">
        <v>1420</v>
      </c>
      <c r="Y764" s="12" t="s">
        <v>1420</v>
      </c>
      <c r="Z764" s="12" t="s">
        <v>1420</v>
      </c>
      <c r="AA764" s="12" t="s">
        <v>1420</v>
      </c>
      <c r="AB764" s="12" t="s">
        <v>1420</v>
      </c>
      <c r="AC764" s="12" t="s">
        <v>1420</v>
      </c>
      <c r="AD764" s="12" t="s">
        <v>1420</v>
      </c>
      <c r="AE764" s="12" t="s">
        <v>1420</v>
      </c>
      <c r="AF764" s="12" t="s">
        <v>1420</v>
      </c>
      <c r="AG764" s="12" t="s">
        <v>1420</v>
      </c>
    </row>
    <row r="765" spans="1:33" ht="15" customHeight="1" x14ac:dyDescent="0.3">
      <c r="A765" s="12" t="s">
        <v>55</v>
      </c>
      <c r="B765" s="12" t="s">
        <v>678</v>
      </c>
      <c r="C765" s="12" t="s">
        <v>677</v>
      </c>
      <c r="D765" s="12" t="s">
        <v>1410</v>
      </c>
      <c r="E765" s="12" t="s">
        <v>1602</v>
      </c>
      <c r="F765" s="12" t="s">
        <v>1603</v>
      </c>
      <c r="G765" s="12" t="s">
        <v>1604</v>
      </c>
      <c r="H765" s="12" t="s">
        <v>1452</v>
      </c>
      <c r="I765" s="12" t="s">
        <v>1420</v>
      </c>
      <c r="J765" s="12" t="s">
        <v>1420</v>
      </c>
      <c r="K765" s="12" t="s">
        <v>1420</v>
      </c>
      <c r="L765" s="12" t="s">
        <v>1420</v>
      </c>
      <c r="M765" s="12" t="s">
        <v>1420</v>
      </c>
      <c r="N765" s="12" t="s">
        <v>1420</v>
      </c>
      <c r="O765" s="12" t="s">
        <v>1420</v>
      </c>
      <c r="P765" s="12" t="s">
        <v>1420</v>
      </c>
      <c r="Q765" s="12" t="s">
        <v>1420</v>
      </c>
      <c r="R765" s="12" t="s">
        <v>1420</v>
      </c>
      <c r="S765" s="12" t="s">
        <v>1420</v>
      </c>
      <c r="T765" s="12" t="s">
        <v>1420</v>
      </c>
      <c r="U765" s="12" t="s">
        <v>1420</v>
      </c>
      <c r="V765" s="12" t="s">
        <v>1420</v>
      </c>
      <c r="W765" s="12" t="s">
        <v>1420</v>
      </c>
      <c r="X765" s="12" t="s">
        <v>1420</v>
      </c>
      <c r="Y765" s="12" t="s">
        <v>1420</v>
      </c>
      <c r="Z765" s="12" t="s">
        <v>1420</v>
      </c>
      <c r="AA765" s="12" t="s">
        <v>1420</v>
      </c>
      <c r="AB765" s="12" t="s">
        <v>1420</v>
      </c>
      <c r="AC765" s="12" t="s">
        <v>1420</v>
      </c>
      <c r="AD765" s="12" t="s">
        <v>1414</v>
      </c>
      <c r="AE765" s="12" t="s">
        <v>1420</v>
      </c>
      <c r="AF765" s="12" t="s">
        <v>1420</v>
      </c>
      <c r="AG765" s="12" t="s">
        <v>1420</v>
      </c>
    </row>
    <row r="766" spans="1:33" ht="15" customHeight="1" x14ac:dyDescent="0.3">
      <c r="A766" s="12" t="s">
        <v>19</v>
      </c>
      <c r="B766" s="12" t="s">
        <v>680</v>
      </c>
      <c r="C766" s="12" t="s">
        <v>679</v>
      </c>
      <c r="D766" s="12" t="s">
        <v>1410</v>
      </c>
      <c r="E766" s="12" t="s">
        <v>1560</v>
      </c>
      <c r="F766" s="12" t="s">
        <v>1556</v>
      </c>
      <c r="G766" s="12" t="s">
        <v>1564</v>
      </c>
      <c r="H766" s="12" t="s">
        <v>1452</v>
      </c>
      <c r="I766" s="12" t="s">
        <v>1420</v>
      </c>
      <c r="J766" s="12" t="s">
        <v>1420</v>
      </c>
      <c r="K766" s="12" t="s">
        <v>1420</v>
      </c>
      <c r="L766" s="12" t="s">
        <v>1420</v>
      </c>
      <c r="M766" s="12" t="s">
        <v>1420</v>
      </c>
      <c r="N766" s="12" t="s">
        <v>1420</v>
      </c>
      <c r="O766" s="12" t="s">
        <v>1420</v>
      </c>
      <c r="P766" s="12" t="s">
        <v>1420</v>
      </c>
      <c r="Q766" s="12" t="s">
        <v>1420</v>
      </c>
      <c r="R766" s="12" t="s">
        <v>1420</v>
      </c>
      <c r="S766" s="12" t="s">
        <v>1414</v>
      </c>
      <c r="T766" s="12" t="s">
        <v>1420</v>
      </c>
      <c r="U766" s="12" t="s">
        <v>1420</v>
      </c>
      <c r="V766" s="12" t="s">
        <v>1420</v>
      </c>
      <c r="W766" s="12" t="s">
        <v>1420</v>
      </c>
      <c r="X766" s="12" t="s">
        <v>1420</v>
      </c>
      <c r="Y766" s="12" t="s">
        <v>1420</v>
      </c>
      <c r="Z766" s="12" t="s">
        <v>1420</v>
      </c>
      <c r="AA766" s="12" t="s">
        <v>1420</v>
      </c>
      <c r="AB766" s="12" t="s">
        <v>1420</v>
      </c>
      <c r="AC766" s="12" t="s">
        <v>1420</v>
      </c>
      <c r="AD766" s="12" t="s">
        <v>1420</v>
      </c>
      <c r="AE766" s="12" t="s">
        <v>1420</v>
      </c>
      <c r="AF766" s="12" t="s">
        <v>1420</v>
      </c>
      <c r="AG766" s="12" t="s">
        <v>1420</v>
      </c>
    </row>
    <row r="767" spans="1:33" ht="15" customHeight="1" x14ac:dyDescent="0.3">
      <c r="A767" s="12" t="s">
        <v>123</v>
      </c>
      <c r="B767" s="12" t="s">
        <v>1278</v>
      </c>
      <c r="C767" s="12" t="s">
        <v>1277</v>
      </c>
      <c r="D767" s="12" t="s">
        <v>1410</v>
      </c>
      <c r="E767" s="12" t="s">
        <v>2808</v>
      </c>
      <c r="F767" s="12" t="s">
        <v>2809</v>
      </c>
      <c r="G767" s="12" t="s">
        <v>2236</v>
      </c>
      <c r="H767" s="12" t="s">
        <v>1488</v>
      </c>
      <c r="I767" s="12" t="s">
        <v>1420</v>
      </c>
      <c r="J767" s="12" t="s">
        <v>1420</v>
      </c>
      <c r="K767" s="12" t="s">
        <v>1420</v>
      </c>
      <c r="L767" s="12" t="s">
        <v>1420</v>
      </c>
      <c r="M767" s="12" t="s">
        <v>1420</v>
      </c>
      <c r="N767" s="12" t="s">
        <v>1420</v>
      </c>
      <c r="O767" s="12" t="s">
        <v>1414</v>
      </c>
      <c r="P767" s="12" t="s">
        <v>1414</v>
      </c>
      <c r="Q767" s="12" t="s">
        <v>1420</v>
      </c>
      <c r="R767" s="12" t="s">
        <v>1420</v>
      </c>
      <c r="S767" s="12" t="s">
        <v>1420</v>
      </c>
      <c r="T767" s="12" t="s">
        <v>1420</v>
      </c>
      <c r="U767" s="12" t="s">
        <v>1420</v>
      </c>
      <c r="V767" s="12" t="s">
        <v>1420</v>
      </c>
      <c r="W767" s="12" t="s">
        <v>1420</v>
      </c>
      <c r="X767" s="12" t="s">
        <v>1420</v>
      </c>
      <c r="Y767" s="12" t="s">
        <v>1420</v>
      </c>
      <c r="Z767" s="12" t="s">
        <v>1420</v>
      </c>
      <c r="AA767" s="12" t="s">
        <v>1414</v>
      </c>
      <c r="AB767" s="12" t="s">
        <v>1420</v>
      </c>
      <c r="AC767" s="12" t="s">
        <v>1420</v>
      </c>
      <c r="AD767" s="12" t="s">
        <v>1420</v>
      </c>
      <c r="AE767" s="12" t="s">
        <v>1420</v>
      </c>
      <c r="AF767" s="12" t="s">
        <v>1414</v>
      </c>
      <c r="AG767" s="12" t="s">
        <v>1420</v>
      </c>
    </row>
    <row r="768" spans="1:33" ht="15" customHeight="1" x14ac:dyDescent="0.3">
      <c r="A768" s="12" t="s">
        <v>8</v>
      </c>
      <c r="B768" s="12" t="s">
        <v>682</v>
      </c>
      <c r="C768" s="12" t="s">
        <v>681</v>
      </c>
      <c r="D768" s="12" t="s">
        <v>1410</v>
      </c>
      <c r="E768" s="12" t="s">
        <v>1569</v>
      </c>
      <c r="F768" s="12" t="s">
        <v>1572</v>
      </c>
      <c r="G768" s="12" t="s">
        <v>1573</v>
      </c>
      <c r="H768" s="12" t="s">
        <v>1452</v>
      </c>
      <c r="I768" s="12" t="s">
        <v>1420</v>
      </c>
      <c r="J768" s="12" t="s">
        <v>1420</v>
      </c>
      <c r="K768" s="12" t="s">
        <v>1420</v>
      </c>
      <c r="L768" s="12" t="s">
        <v>1420</v>
      </c>
      <c r="M768" s="12" t="s">
        <v>1420</v>
      </c>
      <c r="N768" s="12" t="s">
        <v>1420</v>
      </c>
      <c r="O768" s="12" t="s">
        <v>1420</v>
      </c>
      <c r="P768" s="12" t="s">
        <v>1420</v>
      </c>
      <c r="Q768" s="12" t="s">
        <v>1420</v>
      </c>
      <c r="R768" s="12" t="s">
        <v>1420</v>
      </c>
      <c r="S768" s="12" t="s">
        <v>1420</v>
      </c>
      <c r="T768" s="12" t="s">
        <v>1420</v>
      </c>
      <c r="U768" s="12" t="s">
        <v>1420</v>
      </c>
      <c r="V768" s="12" t="s">
        <v>1420</v>
      </c>
      <c r="W768" s="12" t="s">
        <v>1420</v>
      </c>
      <c r="X768" s="12" t="s">
        <v>1420</v>
      </c>
      <c r="Y768" s="12" t="s">
        <v>1420</v>
      </c>
      <c r="Z768" s="12" t="s">
        <v>1420</v>
      </c>
      <c r="AA768" s="12" t="s">
        <v>1414</v>
      </c>
      <c r="AB768" s="12" t="s">
        <v>1420</v>
      </c>
      <c r="AC768" s="12" t="s">
        <v>1420</v>
      </c>
      <c r="AD768" s="12" t="s">
        <v>1420</v>
      </c>
      <c r="AE768" s="12" t="s">
        <v>1420</v>
      </c>
      <c r="AF768" s="12" t="s">
        <v>1420</v>
      </c>
      <c r="AG768" s="12" t="s">
        <v>1420</v>
      </c>
    </row>
    <row r="769" spans="1:33" ht="15" customHeight="1" x14ac:dyDescent="0.3">
      <c r="A769" s="12" t="s">
        <v>322</v>
      </c>
      <c r="B769" s="12" t="s">
        <v>999</v>
      </c>
      <c r="C769" s="12" t="s">
        <v>998</v>
      </c>
      <c r="D769" s="12" t="s">
        <v>1410</v>
      </c>
      <c r="E769" s="12" t="s">
        <v>2294</v>
      </c>
      <c r="F769" s="12" t="s">
        <v>2295</v>
      </c>
      <c r="G769" s="12" t="s">
        <v>2296</v>
      </c>
      <c r="H769" s="12" t="s">
        <v>1464</v>
      </c>
      <c r="I769" s="12" t="s">
        <v>1420</v>
      </c>
      <c r="J769" s="12" t="s">
        <v>1420</v>
      </c>
      <c r="K769" s="12" t="s">
        <v>1420</v>
      </c>
      <c r="L769" s="12" t="s">
        <v>1420</v>
      </c>
      <c r="M769" s="12" t="s">
        <v>1420</v>
      </c>
      <c r="N769" s="12" t="s">
        <v>1420</v>
      </c>
      <c r="O769" s="12" t="s">
        <v>1420</v>
      </c>
      <c r="P769" s="12" t="s">
        <v>1420</v>
      </c>
      <c r="Q769" s="12" t="s">
        <v>1420</v>
      </c>
      <c r="R769" s="12" t="s">
        <v>1420</v>
      </c>
      <c r="S769" s="12" t="s">
        <v>1420</v>
      </c>
      <c r="T769" s="12" t="s">
        <v>1420</v>
      </c>
      <c r="U769" s="12" t="s">
        <v>1420</v>
      </c>
      <c r="V769" s="12" t="s">
        <v>1420</v>
      </c>
      <c r="W769" s="12" t="s">
        <v>1420</v>
      </c>
      <c r="X769" s="12" t="s">
        <v>1420</v>
      </c>
      <c r="Y769" s="12" t="s">
        <v>1420</v>
      </c>
      <c r="Z769" s="12" t="s">
        <v>1420</v>
      </c>
      <c r="AA769" s="12" t="s">
        <v>1420</v>
      </c>
      <c r="AB769" s="12" t="s">
        <v>1420</v>
      </c>
      <c r="AC769" s="12" t="s">
        <v>1420</v>
      </c>
      <c r="AD769" s="12" t="s">
        <v>1420</v>
      </c>
      <c r="AE769" s="12" t="s">
        <v>1420</v>
      </c>
      <c r="AF769" s="12" t="s">
        <v>1420</v>
      </c>
      <c r="AG769" s="12" t="s">
        <v>1420</v>
      </c>
    </row>
    <row r="770" spans="1:33" ht="15" customHeight="1" x14ac:dyDescent="0.3">
      <c r="A770" s="12" t="s">
        <v>55</v>
      </c>
      <c r="B770" s="12" t="s">
        <v>1001</v>
      </c>
      <c r="C770" s="12" t="s">
        <v>1000</v>
      </c>
      <c r="D770" s="12" t="s">
        <v>1410</v>
      </c>
      <c r="E770" s="12" t="s">
        <v>2917</v>
      </c>
      <c r="F770" s="12" t="s">
        <v>2918</v>
      </c>
      <c r="G770" s="12" t="s">
        <v>2919</v>
      </c>
      <c r="H770" s="12" t="s">
        <v>1452</v>
      </c>
      <c r="I770" s="12" t="s">
        <v>1420</v>
      </c>
      <c r="J770" s="12" t="s">
        <v>1420</v>
      </c>
      <c r="K770" s="12" t="s">
        <v>1420</v>
      </c>
      <c r="L770" s="12" t="s">
        <v>1420</v>
      </c>
      <c r="M770" s="12" t="s">
        <v>1420</v>
      </c>
      <c r="N770" s="12" t="s">
        <v>1420</v>
      </c>
      <c r="O770" s="12" t="s">
        <v>1420</v>
      </c>
      <c r="P770" s="12" t="s">
        <v>1420</v>
      </c>
      <c r="Q770" s="12" t="s">
        <v>1420</v>
      </c>
      <c r="R770" s="12" t="s">
        <v>1420</v>
      </c>
      <c r="S770" s="12" t="s">
        <v>1420</v>
      </c>
      <c r="T770" s="12" t="s">
        <v>1420</v>
      </c>
      <c r="U770" s="12" t="s">
        <v>1420</v>
      </c>
      <c r="V770" s="12" t="s">
        <v>1420</v>
      </c>
      <c r="W770" s="12" t="s">
        <v>1420</v>
      </c>
      <c r="X770" s="12" t="s">
        <v>1420</v>
      </c>
      <c r="Y770" s="12" t="s">
        <v>1420</v>
      </c>
      <c r="Z770" s="12" t="s">
        <v>1420</v>
      </c>
      <c r="AA770" s="12" t="s">
        <v>1420</v>
      </c>
      <c r="AB770" s="12" t="s">
        <v>1420</v>
      </c>
      <c r="AC770" s="12" t="s">
        <v>1420</v>
      </c>
      <c r="AD770" s="12" t="s">
        <v>1414</v>
      </c>
      <c r="AE770" s="12" t="s">
        <v>1420</v>
      </c>
      <c r="AF770" s="12" t="s">
        <v>1420</v>
      </c>
      <c r="AG770" s="12" t="s">
        <v>1420</v>
      </c>
    </row>
    <row r="771" spans="1:33" ht="15" customHeight="1" x14ac:dyDescent="0.3">
      <c r="A771" s="12" t="s">
        <v>49</v>
      </c>
      <c r="B771" s="12" t="s">
        <v>236</v>
      </c>
      <c r="C771" s="12" t="s">
        <v>235</v>
      </c>
      <c r="D771" s="12" t="s">
        <v>1410</v>
      </c>
      <c r="E771" s="12" t="s">
        <v>2477</v>
      </c>
      <c r="F771" s="12" t="s">
        <v>2478</v>
      </c>
      <c r="G771" s="12" t="s">
        <v>1566</v>
      </c>
      <c r="H771" s="12" t="s">
        <v>1452</v>
      </c>
      <c r="I771" s="12" t="s">
        <v>1420</v>
      </c>
      <c r="J771" s="12" t="s">
        <v>1420</v>
      </c>
      <c r="K771" s="12" t="s">
        <v>1420</v>
      </c>
      <c r="L771" s="12" t="s">
        <v>1420</v>
      </c>
      <c r="M771" s="12" t="s">
        <v>1420</v>
      </c>
      <c r="N771" s="12" t="s">
        <v>1420</v>
      </c>
      <c r="O771" s="12" t="s">
        <v>1420</v>
      </c>
      <c r="P771" s="12" t="s">
        <v>1420</v>
      </c>
      <c r="Q771" s="12" t="s">
        <v>1420</v>
      </c>
      <c r="R771" s="12" t="s">
        <v>1420</v>
      </c>
      <c r="S771" s="12" t="s">
        <v>1420</v>
      </c>
      <c r="T771" s="12" t="s">
        <v>1420</v>
      </c>
      <c r="U771" s="12" t="s">
        <v>1420</v>
      </c>
      <c r="V771" s="12" t="s">
        <v>1420</v>
      </c>
      <c r="W771" s="12" t="s">
        <v>1420</v>
      </c>
      <c r="X771" s="12" t="s">
        <v>1420</v>
      </c>
      <c r="Y771" s="12" t="s">
        <v>1420</v>
      </c>
      <c r="Z771" s="12" t="s">
        <v>1420</v>
      </c>
      <c r="AA771" s="12" t="s">
        <v>1414</v>
      </c>
      <c r="AB771" s="12" t="s">
        <v>1420</v>
      </c>
      <c r="AC771" s="12" t="s">
        <v>1420</v>
      </c>
      <c r="AD771" s="12" t="s">
        <v>1420</v>
      </c>
      <c r="AE771" s="12" t="s">
        <v>1420</v>
      </c>
      <c r="AF771" s="12" t="s">
        <v>1420</v>
      </c>
      <c r="AG771" s="12" t="s">
        <v>1420</v>
      </c>
    </row>
    <row r="772" spans="1:33" ht="15" customHeight="1" x14ac:dyDescent="0.3">
      <c r="A772" s="12" t="s">
        <v>8</v>
      </c>
      <c r="B772" s="12" t="s">
        <v>407</v>
      </c>
      <c r="C772" s="12" t="s">
        <v>406</v>
      </c>
      <c r="D772" s="12" t="s">
        <v>1410</v>
      </c>
      <c r="E772" s="12" t="s">
        <v>2000</v>
      </c>
      <c r="F772" s="12" t="s">
        <v>2001</v>
      </c>
      <c r="G772" s="12" t="s">
        <v>2002</v>
      </c>
      <c r="H772" s="12" t="s">
        <v>1424</v>
      </c>
      <c r="I772" s="12" t="s">
        <v>1420</v>
      </c>
      <c r="J772" s="12" t="s">
        <v>1420</v>
      </c>
      <c r="K772" s="12" t="s">
        <v>1420</v>
      </c>
      <c r="L772" s="12" t="s">
        <v>1420</v>
      </c>
      <c r="M772" s="12" t="s">
        <v>1420</v>
      </c>
      <c r="N772" s="12" t="s">
        <v>1420</v>
      </c>
      <c r="O772" s="12" t="s">
        <v>1420</v>
      </c>
      <c r="P772" s="12" t="s">
        <v>1414</v>
      </c>
      <c r="Q772" s="12" t="s">
        <v>1420</v>
      </c>
      <c r="R772" s="12" t="s">
        <v>1420</v>
      </c>
      <c r="S772" s="12" t="s">
        <v>1420</v>
      </c>
      <c r="T772" s="12" t="s">
        <v>1420</v>
      </c>
      <c r="U772" s="12" t="s">
        <v>1420</v>
      </c>
      <c r="V772" s="12" t="s">
        <v>1420</v>
      </c>
      <c r="W772" s="12" t="s">
        <v>1420</v>
      </c>
      <c r="X772" s="12" t="s">
        <v>1414</v>
      </c>
      <c r="Y772" s="12" t="s">
        <v>1420</v>
      </c>
      <c r="Z772" s="12" t="s">
        <v>1420</v>
      </c>
      <c r="AA772" s="12" t="s">
        <v>1420</v>
      </c>
      <c r="AB772" s="12" t="s">
        <v>1420</v>
      </c>
      <c r="AC772" s="12" t="s">
        <v>1420</v>
      </c>
      <c r="AD772" s="12" t="s">
        <v>1420</v>
      </c>
      <c r="AE772" s="12" t="s">
        <v>1420</v>
      </c>
      <c r="AF772" s="12" t="s">
        <v>1415</v>
      </c>
      <c r="AG772" s="12" t="s">
        <v>1420</v>
      </c>
    </row>
    <row r="773" spans="1:33" ht="15" customHeight="1" x14ac:dyDescent="0.3">
      <c r="A773" s="12" t="s">
        <v>19</v>
      </c>
      <c r="B773" s="12" t="s">
        <v>1003</v>
      </c>
      <c r="C773" s="12" t="s">
        <v>1002</v>
      </c>
      <c r="D773" s="12" t="s">
        <v>1410</v>
      </c>
      <c r="E773" s="12" t="s">
        <v>3159</v>
      </c>
      <c r="F773" s="12" t="s">
        <v>3160</v>
      </c>
      <c r="G773" s="12" t="s">
        <v>3161</v>
      </c>
      <c r="H773" s="12" t="s">
        <v>1464</v>
      </c>
      <c r="I773" s="12" t="s">
        <v>1420</v>
      </c>
      <c r="J773" s="12" t="s">
        <v>1420</v>
      </c>
      <c r="K773" s="12" t="s">
        <v>1420</v>
      </c>
      <c r="L773" s="12" t="s">
        <v>1420</v>
      </c>
      <c r="M773" s="12" t="s">
        <v>1420</v>
      </c>
      <c r="N773" s="12" t="s">
        <v>1420</v>
      </c>
      <c r="O773" s="12" t="s">
        <v>1420</v>
      </c>
      <c r="P773" s="12" t="s">
        <v>1420</v>
      </c>
      <c r="Q773" s="12" t="s">
        <v>1420</v>
      </c>
      <c r="R773" s="12" t="s">
        <v>1420</v>
      </c>
      <c r="S773" s="12" t="s">
        <v>1420</v>
      </c>
      <c r="T773" s="12" t="s">
        <v>1420</v>
      </c>
      <c r="U773" s="12" t="s">
        <v>1420</v>
      </c>
      <c r="V773" s="12" t="s">
        <v>1420</v>
      </c>
      <c r="W773" s="12" t="s">
        <v>1420</v>
      </c>
      <c r="X773" s="12" t="s">
        <v>1420</v>
      </c>
      <c r="Y773" s="12" t="s">
        <v>1420</v>
      </c>
      <c r="Z773" s="12" t="s">
        <v>1420</v>
      </c>
      <c r="AA773" s="12" t="s">
        <v>1420</v>
      </c>
      <c r="AB773" s="12" t="s">
        <v>1420</v>
      </c>
      <c r="AC773" s="12" t="s">
        <v>1420</v>
      </c>
      <c r="AD773" s="12" t="s">
        <v>1420</v>
      </c>
      <c r="AE773" s="12" t="s">
        <v>1420</v>
      </c>
      <c r="AF773" s="12" t="s">
        <v>1420</v>
      </c>
      <c r="AG773" s="12" t="s">
        <v>1420</v>
      </c>
    </row>
    <row r="774" spans="1:33" ht="15" customHeight="1" x14ac:dyDescent="0.3">
      <c r="A774" s="12" t="s">
        <v>28</v>
      </c>
      <c r="B774" s="12" t="s">
        <v>684</v>
      </c>
      <c r="C774" s="12" t="s">
        <v>683</v>
      </c>
      <c r="D774" s="12" t="s">
        <v>1410</v>
      </c>
      <c r="E774" s="12" t="s">
        <v>1552</v>
      </c>
      <c r="F774" s="12" t="s">
        <v>1553</v>
      </c>
      <c r="G774" s="12" t="s">
        <v>1554</v>
      </c>
      <c r="H774" s="12" t="s">
        <v>1448</v>
      </c>
      <c r="I774" s="12" t="s">
        <v>1420</v>
      </c>
      <c r="J774" s="12" t="s">
        <v>1420</v>
      </c>
      <c r="K774" s="12" t="s">
        <v>1420</v>
      </c>
      <c r="L774" s="12" t="s">
        <v>1420</v>
      </c>
      <c r="M774" s="12" t="s">
        <v>1420</v>
      </c>
      <c r="N774" s="12" t="s">
        <v>1414</v>
      </c>
      <c r="O774" s="12" t="s">
        <v>1420</v>
      </c>
      <c r="P774" s="12" t="s">
        <v>1420</v>
      </c>
      <c r="Q774" s="12" t="s">
        <v>1420</v>
      </c>
      <c r="R774" s="12" t="s">
        <v>1420</v>
      </c>
      <c r="S774" s="12" t="s">
        <v>1420</v>
      </c>
      <c r="T774" s="12" t="s">
        <v>1420</v>
      </c>
      <c r="U774" s="12" t="s">
        <v>1420</v>
      </c>
      <c r="V774" s="12" t="s">
        <v>1420</v>
      </c>
      <c r="W774" s="12" t="s">
        <v>1414</v>
      </c>
      <c r="X774" s="12" t="s">
        <v>1414</v>
      </c>
      <c r="Y774" s="12" t="s">
        <v>1420</v>
      </c>
      <c r="Z774" s="12" t="s">
        <v>1414</v>
      </c>
      <c r="AA774" s="12" t="s">
        <v>1420</v>
      </c>
      <c r="AB774" s="12" t="s">
        <v>1420</v>
      </c>
      <c r="AC774" s="12" t="s">
        <v>1420</v>
      </c>
      <c r="AD774" s="12" t="s">
        <v>1414</v>
      </c>
      <c r="AE774" s="12" t="s">
        <v>1420</v>
      </c>
      <c r="AF774" s="12" t="s">
        <v>1420</v>
      </c>
      <c r="AG774" s="12" t="s">
        <v>1420</v>
      </c>
    </row>
    <row r="775" spans="1:33" ht="15" customHeight="1" x14ac:dyDescent="0.3">
      <c r="A775" s="12" t="s">
        <v>126</v>
      </c>
      <c r="B775" s="12" t="s">
        <v>1131</v>
      </c>
      <c r="C775" s="12" t="s">
        <v>1130</v>
      </c>
      <c r="D775" s="12" t="s">
        <v>1410</v>
      </c>
      <c r="E775" s="12" t="s">
        <v>2925</v>
      </c>
      <c r="F775" s="12" t="s">
        <v>2926</v>
      </c>
      <c r="G775" s="12" t="s">
        <v>2927</v>
      </c>
      <c r="H775" s="12" t="s">
        <v>1452</v>
      </c>
      <c r="I775" s="12" t="s">
        <v>1420</v>
      </c>
      <c r="J775" s="12" t="s">
        <v>1420</v>
      </c>
      <c r="K775" s="12" t="s">
        <v>1420</v>
      </c>
      <c r="L775" s="12" t="s">
        <v>1420</v>
      </c>
      <c r="M775" s="12" t="s">
        <v>1420</v>
      </c>
      <c r="N775" s="12" t="s">
        <v>1420</v>
      </c>
      <c r="O775" s="12" t="s">
        <v>1420</v>
      </c>
      <c r="P775" s="12" t="s">
        <v>1420</v>
      </c>
      <c r="Q775" s="12" t="s">
        <v>1420</v>
      </c>
      <c r="R775" s="12" t="s">
        <v>1420</v>
      </c>
      <c r="S775" s="12" t="s">
        <v>1420</v>
      </c>
      <c r="T775" s="12" t="s">
        <v>1414</v>
      </c>
      <c r="U775" s="12" t="s">
        <v>1420</v>
      </c>
      <c r="V775" s="12" t="s">
        <v>1420</v>
      </c>
      <c r="W775" s="12" t="s">
        <v>1420</v>
      </c>
      <c r="X775" s="12" t="s">
        <v>1420</v>
      </c>
      <c r="Y775" s="12" t="s">
        <v>1420</v>
      </c>
      <c r="Z775" s="12" t="s">
        <v>1420</v>
      </c>
      <c r="AA775" s="12" t="s">
        <v>1420</v>
      </c>
      <c r="AB775" s="12" t="s">
        <v>1420</v>
      </c>
      <c r="AC775" s="12" t="s">
        <v>1420</v>
      </c>
      <c r="AD775" s="12" t="s">
        <v>1420</v>
      </c>
      <c r="AE775" s="12" t="s">
        <v>1420</v>
      </c>
      <c r="AF775" s="12" t="s">
        <v>1420</v>
      </c>
      <c r="AG775" s="12" t="s">
        <v>1420</v>
      </c>
    </row>
    <row r="776" spans="1:33" ht="15" customHeight="1" x14ac:dyDescent="0.3">
      <c r="A776" s="12" t="s">
        <v>31</v>
      </c>
      <c r="B776" s="12" t="s">
        <v>238</v>
      </c>
      <c r="C776" s="12" t="s">
        <v>237</v>
      </c>
      <c r="D776" s="12" t="s">
        <v>1410</v>
      </c>
      <c r="E776" s="12" t="s">
        <v>2475</v>
      </c>
      <c r="F776" s="12" t="s">
        <v>2476</v>
      </c>
      <c r="G776" s="12" t="s">
        <v>1413</v>
      </c>
      <c r="H776" s="12" t="s">
        <v>1488</v>
      </c>
      <c r="I776" s="12" t="s">
        <v>1420</v>
      </c>
      <c r="J776" s="12" t="s">
        <v>1420</v>
      </c>
      <c r="K776" s="12" t="s">
        <v>1420</v>
      </c>
      <c r="L776" s="12" t="s">
        <v>1420</v>
      </c>
      <c r="M776" s="12" t="s">
        <v>1420</v>
      </c>
      <c r="N776" s="12" t="s">
        <v>1414</v>
      </c>
      <c r="O776" s="12" t="s">
        <v>1420</v>
      </c>
      <c r="P776" s="12" t="s">
        <v>1420</v>
      </c>
      <c r="Q776" s="12" t="s">
        <v>1420</v>
      </c>
      <c r="R776" s="12" t="s">
        <v>1420</v>
      </c>
      <c r="S776" s="12" t="s">
        <v>1420</v>
      </c>
      <c r="T776" s="12" t="s">
        <v>1420</v>
      </c>
      <c r="U776" s="12" t="s">
        <v>1420</v>
      </c>
      <c r="V776" s="12" t="s">
        <v>1420</v>
      </c>
      <c r="W776" s="12" t="s">
        <v>1420</v>
      </c>
      <c r="X776" s="12" t="s">
        <v>1420</v>
      </c>
      <c r="Y776" s="12" t="s">
        <v>1420</v>
      </c>
      <c r="Z776" s="12" t="s">
        <v>1420</v>
      </c>
      <c r="AA776" s="12" t="s">
        <v>1420</v>
      </c>
      <c r="AB776" s="12" t="s">
        <v>1420</v>
      </c>
      <c r="AC776" s="12" t="s">
        <v>1420</v>
      </c>
      <c r="AD776" s="12" t="s">
        <v>1414</v>
      </c>
      <c r="AE776" s="12" t="s">
        <v>1414</v>
      </c>
      <c r="AF776" s="12" t="s">
        <v>1420</v>
      </c>
      <c r="AG776" s="12" t="s">
        <v>1415</v>
      </c>
    </row>
    <row r="777" spans="1:33" ht="15" customHeight="1" x14ac:dyDescent="0.3">
      <c r="A777" s="12" t="s">
        <v>31</v>
      </c>
      <c r="B777" s="12" t="s">
        <v>240</v>
      </c>
      <c r="C777" s="12" t="s">
        <v>239</v>
      </c>
      <c r="D777" s="12" t="s">
        <v>1410</v>
      </c>
      <c r="E777" s="12" t="s">
        <v>2261</v>
      </c>
      <c r="F777" s="12" t="s">
        <v>2266</v>
      </c>
      <c r="G777" s="12" t="s">
        <v>2267</v>
      </c>
      <c r="H777" s="12" t="s">
        <v>1448</v>
      </c>
      <c r="I777" s="12" t="s">
        <v>1420</v>
      </c>
      <c r="J777" s="12" t="s">
        <v>1420</v>
      </c>
      <c r="K777" s="12" t="s">
        <v>1420</v>
      </c>
      <c r="L777" s="12" t="s">
        <v>1420</v>
      </c>
      <c r="M777" s="12" t="s">
        <v>1420</v>
      </c>
      <c r="N777" s="12" t="s">
        <v>1420</v>
      </c>
      <c r="O777" s="12" t="s">
        <v>1414</v>
      </c>
      <c r="P777" s="12" t="s">
        <v>1420</v>
      </c>
      <c r="Q777" s="12" t="s">
        <v>1420</v>
      </c>
      <c r="R777" s="12" t="s">
        <v>1420</v>
      </c>
      <c r="S777" s="12" t="s">
        <v>1414</v>
      </c>
      <c r="T777" s="12" t="s">
        <v>1420</v>
      </c>
      <c r="U777" s="12" t="s">
        <v>1420</v>
      </c>
      <c r="V777" s="12" t="s">
        <v>1420</v>
      </c>
      <c r="W777" s="12" t="s">
        <v>1420</v>
      </c>
      <c r="X777" s="12" t="s">
        <v>1414</v>
      </c>
      <c r="Y777" s="12" t="s">
        <v>1420</v>
      </c>
      <c r="Z777" s="12" t="s">
        <v>1420</v>
      </c>
      <c r="AA777" s="12" t="s">
        <v>1420</v>
      </c>
      <c r="AB777" s="12" t="s">
        <v>1420</v>
      </c>
      <c r="AC777" s="12" t="s">
        <v>1414</v>
      </c>
      <c r="AD777" s="12" t="s">
        <v>1420</v>
      </c>
      <c r="AE777" s="12" t="s">
        <v>1414</v>
      </c>
      <c r="AF777" s="12" t="s">
        <v>1420</v>
      </c>
      <c r="AG777" s="12" t="s">
        <v>1420</v>
      </c>
    </row>
    <row r="778" spans="1:33" ht="15" customHeight="1" x14ac:dyDescent="0.3">
      <c r="A778" s="12" t="s">
        <v>585</v>
      </c>
      <c r="B778" s="12" t="s">
        <v>240</v>
      </c>
      <c r="C778" s="12" t="s">
        <v>5980</v>
      </c>
      <c r="D778" s="12" t="s">
        <v>1410</v>
      </c>
      <c r="E778" s="12" t="s">
        <v>5981</v>
      </c>
      <c r="F778" s="12" t="s">
        <v>5982</v>
      </c>
      <c r="G778" s="12" t="s">
        <v>5983</v>
      </c>
      <c r="H778" s="12" t="s">
        <v>1438</v>
      </c>
      <c r="I778" s="12" t="s">
        <v>1420</v>
      </c>
      <c r="J778" s="12" t="s">
        <v>1420</v>
      </c>
      <c r="K778" s="12" t="s">
        <v>1414</v>
      </c>
      <c r="L778" s="12" t="s">
        <v>1414</v>
      </c>
      <c r="M778" s="12" t="s">
        <v>1420</v>
      </c>
      <c r="N778" s="12" t="s">
        <v>1420</v>
      </c>
      <c r="O778" s="12" t="s">
        <v>1420</v>
      </c>
      <c r="P778" s="12" t="s">
        <v>1420</v>
      </c>
      <c r="Q778" s="12" t="s">
        <v>1420</v>
      </c>
      <c r="R778" s="12" t="s">
        <v>1420</v>
      </c>
      <c r="S778" s="12" t="s">
        <v>1414</v>
      </c>
      <c r="T778" s="12" t="s">
        <v>1414</v>
      </c>
      <c r="U778" s="12" t="s">
        <v>1420</v>
      </c>
      <c r="V778" s="12" t="s">
        <v>1420</v>
      </c>
      <c r="W778" s="12" t="s">
        <v>1420</v>
      </c>
      <c r="X778" s="12" t="s">
        <v>1420</v>
      </c>
      <c r="Y778" s="12" t="s">
        <v>1420</v>
      </c>
      <c r="Z778" s="12" t="s">
        <v>1420</v>
      </c>
      <c r="AA778" s="12" t="s">
        <v>1414</v>
      </c>
      <c r="AB778" s="12" t="s">
        <v>1420</v>
      </c>
      <c r="AC778" s="12" t="s">
        <v>1420</v>
      </c>
      <c r="AD778" s="12" t="s">
        <v>1414</v>
      </c>
      <c r="AE778" s="12" t="s">
        <v>1420</v>
      </c>
      <c r="AF778" s="12" t="s">
        <v>1420</v>
      </c>
      <c r="AG778" s="12" t="s">
        <v>1420</v>
      </c>
    </row>
    <row r="779" spans="1:33" ht="15" customHeight="1" x14ac:dyDescent="0.3">
      <c r="A779" s="12" t="s">
        <v>19</v>
      </c>
      <c r="B779" s="12" t="s">
        <v>242</v>
      </c>
      <c r="C779" s="12" t="s">
        <v>241</v>
      </c>
      <c r="D779" s="12" t="s">
        <v>1410</v>
      </c>
      <c r="E779" s="12" t="s">
        <v>2182</v>
      </c>
      <c r="F779" s="12" t="s">
        <v>2183</v>
      </c>
      <c r="G779" s="12" t="s">
        <v>2184</v>
      </c>
      <c r="H779" s="12" t="s">
        <v>1464</v>
      </c>
      <c r="I779" s="12" t="s">
        <v>1420</v>
      </c>
      <c r="J779" s="12" t="s">
        <v>1420</v>
      </c>
      <c r="K779" s="12" t="s">
        <v>1420</v>
      </c>
      <c r="L779" s="12" t="s">
        <v>1420</v>
      </c>
      <c r="M779" s="12" t="s">
        <v>1420</v>
      </c>
      <c r="N779" s="12" t="s">
        <v>1420</v>
      </c>
      <c r="O779" s="12" t="s">
        <v>1420</v>
      </c>
      <c r="P779" s="12" t="s">
        <v>1420</v>
      </c>
      <c r="Q779" s="12" t="s">
        <v>1420</v>
      </c>
      <c r="R779" s="12" t="s">
        <v>1420</v>
      </c>
      <c r="S779" s="12" t="s">
        <v>1420</v>
      </c>
      <c r="T779" s="12" t="s">
        <v>1420</v>
      </c>
      <c r="U779" s="12" t="s">
        <v>1420</v>
      </c>
      <c r="V779" s="12" t="s">
        <v>1420</v>
      </c>
      <c r="W779" s="12" t="s">
        <v>1420</v>
      </c>
      <c r="X779" s="12" t="s">
        <v>1420</v>
      </c>
      <c r="Y779" s="12" t="s">
        <v>1420</v>
      </c>
      <c r="Z779" s="12" t="s">
        <v>1420</v>
      </c>
      <c r="AA779" s="12" t="s">
        <v>1420</v>
      </c>
      <c r="AB779" s="12" t="s">
        <v>1420</v>
      </c>
      <c r="AC779" s="12" t="s">
        <v>1420</v>
      </c>
      <c r="AD779" s="12" t="s">
        <v>1420</v>
      </c>
      <c r="AE779" s="12" t="s">
        <v>1420</v>
      </c>
      <c r="AF779" s="12" t="s">
        <v>1420</v>
      </c>
      <c r="AG779" s="12" t="s">
        <v>1420</v>
      </c>
    </row>
    <row r="780" spans="1:33" ht="15" customHeight="1" x14ac:dyDescent="0.3">
      <c r="A780" s="12" t="s">
        <v>8</v>
      </c>
      <c r="B780" s="12" t="s">
        <v>244</v>
      </c>
      <c r="C780" s="12" t="s">
        <v>243</v>
      </c>
      <c r="D780" s="12" t="s">
        <v>1410</v>
      </c>
      <c r="E780" s="12" t="s">
        <v>2497</v>
      </c>
      <c r="F780" s="12" t="s">
        <v>2498</v>
      </c>
      <c r="G780" s="12" t="s">
        <v>2499</v>
      </c>
      <c r="H780" s="12" t="s">
        <v>1419</v>
      </c>
      <c r="I780" s="12" t="s">
        <v>1420</v>
      </c>
      <c r="J780" s="12" t="s">
        <v>1420</v>
      </c>
      <c r="K780" s="12" t="s">
        <v>1420</v>
      </c>
      <c r="L780" s="12" t="s">
        <v>1420</v>
      </c>
      <c r="M780" s="12" t="s">
        <v>1420</v>
      </c>
      <c r="N780" s="12" t="s">
        <v>1420</v>
      </c>
      <c r="O780" s="12" t="s">
        <v>1420</v>
      </c>
      <c r="P780" s="12" t="s">
        <v>1420</v>
      </c>
      <c r="Q780" s="12" t="s">
        <v>1420</v>
      </c>
      <c r="R780" s="12" t="s">
        <v>1420</v>
      </c>
      <c r="S780" s="12" t="s">
        <v>1420</v>
      </c>
      <c r="T780" s="12" t="s">
        <v>1420</v>
      </c>
      <c r="U780" s="12" t="s">
        <v>1420</v>
      </c>
      <c r="V780" s="12" t="s">
        <v>1420</v>
      </c>
      <c r="W780" s="12" t="s">
        <v>1420</v>
      </c>
      <c r="X780" s="12" t="s">
        <v>1420</v>
      </c>
      <c r="Y780" s="12" t="s">
        <v>1420</v>
      </c>
      <c r="Z780" s="12" t="s">
        <v>1420</v>
      </c>
      <c r="AA780" s="12" t="s">
        <v>1414</v>
      </c>
      <c r="AB780" s="12" t="s">
        <v>1414</v>
      </c>
      <c r="AC780" s="12" t="s">
        <v>1420</v>
      </c>
      <c r="AD780" s="12" t="s">
        <v>1420</v>
      </c>
      <c r="AE780" s="12" t="s">
        <v>1420</v>
      </c>
      <c r="AF780" s="12" t="s">
        <v>1420</v>
      </c>
      <c r="AG780" s="12" t="s">
        <v>1420</v>
      </c>
    </row>
    <row r="781" spans="1:33" ht="15" customHeight="1" x14ac:dyDescent="0.3">
      <c r="A781" s="12" t="s">
        <v>49</v>
      </c>
      <c r="B781" s="12" t="s">
        <v>1005</v>
      </c>
      <c r="C781" s="12" t="s">
        <v>1004</v>
      </c>
      <c r="D781" s="12" t="s">
        <v>1410</v>
      </c>
      <c r="E781" s="12" t="s">
        <v>2005</v>
      </c>
      <c r="F781" s="12" t="s">
        <v>2006</v>
      </c>
      <c r="G781" s="12" t="s">
        <v>2007</v>
      </c>
      <c r="H781" s="12" t="s">
        <v>1606</v>
      </c>
      <c r="I781" s="12" t="s">
        <v>1420</v>
      </c>
      <c r="J781" s="12" t="s">
        <v>1420</v>
      </c>
      <c r="K781" s="12" t="s">
        <v>1420</v>
      </c>
      <c r="L781" s="12" t="s">
        <v>1414</v>
      </c>
      <c r="M781" s="12" t="s">
        <v>1420</v>
      </c>
      <c r="N781" s="12" t="s">
        <v>1420</v>
      </c>
      <c r="O781" s="12" t="s">
        <v>1420</v>
      </c>
      <c r="P781" s="12" t="s">
        <v>1420</v>
      </c>
      <c r="Q781" s="12" t="s">
        <v>1420</v>
      </c>
      <c r="R781" s="12" t="s">
        <v>1420</v>
      </c>
      <c r="S781" s="12" t="s">
        <v>1420</v>
      </c>
      <c r="T781" s="12" t="s">
        <v>1420</v>
      </c>
      <c r="U781" s="12" t="s">
        <v>1420</v>
      </c>
      <c r="V781" s="12" t="s">
        <v>1420</v>
      </c>
      <c r="W781" s="12" t="s">
        <v>1414</v>
      </c>
      <c r="X781" s="12" t="s">
        <v>1420</v>
      </c>
      <c r="Y781" s="12" t="s">
        <v>1420</v>
      </c>
      <c r="Z781" s="12" t="s">
        <v>1420</v>
      </c>
      <c r="AA781" s="12" t="s">
        <v>1414</v>
      </c>
      <c r="AB781" s="12" t="s">
        <v>1420</v>
      </c>
      <c r="AC781" s="12" t="s">
        <v>1414</v>
      </c>
      <c r="AD781" s="12" t="s">
        <v>1414</v>
      </c>
      <c r="AE781" s="12" t="s">
        <v>1414</v>
      </c>
      <c r="AF781" s="12" t="s">
        <v>1414</v>
      </c>
      <c r="AG781" s="12" t="s">
        <v>1414</v>
      </c>
    </row>
    <row r="782" spans="1:33" ht="15" customHeight="1" x14ac:dyDescent="0.3">
      <c r="A782" s="12" t="s">
        <v>71</v>
      </c>
      <c r="B782" s="12" t="s">
        <v>1007</v>
      </c>
      <c r="C782" s="12" t="s">
        <v>1006</v>
      </c>
      <c r="D782" s="12" t="s">
        <v>1410</v>
      </c>
      <c r="E782" s="12" t="s">
        <v>2789</v>
      </c>
      <c r="F782" s="12" t="s">
        <v>2792</v>
      </c>
      <c r="G782" s="12" t="s">
        <v>2793</v>
      </c>
      <c r="H782" s="12" t="s">
        <v>1424</v>
      </c>
      <c r="I782" s="12" t="s">
        <v>1420</v>
      </c>
      <c r="J782" s="12" t="s">
        <v>1420</v>
      </c>
      <c r="K782" s="12" t="s">
        <v>1420</v>
      </c>
      <c r="L782" s="12" t="s">
        <v>1420</v>
      </c>
      <c r="M782" s="12" t="s">
        <v>1420</v>
      </c>
      <c r="N782" s="12" t="s">
        <v>1420</v>
      </c>
      <c r="O782" s="12" t="s">
        <v>1420</v>
      </c>
      <c r="P782" s="12" t="s">
        <v>1420</v>
      </c>
      <c r="Q782" s="12" t="s">
        <v>1420</v>
      </c>
      <c r="R782" s="12" t="s">
        <v>1420</v>
      </c>
      <c r="S782" s="12" t="s">
        <v>1414</v>
      </c>
      <c r="T782" s="12" t="s">
        <v>1420</v>
      </c>
      <c r="U782" s="12" t="s">
        <v>1420</v>
      </c>
      <c r="V782" s="12" t="s">
        <v>1420</v>
      </c>
      <c r="W782" s="12" t="s">
        <v>1420</v>
      </c>
      <c r="X782" s="12" t="s">
        <v>1414</v>
      </c>
      <c r="Y782" s="12" t="s">
        <v>1420</v>
      </c>
      <c r="Z782" s="12" t="s">
        <v>1420</v>
      </c>
      <c r="AA782" s="12" t="s">
        <v>1420</v>
      </c>
      <c r="AB782" s="12" t="s">
        <v>1420</v>
      </c>
      <c r="AC782" s="12" t="s">
        <v>1414</v>
      </c>
      <c r="AD782" s="12" t="s">
        <v>1420</v>
      </c>
      <c r="AE782" s="12" t="s">
        <v>1420</v>
      </c>
      <c r="AF782" s="12" t="s">
        <v>1420</v>
      </c>
      <c r="AG782" s="12" t="s">
        <v>1420</v>
      </c>
    </row>
    <row r="783" spans="1:33" ht="15" customHeight="1" x14ac:dyDescent="0.3">
      <c r="A783" s="12" t="s">
        <v>8</v>
      </c>
      <c r="B783" s="12" t="s">
        <v>5984</v>
      </c>
      <c r="C783" s="12" t="s">
        <v>5985</v>
      </c>
      <c r="D783" s="12" t="s">
        <v>1410</v>
      </c>
      <c r="E783" s="12" t="s">
        <v>5986</v>
      </c>
      <c r="F783" s="12" t="s">
        <v>5987</v>
      </c>
      <c r="G783" s="12" t="s">
        <v>5988</v>
      </c>
      <c r="H783" s="12" t="s">
        <v>3214</v>
      </c>
      <c r="I783" s="12" t="s">
        <v>1414</v>
      </c>
      <c r="J783" s="12" t="s">
        <v>1414</v>
      </c>
      <c r="K783" s="12" t="s">
        <v>1414</v>
      </c>
      <c r="L783" s="12" t="s">
        <v>1414</v>
      </c>
      <c r="M783" s="12" t="s">
        <v>1414</v>
      </c>
      <c r="N783" s="12" t="s">
        <v>1414</v>
      </c>
      <c r="O783" s="12" t="s">
        <v>1420</v>
      </c>
      <c r="P783" s="12" t="s">
        <v>1414</v>
      </c>
      <c r="Q783" s="12" t="s">
        <v>1414</v>
      </c>
      <c r="R783" s="12" t="s">
        <v>1414</v>
      </c>
      <c r="S783" s="12" t="s">
        <v>1414</v>
      </c>
      <c r="T783" s="12" t="s">
        <v>1414</v>
      </c>
      <c r="U783" s="12" t="s">
        <v>1414</v>
      </c>
      <c r="V783" s="12" t="s">
        <v>1414</v>
      </c>
      <c r="W783" s="12" t="s">
        <v>1414</v>
      </c>
      <c r="X783" s="12" t="s">
        <v>1414</v>
      </c>
      <c r="Y783" s="12" t="s">
        <v>1414</v>
      </c>
      <c r="Z783" s="12" t="s">
        <v>1414</v>
      </c>
      <c r="AA783" s="12" t="s">
        <v>1420</v>
      </c>
      <c r="AB783" s="12" t="s">
        <v>1420</v>
      </c>
      <c r="AC783" s="12" t="s">
        <v>1414</v>
      </c>
      <c r="AD783" s="12" t="s">
        <v>1414</v>
      </c>
      <c r="AE783" s="12" t="s">
        <v>1414</v>
      </c>
      <c r="AF783" s="12" t="s">
        <v>1414</v>
      </c>
      <c r="AG783" s="12" t="s">
        <v>1414</v>
      </c>
    </row>
    <row r="784" spans="1:33" ht="15" customHeight="1" x14ac:dyDescent="0.3">
      <c r="A784" s="12" t="s">
        <v>8</v>
      </c>
      <c r="B784" s="12" t="s">
        <v>1009</v>
      </c>
      <c r="C784" s="12" t="s">
        <v>1008</v>
      </c>
      <c r="D784" s="12" t="s">
        <v>1410</v>
      </c>
      <c r="E784" s="12" t="s">
        <v>2909</v>
      </c>
      <c r="F784" s="12" t="s">
        <v>2910</v>
      </c>
      <c r="G784" s="12" t="s">
        <v>2029</v>
      </c>
      <c r="H784" s="12" t="s">
        <v>1452</v>
      </c>
      <c r="I784" s="12" t="s">
        <v>1420</v>
      </c>
      <c r="J784" s="12" t="s">
        <v>1420</v>
      </c>
      <c r="K784" s="12" t="s">
        <v>1420</v>
      </c>
      <c r="L784" s="12" t="s">
        <v>1420</v>
      </c>
      <c r="M784" s="12" t="s">
        <v>1420</v>
      </c>
      <c r="N784" s="12" t="s">
        <v>1420</v>
      </c>
      <c r="O784" s="12" t="s">
        <v>1420</v>
      </c>
      <c r="P784" s="12" t="s">
        <v>1420</v>
      </c>
      <c r="Q784" s="12" t="s">
        <v>1420</v>
      </c>
      <c r="R784" s="12" t="s">
        <v>1420</v>
      </c>
      <c r="S784" s="12" t="s">
        <v>1420</v>
      </c>
      <c r="T784" s="12" t="s">
        <v>1420</v>
      </c>
      <c r="U784" s="12" t="s">
        <v>1420</v>
      </c>
      <c r="V784" s="12" t="s">
        <v>1420</v>
      </c>
      <c r="W784" s="12" t="s">
        <v>1414</v>
      </c>
      <c r="X784" s="12" t="s">
        <v>1420</v>
      </c>
      <c r="Y784" s="12" t="s">
        <v>1420</v>
      </c>
      <c r="Z784" s="12" t="s">
        <v>1420</v>
      </c>
      <c r="AA784" s="12" t="s">
        <v>1420</v>
      </c>
      <c r="AB784" s="12" t="s">
        <v>1420</v>
      </c>
      <c r="AC784" s="12" t="s">
        <v>1420</v>
      </c>
      <c r="AD784" s="12" t="s">
        <v>1420</v>
      </c>
      <c r="AE784" s="12" t="s">
        <v>1420</v>
      </c>
      <c r="AF784" s="12" t="s">
        <v>1420</v>
      </c>
      <c r="AG784" s="12" t="s">
        <v>1420</v>
      </c>
    </row>
    <row r="785" spans="1:33" ht="15" customHeight="1" x14ac:dyDescent="0.3">
      <c r="A785" s="12" t="s">
        <v>22</v>
      </c>
      <c r="B785" s="12" t="s">
        <v>246</v>
      </c>
      <c r="C785" s="12" t="s">
        <v>245</v>
      </c>
      <c r="D785" s="12" t="s">
        <v>1410</v>
      </c>
      <c r="E785" s="12" t="s">
        <v>1786</v>
      </c>
      <c r="F785" s="12" t="s">
        <v>1787</v>
      </c>
      <c r="G785" s="12" t="s">
        <v>1788</v>
      </c>
      <c r="H785" s="12" t="s">
        <v>1419</v>
      </c>
      <c r="I785" s="12" t="s">
        <v>1420</v>
      </c>
      <c r="J785" s="12" t="s">
        <v>1420</v>
      </c>
      <c r="K785" s="12" t="s">
        <v>1420</v>
      </c>
      <c r="L785" s="12" t="s">
        <v>1420</v>
      </c>
      <c r="M785" s="12" t="s">
        <v>1420</v>
      </c>
      <c r="N785" s="12" t="s">
        <v>1420</v>
      </c>
      <c r="O785" s="12" t="s">
        <v>1420</v>
      </c>
      <c r="P785" s="12" t="s">
        <v>1420</v>
      </c>
      <c r="Q785" s="12" t="s">
        <v>1420</v>
      </c>
      <c r="R785" s="12" t="s">
        <v>1420</v>
      </c>
      <c r="S785" s="12" t="s">
        <v>1420</v>
      </c>
      <c r="T785" s="12" t="s">
        <v>1420</v>
      </c>
      <c r="U785" s="12" t="s">
        <v>1420</v>
      </c>
      <c r="V785" s="12" t="s">
        <v>1420</v>
      </c>
      <c r="W785" s="12" t="s">
        <v>1420</v>
      </c>
      <c r="X785" s="12" t="s">
        <v>1414</v>
      </c>
      <c r="Y785" s="12" t="s">
        <v>1420</v>
      </c>
      <c r="Z785" s="12" t="s">
        <v>1420</v>
      </c>
      <c r="AA785" s="12" t="s">
        <v>1420</v>
      </c>
      <c r="AB785" s="12" t="s">
        <v>1420</v>
      </c>
      <c r="AC785" s="12" t="s">
        <v>1414</v>
      </c>
      <c r="AD785" s="12" t="s">
        <v>1420</v>
      </c>
      <c r="AE785" s="12" t="s">
        <v>1420</v>
      </c>
      <c r="AF785" s="12" t="s">
        <v>1420</v>
      </c>
      <c r="AG785" s="12" t="s">
        <v>1420</v>
      </c>
    </row>
    <row r="786" spans="1:33" ht="15" customHeight="1" x14ac:dyDescent="0.3">
      <c r="A786" s="12" t="s">
        <v>42</v>
      </c>
      <c r="B786" s="12" t="s">
        <v>409</v>
      </c>
      <c r="C786" s="12" t="s">
        <v>408</v>
      </c>
      <c r="D786" s="12" t="s">
        <v>1410</v>
      </c>
      <c r="E786" s="12" t="s">
        <v>1681</v>
      </c>
      <c r="F786" s="12" t="s">
        <v>1682</v>
      </c>
      <c r="G786" s="12" t="s">
        <v>1683</v>
      </c>
      <c r="H786" s="12" t="s">
        <v>1488</v>
      </c>
      <c r="I786" s="12" t="s">
        <v>1420</v>
      </c>
      <c r="J786" s="12" t="s">
        <v>1420</v>
      </c>
      <c r="K786" s="12" t="s">
        <v>1420</v>
      </c>
      <c r="L786" s="12" t="s">
        <v>1420</v>
      </c>
      <c r="M786" s="12" t="s">
        <v>1420</v>
      </c>
      <c r="N786" s="12" t="s">
        <v>1414</v>
      </c>
      <c r="O786" s="12" t="s">
        <v>1420</v>
      </c>
      <c r="P786" s="12" t="s">
        <v>1420</v>
      </c>
      <c r="Q786" s="12" t="s">
        <v>1420</v>
      </c>
      <c r="R786" s="12" t="s">
        <v>1420</v>
      </c>
      <c r="S786" s="12" t="s">
        <v>1420</v>
      </c>
      <c r="T786" s="12" t="s">
        <v>1414</v>
      </c>
      <c r="U786" s="12" t="s">
        <v>1420</v>
      </c>
      <c r="V786" s="12" t="s">
        <v>1420</v>
      </c>
      <c r="W786" s="12" t="s">
        <v>1420</v>
      </c>
      <c r="X786" s="12" t="s">
        <v>1420</v>
      </c>
      <c r="Y786" s="12" t="s">
        <v>1420</v>
      </c>
      <c r="Z786" s="12" t="s">
        <v>1420</v>
      </c>
      <c r="AA786" s="12" t="s">
        <v>1420</v>
      </c>
      <c r="AB786" s="12" t="s">
        <v>1414</v>
      </c>
      <c r="AC786" s="12" t="s">
        <v>1414</v>
      </c>
      <c r="AD786" s="12" t="s">
        <v>1420</v>
      </c>
      <c r="AE786" s="12" t="s">
        <v>1420</v>
      </c>
      <c r="AF786" s="12" t="s">
        <v>1420</v>
      </c>
      <c r="AG786" s="12" t="s">
        <v>1420</v>
      </c>
    </row>
    <row r="787" spans="1:33" ht="15" customHeight="1" x14ac:dyDescent="0.3">
      <c r="A787" s="12" t="s">
        <v>42</v>
      </c>
      <c r="B787" s="12" t="s">
        <v>5989</v>
      </c>
      <c r="C787" s="12" t="s">
        <v>5990</v>
      </c>
      <c r="D787" s="12" t="s">
        <v>1410</v>
      </c>
      <c r="E787" s="12" t="s">
        <v>5991</v>
      </c>
      <c r="F787" s="12" t="s">
        <v>5992</v>
      </c>
      <c r="G787" s="12" t="s">
        <v>5993</v>
      </c>
      <c r="H787" s="12" t="s">
        <v>1452</v>
      </c>
      <c r="I787" s="12" t="s">
        <v>1420</v>
      </c>
      <c r="J787" s="12" t="s">
        <v>1420</v>
      </c>
      <c r="K787" s="12" t="s">
        <v>1420</v>
      </c>
      <c r="L787" s="12" t="s">
        <v>1420</v>
      </c>
      <c r="M787" s="12" t="s">
        <v>1420</v>
      </c>
      <c r="N787" s="12" t="s">
        <v>1420</v>
      </c>
      <c r="O787" s="12" t="s">
        <v>1420</v>
      </c>
      <c r="P787" s="12" t="s">
        <v>1420</v>
      </c>
      <c r="Q787" s="12" t="s">
        <v>1420</v>
      </c>
      <c r="R787" s="12" t="s">
        <v>1420</v>
      </c>
      <c r="S787" s="12" t="s">
        <v>1420</v>
      </c>
      <c r="T787" s="12" t="s">
        <v>1420</v>
      </c>
      <c r="U787" s="12" t="s">
        <v>1420</v>
      </c>
      <c r="V787" s="12" t="s">
        <v>1420</v>
      </c>
      <c r="W787" s="12" t="s">
        <v>1420</v>
      </c>
      <c r="X787" s="12" t="s">
        <v>1420</v>
      </c>
      <c r="Y787" s="12" t="s">
        <v>1420</v>
      </c>
      <c r="Z787" s="12" t="s">
        <v>1420</v>
      </c>
      <c r="AA787" s="12" t="s">
        <v>1420</v>
      </c>
      <c r="AB787" s="12" t="s">
        <v>1420</v>
      </c>
      <c r="AC787" s="12" t="s">
        <v>1420</v>
      </c>
      <c r="AD787" s="12" t="s">
        <v>1420</v>
      </c>
      <c r="AE787" s="12" t="s">
        <v>1414</v>
      </c>
      <c r="AF787" s="12" t="s">
        <v>1420</v>
      </c>
      <c r="AG787" s="12" t="s">
        <v>1420</v>
      </c>
    </row>
    <row r="788" spans="1:33" ht="15" customHeight="1" x14ac:dyDescent="0.3">
      <c r="A788" s="12" t="s">
        <v>16</v>
      </c>
      <c r="B788" s="12" t="s">
        <v>282</v>
      </c>
      <c r="C788" s="12" t="s">
        <v>281</v>
      </c>
      <c r="D788" s="12" t="s">
        <v>1410</v>
      </c>
      <c r="E788" s="12" t="s">
        <v>2494</v>
      </c>
      <c r="F788" s="12" t="s">
        <v>2476</v>
      </c>
      <c r="G788" s="12" t="s">
        <v>2495</v>
      </c>
      <c r="H788" s="12" t="s">
        <v>1419</v>
      </c>
      <c r="I788" s="12" t="s">
        <v>1420</v>
      </c>
      <c r="J788" s="12" t="s">
        <v>1420</v>
      </c>
      <c r="K788" s="12" t="s">
        <v>1420</v>
      </c>
      <c r="L788" s="12" t="s">
        <v>1420</v>
      </c>
      <c r="M788" s="12" t="s">
        <v>1420</v>
      </c>
      <c r="N788" s="12" t="s">
        <v>1420</v>
      </c>
      <c r="O788" s="12" t="s">
        <v>1420</v>
      </c>
      <c r="P788" s="12" t="s">
        <v>1420</v>
      </c>
      <c r="Q788" s="12" t="s">
        <v>1420</v>
      </c>
      <c r="R788" s="12" t="s">
        <v>1420</v>
      </c>
      <c r="S788" s="12" t="s">
        <v>1414</v>
      </c>
      <c r="T788" s="12" t="s">
        <v>1420</v>
      </c>
      <c r="U788" s="12" t="s">
        <v>1420</v>
      </c>
      <c r="V788" s="12" t="s">
        <v>1420</v>
      </c>
      <c r="W788" s="12" t="s">
        <v>1420</v>
      </c>
      <c r="X788" s="12" t="s">
        <v>1420</v>
      </c>
      <c r="Y788" s="12" t="s">
        <v>1420</v>
      </c>
      <c r="Z788" s="12" t="s">
        <v>1420</v>
      </c>
      <c r="AA788" s="12" t="s">
        <v>1420</v>
      </c>
      <c r="AB788" s="12" t="s">
        <v>1420</v>
      </c>
      <c r="AC788" s="12" t="s">
        <v>1414</v>
      </c>
      <c r="AD788" s="12" t="s">
        <v>1420</v>
      </c>
      <c r="AE788" s="12" t="s">
        <v>1420</v>
      </c>
      <c r="AF788" s="12" t="s">
        <v>1420</v>
      </c>
      <c r="AG788" s="12" t="s">
        <v>1420</v>
      </c>
    </row>
    <row r="789" spans="1:33" ht="15" customHeight="1" x14ac:dyDescent="0.3">
      <c r="A789" s="12" t="s">
        <v>1134</v>
      </c>
      <c r="B789" s="12" t="s">
        <v>1133</v>
      </c>
      <c r="C789" s="12" t="s">
        <v>1132</v>
      </c>
      <c r="D789" s="12" t="s">
        <v>1410</v>
      </c>
      <c r="E789" s="12" t="s">
        <v>2430</v>
      </c>
      <c r="F789" s="12" t="s">
        <v>2431</v>
      </c>
      <c r="G789" s="12" t="s">
        <v>2432</v>
      </c>
      <c r="H789" s="12" t="s">
        <v>1419</v>
      </c>
      <c r="I789" s="12" t="s">
        <v>1420</v>
      </c>
      <c r="J789" s="12" t="s">
        <v>1420</v>
      </c>
      <c r="K789" s="12" t="s">
        <v>1420</v>
      </c>
      <c r="L789" s="12" t="s">
        <v>1420</v>
      </c>
      <c r="M789" s="12" t="s">
        <v>1420</v>
      </c>
      <c r="N789" s="12" t="s">
        <v>1420</v>
      </c>
      <c r="O789" s="12" t="s">
        <v>1420</v>
      </c>
      <c r="P789" s="12" t="s">
        <v>1420</v>
      </c>
      <c r="Q789" s="12" t="s">
        <v>1420</v>
      </c>
      <c r="R789" s="12" t="s">
        <v>1420</v>
      </c>
      <c r="S789" s="12" t="s">
        <v>1420</v>
      </c>
      <c r="T789" s="12" t="s">
        <v>1420</v>
      </c>
      <c r="U789" s="12" t="s">
        <v>1420</v>
      </c>
      <c r="V789" s="12" t="s">
        <v>1420</v>
      </c>
      <c r="W789" s="12" t="s">
        <v>1420</v>
      </c>
      <c r="X789" s="12" t="s">
        <v>1414</v>
      </c>
      <c r="Y789" s="12" t="s">
        <v>1420</v>
      </c>
      <c r="Z789" s="12" t="s">
        <v>1420</v>
      </c>
      <c r="AA789" s="12" t="s">
        <v>1420</v>
      </c>
      <c r="AB789" s="12" t="s">
        <v>1420</v>
      </c>
      <c r="AC789" s="12" t="s">
        <v>1420</v>
      </c>
      <c r="AD789" s="12" t="s">
        <v>1414</v>
      </c>
      <c r="AE789" s="12" t="s">
        <v>1420</v>
      </c>
      <c r="AF789" s="12" t="s">
        <v>1420</v>
      </c>
      <c r="AG789" s="12" t="s">
        <v>1420</v>
      </c>
    </row>
    <row r="790" spans="1:33" ht="15" customHeight="1" x14ac:dyDescent="0.3">
      <c r="A790" s="12" t="s">
        <v>412</v>
      </c>
      <c r="B790" s="12" t="s">
        <v>411</v>
      </c>
      <c r="C790" s="12" t="s">
        <v>410</v>
      </c>
      <c r="D790" s="12" t="s">
        <v>1410</v>
      </c>
      <c r="E790" s="12" t="s">
        <v>1804</v>
      </c>
      <c r="F790" s="12" t="s">
        <v>1805</v>
      </c>
      <c r="G790" s="12" t="s">
        <v>1806</v>
      </c>
      <c r="H790" s="12" t="s">
        <v>1448</v>
      </c>
      <c r="I790" s="12" t="s">
        <v>1420</v>
      </c>
      <c r="J790" s="12" t="s">
        <v>1420</v>
      </c>
      <c r="K790" s="12" t="s">
        <v>1420</v>
      </c>
      <c r="L790" s="12" t="s">
        <v>1420</v>
      </c>
      <c r="M790" s="12" t="s">
        <v>1420</v>
      </c>
      <c r="N790" s="12" t="s">
        <v>1420</v>
      </c>
      <c r="O790" s="12" t="s">
        <v>1420</v>
      </c>
      <c r="P790" s="12" t="s">
        <v>1420</v>
      </c>
      <c r="Q790" s="12" t="s">
        <v>1420</v>
      </c>
      <c r="R790" s="12" t="s">
        <v>1420</v>
      </c>
      <c r="S790" s="12" t="s">
        <v>1414</v>
      </c>
      <c r="T790" s="12" t="s">
        <v>1414</v>
      </c>
      <c r="U790" s="12" t="s">
        <v>1420</v>
      </c>
      <c r="V790" s="12" t="s">
        <v>1420</v>
      </c>
      <c r="W790" s="12" t="s">
        <v>1420</v>
      </c>
      <c r="X790" s="12" t="s">
        <v>1420</v>
      </c>
      <c r="Y790" s="12" t="s">
        <v>1420</v>
      </c>
      <c r="Z790" s="12" t="s">
        <v>1420</v>
      </c>
      <c r="AA790" s="12" t="s">
        <v>1420</v>
      </c>
      <c r="AB790" s="12" t="s">
        <v>1420</v>
      </c>
      <c r="AC790" s="12" t="s">
        <v>1420</v>
      </c>
      <c r="AD790" s="12" t="s">
        <v>1414</v>
      </c>
      <c r="AE790" s="12" t="s">
        <v>1414</v>
      </c>
      <c r="AF790" s="12" t="s">
        <v>1420</v>
      </c>
      <c r="AG790" s="12" t="s">
        <v>1414</v>
      </c>
    </row>
    <row r="791" spans="1:33" ht="15" customHeight="1" x14ac:dyDescent="0.3">
      <c r="A791" s="12" t="s">
        <v>42</v>
      </c>
      <c r="B791" s="12" t="s">
        <v>686</v>
      </c>
      <c r="C791" s="12" t="s">
        <v>685</v>
      </c>
      <c r="D791" s="12" t="s">
        <v>1410</v>
      </c>
      <c r="E791" s="12" t="s">
        <v>1543</v>
      </c>
      <c r="F791" s="12" t="s">
        <v>1544</v>
      </c>
      <c r="G791" s="12" t="s">
        <v>1545</v>
      </c>
      <c r="H791" s="12" t="s">
        <v>1419</v>
      </c>
      <c r="I791" s="12" t="s">
        <v>1420</v>
      </c>
      <c r="J791" s="12" t="s">
        <v>1420</v>
      </c>
      <c r="K791" s="12" t="s">
        <v>1420</v>
      </c>
      <c r="L791" s="12" t="s">
        <v>1420</v>
      </c>
      <c r="M791" s="12" t="s">
        <v>1420</v>
      </c>
      <c r="N791" s="12" t="s">
        <v>1414</v>
      </c>
      <c r="O791" s="12" t="s">
        <v>1420</v>
      </c>
      <c r="P791" s="12" t="s">
        <v>1420</v>
      </c>
      <c r="Q791" s="12" t="s">
        <v>1420</v>
      </c>
      <c r="R791" s="12" t="s">
        <v>1420</v>
      </c>
      <c r="S791" s="12" t="s">
        <v>1420</v>
      </c>
      <c r="T791" s="12" t="s">
        <v>1420</v>
      </c>
      <c r="U791" s="12" t="s">
        <v>1414</v>
      </c>
      <c r="V791" s="12" t="s">
        <v>1420</v>
      </c>
      <c r="W791" s="12" t="s">
        <v>1420</v>
      </c>
      <c r="X791" s="12" t="s">
        <v>1420</v>
      </c>
      <c r="Y791" s="12" t="s">
        <v>1420</v>
      </c>
      <c r="Z791" s="12" t="s">
        <v>1420</v>
      </c>
      <c r="AA791" s="12" t="s">
        <v>1420</v>
      </c>
      <c r="AB791" s="12" t="s">
        <v>1420</v>
      </c>
      <c r="AC791" s="12" t="s">
        <v>1420</v>
      </c>
      <c r="AD791" s="12" t="s">
        <v>1420</v>
      </c>
      <c r="AE791" s="12" t="s">
        <v>1420</v>
      </c>
      <c r="AF791" s="12" t="s">
        <v>1420</v>
      </c>
      <c r="AG791" s="12" t="s">
        <v>1420</v>
      </c>
    </row>
    <row r="792" spans="1:33" ht="15" customHeight="1" x14ac:dyDescent="0.3">
      <c r="A792" s="12" t="s">
        <v>31</v>
      </c>
      <c r="B792" s="12" t="s">
        <v>1011</v>
      </c>
      <c r="C792" s="12" t="s">
        <v>1010</v>
      </c>
      <c r="D792" s="12" t="s">
        <v>1410</v>
      </c>
      <c r="E792" s="12" t="s">
        <v>2905</v>
      </c>
      <c r="F792" s="12" t="s">
        <v>2906</v>
      </c>
      <c r="G792" s="12" t="s">
        <v>2402</v>
      </c>
      <c r="H792" s="12" t="s">
        <v>1452</v>
      </c>
      <c r="I792" s="12" t="s">
        <v>1420</v>
      </c>
      <c r="J792" s="12" t="s">
        <v>1420</v>
      </c>
      <c r="K792" s="12" t="s">
        <v>1420</v>
      </c>
      <c r="L792" s="12" t="s">
        <v>1420</v>
      </c>
      <c r="M792" s="12" t="s">
        <v>1420</v>
      </c>
      <c r="N792" s="12" t="s">
        <v>1420</v>
      </c>
      <c r="O792" s="12" t="s">
        <v>1414</v>
      </c>
      <c r="P792" s="12" t="s">
        <v>1420</v>
      </c>
      <c r="Q792" s="12" t="s">
        <v>1420</v>
      </c>
      <c r="R792" s="12" t="s">
        <v>1420</v>
      </c>
      <c r="S792" s="12" t="s">
        <v>1420</v>
      </c>
      <c r="T792" s="12" t="s">
        <v>1420</v>
      </c>
      <c r="U792" s="12" t="s">
        <v>1420</v>
      </c>
      <c r="V792" s="12" t="s">
        <v>1420</v>
      </c>
      <c r="W792" s="12" t="s">
        <v>1420</v>
      </c>
      <c r="X792" s="12" t="s">
        <v>1420</v>
      </c>
      <c r="Y792" s="12" t="s">
        <v>1420</v>
      </c>
      <c r="Z792" s="12" t="s">
        <v>1420</v>
      </c>
      <c r="AA792" s="12" t="s">
        <v>1420</v>
      </c>
      <c r="AB792" s="12" t="s">
        <v>1420</v>
      </c>
      <c r="AC792" s="12" t="s">
        <v>1420</v>
      </c>
      <c r="AD792" s="12" t="s">
        <v>1420</v>
      </c>
      <c r="AE792" s="12" t="s">
        <v>1420</v>
      </c>
      <c r="AF792" s="12" t="s">
        <v>1420</v>
      </c>
      <c r="AG792" s="12" t="s">
        <v>1420</v>
      </c>
    </row>
    <row r="793" spans="1:33" ht="15" customHeight="1" x14ac:dyDescent="0.3">
      <c r="A793" s="12" t="s">
        <v>585</v>
      </c>
      <c r="B793" s="12" t="s">
        <v>5994</v>
      </c>
      <c r="C793" s="12" t="s">
        <v>247</v>
      </c>
      <c r="D793" s="12" t="s">
        <v>1410</v>
      </c>
      <c r="E793" s="12" t="s">
        <v>2527</v>
      </c>
      <c r="F793" s="12" t="s">
        <v>2528</v>
      </c>
      <c r="G793" s="12" t="s">
        <v>2529</v>
      </c>
      <c r="H793" s="12" t="s">
        <v>1424</v>
      </c>
      <c r="I793" s="12" t="s">
        <v>1420</v>
      </c>
      <c r="J793" s="12" t="s">
        <v>1420</v>
      </c>
      <c r="K793" s="12" t="s">
        <v>1420</v>
      </c>
      <c r="L793" s="12" t="s">
        <v>1420</v>
      </c>
      <c r="M793" s="12" t="s">
        <v>1420</v>
      </c>
      <c r="N793" s="12" t="s">
        <v>1420</v>
      </c>
      <c r="O793" s="12" t="s">
        <v>1420</v>
      </c>
      <c r="P793" s="12" t="s">
        <v>1420</v>
      </c>
      <c r="Q793" s="12" t="s">
        <v>1420</v>
      </c>
      <c r="R793" s="12" t="s">
        <v>1420</v>
      </c>
      <c r="S793" s="12" t="s">
        <v>1414</v>
      </c>
      <c r="T793" s="12" t="s">
        <v>1420</v>
      </c>
      <c r="U793" s="12" t="s">
        <v>1420</v>
      </c>
      <c r="V793" s="12" t="s">
        <v>1420</v>
      </c>
      <c r="W793" s="12" t="s">
        <v>1420</v>
      </c>
      <c r="X793" s="12" t="s">
        <v>1420</v>
      </c>
      <c r="Y793" s="12" t="s">
        <v>1420</v>
      </c>
      <c r="Z793" s="12" t="s">
        <v>1420</v>
      </c>
      <c r="AA793" s="12" t="s">
        <v>1420</v>
      </c>
      <c r="AB793" s="12" t="s">
        <v>1420</v>
      </c>
      <c r="AC793" s="12" t="s">
        <v>1420</v>
      </c>
      <c r="AD793" s="12" t="s">
        <v>1414</v>
      </c>
      <c r="AE793" s="12" t="s">
        <v>1414</v>
      </c>
      <c r="AF793" s="12" t="s">
        <v>1420</v>
      </c>
      <c r="AG793" s="12" t="s">
        <v>1420</v>
      </c>
    </row>
    <row r="794" spans="1:33" ht="15" customHeight="1" x14ac:dyDescent="0.3">
      <c r="A794" s="12" t="s">
        <v>49</v>
      </c>
      <c r="B794" s="12" t="s">
        <v>5995</v>
      </c>
      <c r="C794" s="12" t="s">
        <v>5996</v>
      </c>
      <c r="D794" s="12" t="s">
        <v>1410</v>
      </c>
      <c r="E794" s="12" t="s">
        <v>5997</v>
      </c>
      <c r="F794" s="12" t="s">
        <v>5998</v>
      </c>
      <c r="G794" s="12" t="s">
        <v>1441</v>
      </c>
      <c r="H794" s="12" t="s">
        <v>1419</v>
      </c>
      <c r="I794" s="12" t="s">
        <v>1420</v>
      </c>
      <c r="J794" s="12" t="s">
        <v>1420</v>
      </c>
      <c r="K794" s="12" t="s">
        <v>1420</v>
      </c>
      <c r="L794" s="12" t="s">
        <v>1420</v>
      </c>
      <c r="M794" s="12" t="s">
        <v>1420</v>
      </c>
      <c r="N794" s="12" t="s">
        <v>1420</v>
      </c>
      <c r="O794" s="12" t="s">
        <v>1420</v>
      </c>
      <c r="P794" s="12" t="s">
        <v>1420</v>
      </c>
      <c r="Q794" s="12" t="s">
        <v>1420</v>
      </c>
      <c r="R794" s="12" t="s">
        <v>1420</v>
      </c>
      <c r="S794" s="12" t="s">
        <v>1420</v>
      </c>
      <c r="T794" s="12" t="s">
        <v>1420</v>
      </c>
      <c r="U794" s="12" t="s">
        <v>1420</v>
      </c>
      <c r="V794" s="12" t="s">
        <v>1420</v>
      </c>
      <c r="W794" s="12" t="s">
        <v>1420</v>
      </c>
      <c r="X794" s="12" t="s">
        <v>1420</v>
      </c>
      <c r="Y794" s="12" t="s">
        <v>1414</v>
      </c>
      <c r="Z794" s="12" t="s">
        <v>1420</v>
      </c>
      <c r="AA794" s="12" t="s">
        <v>1420</v>
      </c>
      <c r="AB794" s="12" t="s">
        <v>1420</v>
      </c>
      <c r="AC794" s="12" t="s">
        <v>1420</v>
      </c>
      <c r="AD794" s="12" t="s">
        <v>1420</v>
      </c>
      <c r="AE794" s="12" t="s">
        <v>1420</v>
      </c>
      <c r="AF794" s="12" t="s">
        <v>1414</v>
      </c>
      <c r="AG794" s="12" t="s">
        <v>1420</v>
      </c>
    </row>
    <row r="795" spans="1:33" ht="15" customHeight="1" x14ac:dyDescent="0.3">
      <c r="A795" s="12" t="s">
        <v>19</v>
      </c>
      <c r="B795" s="12" t="s">
        <v>414</v>
      </c>
      <c r="C795" s="12" t="s">
        <v>413</v>
      </c>
      <c r="D795" s="12" t="s">
        <v>1410</v>
      </c>
      <c r="E795" s="12" t="s">
        <v>1979</v>
      </c>
      <c r="F795" s="12" t="s">
        <v>1980</v>
      </c>
      <c r="G795" s="12" t="s">
        <v>1981</v>
      </c>
      <c r="H795" s="12" t="s">
        <v>1424</v>
      </c>
      <c r="I795" s="12" t="s">
        <v>1420</v>
      </c>
      <c r="J795" s="12" t="s">
        <v>1420</v>
      </c>
      <c r="K795" s="12" t="s">
        <v>1420</v>
      </c>
      <c r="L795" s="12" t="s">
        <v>1420</v>
      </c>
      <c r="M795" s="12" t="s">
        <v>1420</v>
      </c>
      <c r="N795" s="12" t="s">
        <v>1420</v>
      </c>
      <c r="O795" s="12" t="s">
        <v>1420</v>
      </c>
      <c r="P795" s="12" t="s">
        <v>1420</v>
      </c>
      <c r="Q795" s="12" t="s">
        <v>1420</v>
      </c>
      <c r="R795" s="12" t="s">
        <v>1420</v>
      </c>
      <c r="S795" s="12" t="s">
        <v>1420</v>
      </c>
      <c r="T795" s="12" t="s">
        <v>1414</v>
      </c>
      <c r="U795" s="12" t="s">
        <v>1420</v>
      </c>
      <c r="V795" s="12" t="s">
        <v>1420</v>
      </c>
      <c r="W795" s="12" t="s">
        <v>1420</v>
      </c>
      <c r="X795" s="12" t="s">
        <v>1420</v>
      </c>
      <c r="Y795" s="12" t="s">
        <v>1420</v>
      </c>
      <c r="Z795" s="12" t="s">
        <v>1420</v>
      </c>
      <c r="AA795" s="12" t="s">
        <v>1420</v>
      </c>
      <c r="AB795" s="12" t="s">
        <v>1420</v>
      </c>
      <c r="AC795" s="12" t="s">
        <v>1414</v>
      </c>
      <c r="AD795" s="12" t="s">
        <v>1414</v>
      </c>
      <c r="AE795" s="12" t="s">
        <v>1420</v>
      </c>
      <c r="AF795" s="12" t="s">
        <v>1420</v>
      </c>
      <c r="AG795" s="12" t="s">
        <v>1420</v>
      </c>
    </row>
    <row r="796" spans="1:33" ht="15" customHeight="1" x14ac:dyDescent="0.3">
      <c r="A796" s="12" t="s">
        <v>55</v>
      </c>
      <c r="B796" s="12" t="s">
        <v>1013</v>
      </c>
      <c r="C796" s="12" t="s">
        <v>1012</v>
      </c>
      <c r="D796" s="12" t="s">
        <v>1410</v>
      </c>
      <c r="E796" s="12" t="s">
        <v>3100</v>
      </c>
      <c r="F796" s="12" t="s">
        <v>3101</v>
      </c>
      <c r="G796" s="12" t="s">
        <v>3102</v>
      </c>
      <c r="H796" s="12" t="s">
        <v>1464</v>
      </c>
      <c r="I796" s="12" t="s">
        <v>1420</v>
      </c>
      <c r="J796" s="12" t="s">
        <v>1420</v>
      </c>
      <c r="K796" s="12" t="s">
        <v>1420</v>
      </c>
      <c r="L796" s="12" t="s">
        <v>1420</v>
      </c>
      <c r="M796" s="12" t="s">
        <v>1420</v>
      </c>
      <c r="N796" s="12" t="s">
        <v>1420</v>
      </c>
      <c r="O796" s="12" t="s">
        <v>1420</v>
      </c>
      <c r="P796" s="12" t="s">
        <v>1420</v>
      </c>
      <c r="Q796" s="12" t="s">
        <v>1420</v>
      </c>
      <c r="R796" s="12" t="s">
        <v>1420</v>
      </c>
      <c r="S796" s="12" t="s">
        <v>1420</v>
      </c>
      <c r="T796" s="12" t="s">
        <v>1420</v>
      </c>
      <c r="U796" s="12" t="s">
        <v>1420</v>
      </c>
      <c r="V796" s="12" t="s">
        <v>1420</v>
      </c>
      <c r="W796" s="12" t="s">
        <v>1420</v>
      </c>
      <c r="X796" s="12" t="s">
        <v>1420</v>
      </c>
      <c r="Y796" s="12" t="s">
        <v>1420</v>
      </c>
      <c r="Z796" s="12" t="s">
        <v>1420</v>
      </c>
      <c r="AA796" s="12" t="s">
        <v>1420</v>
      </c>
      <c r="AB796" s="12" t="s">
        <v>1420</v>
      </c>
      <c r="AC796" s="12" t="s">
        <v>1420</v>
      </c>
      <c r="AD796" s="12" t="s">
        <v>1420</v>
      </c>
      <c r="AE796" s="12" t="s">
        <v>1420</v>
      </c>
      <c r="AF796" s="12" t="s">
        <v>1420</v>
      </c>
      <c r="AG796" s="12" t="s">
        <v>1420</v>
      </c>
    </row>
    <row r="797" spans="1:33" ht="15" customHeight="1" x14ac:dyDescent="0.3">
      <c r="A797" s="12" t="s">
        <v>123</v>
      </c>
      <c r="B797" s="12" t="s">
        <v>1280</v>
      </c>
      <c r="C797" s="12" t="s">
        <v>1279</v>
      </c>
      <c r="D797" s="12" t="s">
        <v>1410</v>
      </c>
      <c r="E797" s="12" t="s">
        <v>2616</v>
      </c>
      <c r="F797" s="12" t="s">
        <v>2617</v>
      </c>
      <c r="G797" s="12" t="s">
        <v>1861</v>
      </c>
      <c r="H797" s="12" t="s">
        <v>1448</v>
      </c>
      <c r="I797" s="12" t="s">
        <v>1420</v>
      </c>
      <c r="J797" s="12" t="s">
        <v>1420</v>
      </c>
      <c r="K797" s="12" t="s">
        <v>1420</v>
      </c>
      <c r="L797" s="12" t="s">
        <v>1420</v>
      </c>
      <c r="M797" s="12" t="s">
        <v>1420</v>
      </c>
      <c r="N797" s="12" t="s">
        <v>1414</v>
      </c>
      <c r="O797" s="12" t="s">
        <v>1420</v>
      </c>
      <c r="P797" s="12" t="s">
        <v>1420</v>
      </c>
      <c r="Q797" s="12" t="s">
        <v>1420</v>
      </c>
      <c r="R797" s="12" t="s">
        <v>1420</v>
      </c>
      <c r="S797" s="12" t="s">
        <v>1420</v>
      </c>
      <c r="T797" s="12" t="s">
        <v>1414</v>
      </c>
      <c r="U797" s="12" t="s">
        <v>1420</v>
      </c>
      <c r="V797" s="12" t="s">
        <v>1420</v>
      </c>
      <c r="W797" s="12" t="s">
        <v>1414</v>
      </c>
      <c r="X797" s="12" t="s">
        <v>1414</v>
      </c>
      <c r="Y797" s="12" t="s">
        <v>1420</v>
      </c>
      <c r="Z797" s="12" t="s">
        <v>1420</v>
      </c>
      <c r="AA797" s="12" t="s">
        <v>1420</v>
      </c>
      <c r="AB797" s="12" t="s">
        <v>1420</v>
      </c>
      <c r="AC797" s="12" t="s">
        <v>1420</v>
      </c>
      <c r="AD797" s="12" t="s">
        <v>1414</v>
      </c>
      <c r="AE797" s="12" t="s">
        <v>1420</v>
      </c>
      <c r="AF797" s="12" t="s">
        <v>1420</v>
      </c>
      <c r="AG797" s="12" t="s">
        <v>1420</v>
      </c>
    </row>
    <row r="798" spans="1:33" ht="15" customHeight="1" x14ac:dyDescent="0.3">
      <c r="A798" s="12" t="s">
        <v>31</v>
      </c>
      <c r="B798" s="12" t="s">
        <v>250</v>
      </c>
      <c r="C798" s="12" t="s">
        <v>249</v>
      </c>
      <c r="D798" s="12" t="s">
        <v>1410</v>
      </c>
      <c r="E798" s="12" t="s">
        <v>2599</v>
      </c>
      <c r="F798" s="12" t="s">
        <v>2600</v>
      </c>
      <c r="G798" s="12" t="s">
        <v>2601</v>
      </c>
      <c r="H798" s="12" t="s">
        <v>1419</v>
      </c>
      <c r="I798" s="12" t="s">
        <v>1420</v>
      </c>
      <c r="J798" s="12" t="s">
        <v>1414</v>
      </c>
      <c r="K798" s="12" t="s">
        <v>1420</v>
      </c>
      <c r="L798" s="12" t="s">
        <v>1420</v>
      </c>
      <c r="M798" s="12" t="s">
        <v>1420</v>
      </c>
      <c r="N798" s="12" t="s">
        <v>1420</v>
      </c>
      <c r="O798" s="12" t="s">
        <v>1420</v>
      </c>
      <c r="P798" s="12" t="s">
        <v>1420</v>
      </c>
      <c r="Q798" s="12" t="s">
        <v>1420</v>
      </c>
      <c r="R798" s="12" t="s">
        <v>1420</v>
      </c>
      <c r="S798" s="12" t="s">
        <v>1414</v>
      </c>
      <c r="T798" s="12" t="s">
        <v>1420</v>
      </c>
      <c r="U798" s="12" t="s">
        <v>1420</v>
      </c>
      <c r="V798" s="12" t="s">
        <v>1420</v>
      </c>
      <c r="W798" s="12" t="s">
        <v>1420</v>
      </c>
      <c r="X798" s="12" t="s">
        <v>1420</v>
      </c>
      <c r="Y798" s="12" t="s">
        <v>1420</v>
      </c>
      <c r="Z798" s="12" t="s">
        <v>1420</v>
      </c>
      <c r="AA798" s="12" t="s">
        <v>1420</v>
      </c>
      <c r="AB798" s="12" t="s">
        <v>1420</v>
      </c>
      <c r="AC798" s="12" t="s">
        <v>1420</v>
      </c>
      <c r="AD798" s="12" t="s">
        <v>1420</v>
      </c>
      <c r="AE798" s="12" t="s">
        <v>1420</v>
      </c>
      <c r="AF798" s="12" t="s">
        <v>1420</v>
      </c>
      <c r="AG798" s="12" t="s">
        <v>1420</v>
      </c>
    </row>
    <row r="799" spans="1:33" ht="15" customHeight="1" x14ac:dyDescent="0.3">
      <c r="A799" s="12" t="s">
        <v>42</v>
      </c>
      <c r="B799" s="12" t="s">
        <v>252</v>
      </c>
      <c r="C799" s="12" t="s">
        <v>251</v>
      </c>
      <c r="D799" s="12" t="s">
        <v>1410</v>
      </c>
      <c r="E799" s="12" t="s">
        <v>2350</v>
      </c>
      <c r="F799" s="12" t="s">
        <v>2351</v>
      </c>
      <c r="G799" s="12" t="s">
        <v>2352</v>
      </c>
      <c r="H799" s="12" t="s">
        <v>1419</v>
      </c>
      <c r="I799" s="12" t="s">
        <v>1420</v>
      </c>
      <c r="J799" s="12" t="s">
        <v>1420</v>
      </c>
      <c r="K799" s="12" t="s">
        <v>1420</v>
      </c>
      <c r="L799" s="12" t="s">
        <v>1420</v>
      </c>
      <c r="M799" s="12" t="s">
        <v>1420</v>
      </c>
      <c r="N799" s="12" t="s">
        <v>1420</v>
      </c>
      <c r="O799" s="12" t="s">
        <v>1420</v>
      </c>
      <c r="P799" s="12" t="s">
        <v>1420</v>
      </c>
      <c r="Q799" s="12" t="s">
        <v>1420</v>
      </c>
      <c r="R799" s="12" t="s">
        <v>1420</v>
      </c>
      <c r="S799" s="12" t="s">
        <v>1414</v>
      </c>
      <c r="T799" s="12" t="s">
        <v>1420</v>
      </c>
      <c r="U799" s="12" t="s">
        <v>1420</v>
      </c>
      <c r="V799" s="12" t="s">
        <v>1420</v>
      </c>
      <c r="W799" s="12" t="s">
        <v>1420</v>
      </c>
      <c r="X799" s="12" t="s">
        <v>1420</v>
      </c>
      <c r="Y799" s="12" t="s">
        <v>1420</v>
      </c>
      <c r="Z799" s="12" t="s">
        <v>1420</v>
      </c>
      <c r="AA799" s="12" t="s">
        <v>1420</v>
      </c>
      <c r="AB799" s="12" t="s">
        <v>1420</v>
      </c>
      <c r="AC799" s="12" t="s">
        <v>1420</v>
      </c>
      <c r="AD799" s="12" t="s">
        <v>1414</v>
      </c>
      <c r="AE799" s="12" t="s">
        <v>1420</v>
      </c>
      <c r="AF799" s="12" t="s">
        <v>1420</v>
      </c>
      <c r="AG799" s="12" t="s">
        <v>1420</v>
      </c>
    </row>
    <row r="800" spans="1:33" ht="15" customHeight="1" x14ac:dyDescent="0.3">
      <c r="A800" s="12" t="s">
        <v>31</v>
      </c>
      <c r="B800" s="12" t="s">
        <v>254</v>
      </c>
      <c r="C800" s="12" t="s">
        <v>253</v>
      </c>
      <c r="D800" s="12" t="s">
        <v>1410</v>
      </c>
      <c r="E800" s="12" t="s">
        <v>1465</v>
      </c>
      <c r="F800" s="12" t="s">
        <v>1466</v>
      </c>
      <c r="G800" s="12" t="s">
        <v>1467</v>
      </c>
      <c r="H800" s="12" t="s">
        <v>1424</v>
      </c>
      <c r="I800" s="12" t="s">
        <v>1420</v>
      </c>
      <c r="J800" s="12" t="s">
        <v>1414</v>
      </c>
      <c r="K800" s="12" t="s">
        <v>1420</v>
      </c>
      <c r="L800" s="12" t="s">
        <v>1420</v>
      </c>
      <c r="M800" s="12" t="s">
        <v>1420</v>
      </c>
      <c r="N800" s="12" t="s">
        <v>1420</v>
      </c>
      <c r="O800" s="12" t="s">
        <v>1420</v>
      </c>
      <c r="P800" s="12" t="s">
        <v>1420</v>
      </c>
      <c r="Q800" s="12" t="s">
        <v>1420</v>
      </c>
      <c r="R800" s="12" t="s">
        <v>1420</v>
      </c>
      <c r="S800" s="12" t="s">
        <v>1420</v>
      </c>
      <c r="T800" s="12" t="s">
        <v>1420</v>
      </c>
      <c r="U800" s="12" t="s">
        <v>1420</v>
      </c>
      <c r="V800" s="12" t="s">
        <v>1420</v>
      </c>
      <c r="W800" s="12" t="s">
        <v>1420</v>
      </c>
      <c r="X800" s="12" t="s">
        <v>1414</v>
      </c>
      <c r="Y800" s="12" t="s">
        <v>1420</v>
      </c>
      <c r="Z800" s="12" t="s">
        <v>1420</v>
      </c>
      <c r="AA800" s="12" t="s">
        <v>1414</v>
      </c>
      <c r="AB800" s="12" t="s">
        <v>1420</v>
      </c>
      <c r="AC800" s="12" t="s">
        <v>1420</v>
      </c>
      <c r="AD800" s="12" t="s">
        <v>1420</v>
      </c>
      <c r="AE800" s="12" t="s">
        <v>1420</v>
      </c>
      <c r="AF800" s="12" t="s">
        <v>1420</v>
      </c>
      <c r="AG800" s="12" t="s">
        <v>1420</v>
      </c>
    </row>
    <row r="801" spans="1:33" ht="15" customHeight="1" x14ac:dyDescent="0.3">
      <c r="A801" s="12" t="s">
        <v>25</v>
      </c>
      <c r="B801" s="12" t="s">
        <v>256</v>
      </c>
      <c r="C801" s="12" t="s">
        <v>255</v>
      </c>
      <c r="D801" s="12" t="s">
        <v>1410</v>
      </c>
      <c r="E801" s="12" t="s">
        <v>2085</v>
      </c>
      <c r="F801" s="12" t="s">
        <v>2086</v>
      </c>
      <c r="G801" s="12" t="s">
        <v>2087</v>
      </c>
      <c r="H801" s="12" t="s">
        <v>1464</v>
      </c>
      <c r="I801" s="12" t="s">
        <v>1420</v>
      </c>
      <c r="J801" s="12" t="s">
        <v>1420</v>
      </c>
      <c r="K801" s="12" t="s">
        <v>1420</v>
      </c>
      <c r="L801" s="12" t="s">
        <v>1420</v>
      </c>
      <c r="M801" s="12" t="s">
        <v>1420</v>
      </c>
      <c r="N801" s="12" t="s">
        <v>1420</v>
      </c>
      <c r="O801" s="12" t="s">
        <v>1420</v>
      </c>
      <c r="P801" s="12" t="s">
        <v>1420</v>
      </c>
      <c r="Q801" s="12" t="s">
        <v>1420</v>
      </c>
      <c r="R801" s="12" t="s">
        <v>1420</v>
      </c>
      <c r="S801" s="12" t="s">
        <v>1420</v>
      </c>
      <c r="T801" s="12" t="s">
        <v>1420</v>
      </c>
      <c r="U801" s="12" t="s">
        <v>1420</v>
      </c>
      <c r="V801" s="12" t="s">
        <v>1420</v>
      </c>
      <c r="W801" s="12" t="s">
        <v>1420</v>
      </c>
      <c r="X801" s="12" t="s">
        <v>1420</v>
      </c>
      <c r="Y801" s="12" t="s">
        <v>1420</v>
      </c>
      <c r="Z801" s="12" t="s">
        <v>1420</v>
      </c>
      <c r="AA801" s="12" t="s">
        <v>1420</v>
      </c>
      <c r="AB801" s="12" t="s">
        <v>1420</v>
      </c>
      <c r="AC801" s="12" t="s">
        <v>1420</v>
      </c>
      <c r="AD801" s="12" t="s">
        <v>1420</v>
      </c>
      <c r="AE801" s="12" t="s">
        <v>1420</v>
      </c>
      <c r="AF801" s="12" t="s">
        <v>1420</v>
      </c>
      <c r="AG801" s="12" t="s">
        <v>1420</v>
      </c>
    </row>
    <row r="802" spans="1:33" ht="15" customHeight="1" x14ac:dyDescent="0.3">
      <c r="A802" s="12" t="s">
        <v>49</v>
      </c>
      <c r="B802" s="12" t="s">
        <v>5999</v>
      </c>
      <c r="C802" s="12" t="s">
        <v>6000</v>
      </c>
      <c r="D802" s="12" t="s">
        <v>1410</v>
      </c>
      <c r="E802" s="12" t="s">
        <v>6001</v>
      </c>
      <c r="F802" s="12" t="s">
        <v>6002</v>
      </c>
      <c r="G802" s="12" t="s">
        <v>1413</v>
      </c>
      <c r="H802" s="12" t="s">
        <v>1843</v>
      </c>
      <c r="I802" s="12" t="s">
        <v>1420</v>
      </c>
      <c r="J802" s="12" t="s">
        <v>1420</v>
      </c>
      <c r="K802" s="12" t="s">
        <v>1420</v>
      </c>
      <c r="L802" s="12" t="s">
        <v>1420</v>
      </c>
      <c r="M802" s="12" t="s">
        <v>1420</v>
      </c>
      <c r="N802" s="12" t="s">
        <v>1420</v>
      </c>
      <c r="O802" s="12" t="s">
        <v>1420</v>
      </c>
      <c r="P802" s="12" t="s">
        <v>1420</v>
      </c>
      <c r="Q802" s="12" t="s">
        <v>1420</v>
      </c>
      <c r="R802" s="12" t="s">
        <v>1420</v>
      </c>
      <c r="S802" s="12" t="s">
        <v>1420</v>
      </c>
      <c r="T802" s="12" t="s">
        <v>1420</v>
      </c>
      <c r="U802" s="12" t="s">
        <v>1415</v>
      </c>
      <c r="V802" s="12" t="s">
        <v>1415</v>
      </c>
      <c r="W802" s="12" t="s">
        <v>1415</v>
      </c>
      <c r="X802" s="12" t="s">
        <v>1415</v>
      </c>
      <c r="Y802" s="12" t="s">
        <v>1415</v>
      </c>
      <c r="Z802" s="12" t="s">
        <v>1415</v>
      </c>
      <c r="AA802" s="12" t="s">
        <v>1415</v>
      </c>
      <c r="AB802" s="12" t="s">
        <v>1415</v>
      </c>
      <c r="AC802" s="12" t="s">
        <v>1415</v>
      </c>
      <c r="AD802" s="12" t="s">
        <v>1415</v>
      </c>
      <c r="AE802" s="12" t="s">
        <v>1415</v>
      </c>
      <c r="AF802" s="12" t="s">
        <v>1415</v>
      </c>
      <c r="AG802" s="12" t="s">
        <v>1415</v>
      </c>
    </row>
    <row r="803" spans="1:33" ht="15" customHeight="1" x14ac:dyDescent="0.3">
      <c r="A803" s="12" t="s">
        <v>19</v>
      </c>
      <c r="B803" s="12" t="s">
        <v>6003</v>
      </c>
      <c r="C803" s="12" t="s">
        <v>6004</v>
      </c>
      <c r="D803" s="12" t="s">
        <v>1410</v>
      </c>
      <c r="E803" s="12" t="s">
        <v>6005</v>
      </c>
      <c r="F803" s="12" t="s">
        <v>5899</v>
      </c>
      <c r="G803" s="12" t="s">
        <v>6006</v>
      </c>
      <c r="H803" s="12" t="s">
        <v>1452</v>
      </c>
      <c r="I803" s="12" t="s">
        <v>1420</v>
      </c>
      <c r="J803" s="12" t="s">
        <v>1420</v>
      </c>
      <c r="K803" s="12" t="s">
        <v>1420</v>
      </c>
      <c r="L803" s="12" t="s">
        <v>1420</v>
      </c>
      <c r="M803" s="12" t="s">
        <v>1420</v>
      </c>
      <c r="N803" s="12" t="s">
        <v>1420</v>
      </c>
      <c r="O803" s="12" t="s">
        <v>1420</v>
      </c>
      <c r="P803" s="12" t="s">
        <v>1420</v>
      </c>
      <c r="Q803" s="12" t="s">
        <v>1420</v>
      </c>
      <c r="R803" s="12" t="s">
        <v>1420</v>
      </c>
      <c r="S803" s="12" t="s">
        <v>1420</v>
      </c>
      <c r="T803" s="12" t="s">
        <v>1420</v>
      </c>
      <c r="U803" s="12" t="s">
        <v>1420</v>
      </c>
      <c r="V803" s="12" t="s">
        <v>1420</v>
      </c>
      <c r="W803" s="12" t="s">
        <v>1420</v>
      </c>
      <c r="X803" s="12" t="s">
        <v>1420</v>
      </c>
      <c r="Y803" s="12" t="s">
        <v>1420</v>
      </c>
      <c r="Z803" s="12" t="s">
        <v>1420</v>
      </c>
      <c r="AA803" s="12" t="s">
        <v>1420</v>
      </c>
      <c r="AB803" s="12" t="s">
        <v>1414</v>
      </c>
      <c r="AC803" s="12" t="s">
        <v>1420</v>
      </c>
      <c r="AD803" s="12" t="s">
        <v>1420</v>
      </c>
      <c r="AE803" s="12" t="s">
        <v>1420</v>
      </c>
      <c r="AF803" s="12" t="s">
        <v>1420</v>
      </c>
      <c r="AG803" s="12" t="s">
        <v>1420</v>
      </c>
    </row>
    <row r="804" spans="1:33" ht="15" customHeight="1" x14ac:dyDescent="0.3">
      <c r="A804" s="12" t="s">
        <v>8</v>
      </c>
      <c r="B804" s="12" t="s">
        <v>1015</v>
      </c>
      <c r="C804" s="12" t="s">
        <v>1014</v>
      </c>
      <c r="D804" s="12" t="s">
        <v>1410</v>
      </c>
      <c r="E804" s="12" t="s">
        <v>2679</v>
      </c>
      <c r="F804" s="12" t="s">
        <v>2680</v>
      </c>
      <c r="G804" s="12" t="s">
        <v>2044</v>
      </c>
      <c r="H804" s="12" t="s">
        <v>1424</v>
      </c>
      <c r="I804" s="12" t="s">
        <v>1420</v>
      </c>
      <c r="J804" s="12" t="s">
        <v>1414</v>
      </c>
      <c r="K804" s="12" t="s">
        <v>1420</v>
      </c>
      <c r="L804" s="12" t="s">
        <v>1420</v>
      </c>
      <c r="M804" s="12" t="s">
        <v>1420</v>
      </c>
      <c r="N804" s="12" t="s">
        <v>1420</v>
      </c>
      <c r="O804" s="12" t="s">
        <v>1420</v>
      </c>
      <c r="P804" s="12" t="s">
        <v>1420</v>
      </c>
      <c r="Q804" s="12" t="s">
        <v>1420</v>
      </c>
      <c r="R804" s="12" t="s">
        <v>1420</v>
      </c>
      <c r="S804" s="12" t="s">
        <v>1414</v>
      </c>
      <c r="T804" s="12" t="s">
        <v>1420</v>
      </c>
      <c r="U804" s="12" t="s">
        <v>1420</v>
      </c>
      <c r="V804" s="12" t="s">
        <v>1420</v>
      </c>
      <c r="W804" s="12" t="s">
        <v>1420</v>
      </c>
      <c r="X804" s="12" t="s">
        <v>1420</v>
      </c>
      <c r="Y804" s="12" t="s">
        <v>1420</v>
      </c>
      <c r="Z804" s="12" t="s">
        <v>1420</v>
      </c>
      <c r="AA804" s="12" t="s">
        <v>1420</v>
      </c>
      <c r="AB804" s="12" t="s">
        <v>1420</v>
      </c>
      <c r="AC804" s="12" t="s">
        <v>1420</v>
      </c>
      <c r="AD804" s="12" t="s">
        <v>1414</v>
      </c>
      <c r="AE804" s="12" t="s">
        <v>1420</v>
      </c>
      <c r="AF804" s="12" t="s">
        <v>1420</v>
      </c>
      <c r="AG804" s="12" t="s">
        <v>1420</v>
      </c>
    </row>
    <row r="805" spans="1:33" ht="15" customHeight="1" x14ac:dyDescent="0.3">
      <c r="A805" s="12" t="s">
        <v>28</v>
      </c>
      <c r="B805" s="12" t="s">
        <v>1282</v>
      </c>
      <c r="C805" s="12" t="s">
        <v>1281</v>
      </c>
      <c r="D805" s="12" t="s">
        <v>1410</v>
      </c>
      <c r="E805" s="12" t="s">
        <v>2486</v>
      </c>
      <c r="F805" s="12" t="s">
        <v>2492</v>
      </c>
      <c r="G805" s="12" t="s">
        <v>2493</v>
      </c>
      <c r="H805" s="12" t="s">
        <v>1419</v>
      </c>
      <c r="I805" s="12" t="s">
        <v>1420</v>
      </c>
      <c r="J805" s="12" t="s">
        <v>1420</v>
      </c>
      <c r="K805" s="12" t="s">
        <v>1420</v>
      </c>
      <c r="L805" s="12" t="s">
        <v>1420</v>
      </c>
      <c r="M805" s="12" t="s">
        <v>1420</v>
      </c>
      <c r="N805" s="12" t="s">
        <v>1420</v>
      </c>
      <c r="O805" s="12" t="s">
        <v>1420</v>
      </c>
      <c r="P805" s="12" t="s">
        <v>1420</v>
      </c>
      <c r="Q805" s="12" t="s">
        <v>1420</v>
      </c>
      <c r="R805" s="12" t="s">
        <v>1420</v>
      </c>
      <c r="S805" s="12" t="s">
        <v>1420</v>
      </c>
      <c r="T805" s="12" t="s">
        <v>1414</v>
      </c>
      <c r="U805" s="12" t="s">
        <v>1414</v>
      </c>
      <c r="V805" s="12" t="s">
        <v>1420</v>
      </c>
      <c r="W805" s="12" t="s">
        <v>1420</v>
      </c>
      <c r="X805" s="12" t="s">
        <v>1420</v>
      </c>
      <c r="Y805" s="12" t="s">
        <v>1420</v>
      </c>
      <c r="Z805" s="12" t="s">
        <v>1420</v>
      </c>
      <c r="AA805" s="12" t="s">
        <v>1420</v>
      </c>
      <c r="AB805" s="12" t="s">
        <v>1420</v>
      </c>
      <c r="AC805" s="12" t="s">
        <v>1420</v>
      </c>
      <c r="AD805" s="12" t="s">
        <v>1420</v>
      </c>
      <c r="AE805" s="12" t="s">
        <v>1420</v>
      </c>
      <c r="AF805" s="12" t="s">
        <v>1420</v>
      </c>
      <c r="AG805" s="12" t="s">
        <v>1420</v>
      </c>
    </row>
    <row r="806" spans="1:33" ht="15" customHeight="1" x14ac:dyDescent="0.3">
      <c r="A806" s="12" t="s">
        <v>8</v>
      </c>
      <c r="B806" s="12" t="s">
        <v>1017</v>
      </c>
      <c r="C806" s="12" t="s">
        <v>1016</v>
      </c>
      <c r="D806" s="12" t="s">
        <v>1410</v>
      </c>
      <c r="E806" s="12" t="s">
        <v>2400</v>
      </c>
      <c r="F806" s="12" t="s">
        <v>2401</v>
      </c>
      <c r="G806" s="12" t="s">
        <v>2402</v>
      </c>
      <c r="H806" s="12" t="s">
        <v>1419</v>
      </c>
      <c r="I806" s="12" t="s">
        <v>1420</v>
      </c>
      <c r="J806" s="12" t="s">
        <v>1414</v>
      </c>
      <c r="K806" s="12" t="s">
        <v>1420</v>
      </c>
      <c r="L806" s="12" t="s">
        <v>1420</v>
      </c>
      <c r="M806" s="12" t="s">
        <v>1420</v>
      </c>
      <c r="N806" s="12" t="s">
        <v>1414</v>
      </c>
      <c r="O806" s="12" t="s">
        <v>1420</v>
      </c>
      <c r="P806" s="12" t="s">
        <v>1420</v>
      </c>
      <c r="Q806" s="12" t="s">
        <v>1420</v>
      </c>
      <c r="R806" s="12" t="s">
        <v>1420</v>
      </c>
      <c r="S806" s="12" t="s">
        <v>1420</v>
      </c>
      <c r="T806" s="12" t="s">
        <v>1420</v>
      </c>
      <c r="U806" s="12" t="s">
        <v>1420</v>
      </c>
      <c r="V806" s="12" t="s">
        <v>1420</v>
      </c>
      <c r="W806" s="12" t="s">
        <v>1420</v>
      </c>
      <c r="X806" s="12" t="s">
        <v>1420</v>
      </c>
      <c r="Y806" s="12" t="s">
        <v>1420</v>
      </c>
      <c r="Z806" s="12" t="s">
        <v>1420</v>
      </c>
      <c r="AA806" s="12" t="s">
        <v>1420</v>
      </c>
      <c r="AB806" s="12" t="s">
        <v>1420</v>
      </c>
      <c r="AC806" s="12" t="s">
        <v>1420</v>
      </c>
      <c r="AD806" s="12" t="s">
        <v>1420</v>
      </c>
      <c r="AE806" s="12" t="s">
        <v>1420</v>
      </c>
      <c r="AF806" s="12" t="s">
        <v>1420</v>
      </c>
      <c r="AG806" s="12" t="s">
        <v>1420</v>
      </c>
    </row>
    <row r="807" spans="1:33" ht="15" customHeight="1" x14ac:dyDescent="0.3">
      <c r="A807" s="12" t="s">
        <v>8</v>
      </c>
      <c r="B807" s="12" t="s">
        <v>688</v>
      </c>
      <c r="C807" s="12" t="s">
        <v>687</v>
      </c>
      <c r="D807" s="12" t="s">
        <v>1410</v>
      </c>
      <c r="E807" s="12" t="s">
        <v>1602</v>
      </c>
      <c r="F807" s="12" t="s">
        <v>1592</v>
      </c>
      <c r="G807" s="12" t="s">
        <v>1605</v>
      </c>
      <c r="H807" s="12" t="s">
        <v>1606</v>
      </c>
      <c r="I807" s="12" t="s">
        <v>1420</v>
      </c>
      <c r="J807" s="12" t="s">
        <v>1420</v>
      </c>
      <c r="K807" s="12" t="s">
        <v>1420</v>
      </c>
      <c r="L807" s="12" t="s">
        <v>1420</v>
      </c>
      <c r="M807" s="12" t="s">
        <v>1420</v>
      </c>
      <c r="N807" s="12" t="s">
        <v>1420</v>
      </c>
      <c r="O807" s="12" t="s">
        <v>1420</v>
      </c>
      <c r="P807" s="12" t="s">
        <v>1414</v>
      </c>
      <c r="Q807" s="12" t="s">
        <v>1420</v>
      </c>
      <c r="R807" s="12" t="s">
        <v>1420</v>
      </c>
      <c r="S807" s="12" t="s">
        <v>1414</v>
      </c>
      <c r="T807" s="12" t="s">
        <v>1420</v>
      </c>
      <c r="U807" s="12" t="s">
        <v>1420</v>
      </c>
      <c r="V807" s="12" t="s">
        <v>1420</v>
      </c>
      <c r="W807" s="12" t="s">
        <v>1420</v>
      </c>
      <c r="X807" s="12" t="s">
        <v>1414</v>
      </c>
      <c r="Y807" s="12" t="s">
        <v>1420</v>
      </c>
      <c r="Z807" s="12" t="s">
        <v>1420</v>
      </c>
      <c r="AA807" s="12" t="s">
        <v>1414</v>
      </c>
      <c r="AB807" s="12" t="s">
        <v>1414</v>
      </c>
      <c r="AC807" s="12" t="s">
        <v>1414</v>
      </c>
      <c r="AD807" s="12" t="s">
        <v>1414</v>
      </c>
      <c r="AE807" s="12" t="s">
        <v>1414</v>
      </c>
      <c r="AF807" s="12" t="s">
        <v>1420</v>
      </c>
      <c r="AG807" s="12" t="s">
        <v>1420</v>
      </c>
    </row>
    <row r="808" spans="1:33" ht="15" customHeight="1" x14ac:dyDescent="0.3">
      <c r="A808" s="12" t="s">
        <v>8</v>
      </c>
      <c r="B808" s="12" t="s">
        <v>688</v>
      </c>
      <c r="C808" s="12" t="s">
        <v>687</v>
      </c>
      <c r="D808" s="12" t="s">
        <v>1410</v>
      </c>
      <c r="E808" s="12" t="s">
        <v>6007</v>
      </c>
      <c r="F808" s="12" t="s">
        <v>6008</v>
      </c>
      <c r="G808" s="12" t="s">
        <v>4914</v>
      </c>
      <c r="H808" s="12" t="s">
        <v>1419</v>
      </c>
      <c r="I808" s="12" t="s">
        <v>1420</v>
      </c>
      <c r="J808" s="12" t="s">
        <v>1420</v>
      </c>
      <c r="K808" s="12" t="s">
        <v>1420</v>
      </c>
      <c r="L808" s="12" t="s">
        <v>1420</v>
      </c>
      <c r="M808" s="12" t="s">
        <v>1420</v>
      </c>
      <c r="N808" s="12" t="s">
        <v>1420</v>
      </c>
      <c r="O808" s="12" t="s">
        <v>1420</v>
      </c>
      <c r="P808" s="12" t="s">
        <v>1420</v>
      </c>
      <c r="Q808" s="12" t="s">
        <v>1420</v>
      </c>
      <c r="R808" s="12" t="s">
        <v>1420</v>
      </c>
      <c r="S808" s="12" t="s">
        <v>1420</v>
      </c>
      <c r="T808" s="12" t="s">
        <v>1420</v>
      </c>
      <c r="U808" s="12" t="s">
        <v>1420</v>
      </c>
      <c r="V808" s="12" t="s">
        <v>1420</v>
      </c>
      <c r="W808" s="12" t="s">
        <v>1420</v>
      </c>
      <c r="X808" s="12" t="s">
        <v>1414</v>
      </c>
      <c r="Y808" s="12" t="s">
        <v>1420</v>
      </c>
      <c r="Z808" s="12" t="s">
        <v>1420</v>
      </c>
      <c r="AA808" s="12" t="s">
        <v>1414</v>
      </c>
      <c r="AB808" s="12" t="s">
        <v>1420</v>
      </c>
      <c r="AC808" s="12" t="s">
        <v>1420</v>
      </c>
      <c r="AD808" s="12" t="s">
        <v>1420</v>
      </c>
      <c r="AE808" s="12" t="s">
        <v>1420</v>
      </c>
      <c r="AF808" s="12" t="s">
        <v>1420</v>
      </c>
      <c r="AG808" s="12" t="s">
        <v>1420</v>
      </c>
    </row>
    <row r="809" spans="1:33" ht="15" customHeight="1" x14ac:dyDescent="0.3">
      <c r="A809" s="12" t="s">
        <v>123</v>
      </c>
      <c r="B809" s="12" t="s">
        <v>690</v>
      </c>
      <c r="C809" s="12" t="s">
        <v>689</v>
      </c>
      <c r="D809" s="12" t="s">
        <v>1410</v>
      </c>
      <c r="E809" s="12" t="s">
        <v>1578</v>
      </c>
      <c r="F809" s="12" t="s">
        <v>1594</v>
      </c>
      <c r="G809" s="12" t="s">
        <v>1595</v>
      </c>
      <c r="H809" s="12" t="s">
        <v>1452</v>
      </c>
      <c r="I809" s="12" t="s">
        <v>1420</v>
      </c>
      <c r="J809" s="12" t="s">
        <v>1414</v>
      </c>
      <c r="K809" s="12" t="s">
        <v>1420</v>
      </c>
      <c r="L809" s="12" t="s">
        <v>1420</v>
      </c>
      <c r="M809" s="12" t="s">
        <v>1420</v>
      </c>
      <c r="N809" s="12" t="s">
        <v>1420</v>
      </c>
      <c r="O809" s="12" t="s">
        <v>1420</v>
      </c>
      <c r="P809" s="12" t="s">
        <v>1420</v>
      </c>
      <c r="Q809" s="12" t="s">
        <v>1420</v>
      </c>
      <c r="R809" s="12" t="s">
        <v>1420</v>
      </c>
      <c r="S809" s="12" t="s">
        <v>1420</v>
      </c>
      <c r="T809" s="12" t="s">
        <v>1420</v>
      </c>
      <c r="U809" s="12" t="s">
        <v>1420</v>
      </c>
      <c r="V809" s="12" t="s">
        <v>1420</v>
      </c>
      <c r="W809" s="12" t="s">
        <v>1420</v>
      </c>
      <c r="X809" s="12" t="s">
        <v>1420</v>
      </c>
      <c r="Y809" s="12" t="s">
        <v>1420</v>
      </c>
      <c r="Z809" s="12" t="s">
        <v>1420</v>
      </c>
      <c r="AA809" s="12" t="s">
        <v>1420</v>
      </c>
      <c r="AB809" s="12" t="s">
        <v>1420</v>
      </c>
      <c r="AC809" s="12" t="s">
        <v>1420</v>
      </c>
      <c r="AD809" s="12" t="s">
        <v>1420</v>
      </c>
      <c r="AE809" s="12" t="s">
        <v>1420</v>
      </c>
      <c r="AF809" s="12" t="s">
        <v>1420</v>
      </c>
      <c r="AG809" s="12" t="s">
        <v>1420</v>
      </c>
    </row>
    <row r="810" spans="1:33" ht="15" customHeight="1" x14ac:dyDescent="0.3">
      <c r="A810" s="12" t="s">
        <v>1020</v>
      </c>
      <c r="B810" s="12" t="s">
        <v>1019</v>
      </c>
      <c r="C810" s="12" t="s">
        <v>1018</v>
      </c>
      <c r="D810" s="12" t="s">
        <v>1410</v>
      </c>
      <c r="E810" s="12" t="s">
        <v>2309</v>
      </c>
      <c r="F810" s="12" t="s">
        <v>2310</v>
      </c>
      <c r="G810" s="12" t="s">
        <v>2311</v>
      </c>
      <c r="H810" s="12" t="s">
        <v>1464</v>
      </c>
      <c r="I810" s="12" t="s">
        <v>1420</v>
      </c>
      <c r="J810" s="12" t="s">
        <v>1420</v>
      </c>
      <c r="K810" s="12" t="s">
        <v>1420</v>
      </c>
      <c r="L810" s="12" t="s">
        <v>1420</v>
      </c>
      <c r="M810" s="12" t="s">
        <v>1420</v>
      </c>
      <c r="N810" s="12" t="s">
        <v>1420</v>
      </c>
      <c r="O810" s="12" t="s">
        <v>1420</v>
      </c>
      <c r="P810" s="12" t="s">
        <v>1420</v>
      </c>
      <c r="Q810" s="12" t="s">
        <v>1420</v>
      </c>
      <c r="R810" s="12" t="s">
        <v>1420</v>
      </c>
      <c r="S810" s="12" t="s">
        <v>1420</v>
      </c>
      <c r="T810" s="12" t="s">
        <v>1420</v>
      </c>
      <c r="U810" s="12" t="s">
        <v>1420</v>
      </c>
      <c r="V810" s="12" t="s">
        <v>1420</v>
      </c>
      <c r="W810" s="12" t="s">
        <v>1420</v>
      </c>
      <c r="X810" s="12" t="s">
        <v>1420</v>
      </c>
      <c r="Y810" s="12" t="s">
        <v>1420</v>
      </c>
      <c r="Z810" s="12" t="s">
        <v>1420</v>
      </c>
      <c r="AA810" s="12" t="s">
        <v>1420</v>
      </c>
      <c r="AB810" s="12" t="s">
        <v>1420</v>
      </c>
      <c r="AC810" s="12" t="s">
        <v>1420</v>
      </c>
      <c r="AD810" s="12" t="s">
        <v>1420</v>
      </c>
      <c r="AE810" s="12" t="s">
        <v>1420</v>
      </c>
      <c r="AF810" s="12" t="s">
        <v>1420</v>
      </c>
      <c r="AG810" s="12" t="s">
        <v>1420</v>
      </c>
    </row>
    <row r="811" spans="1:33" ht="15" customHeight="1" x14ac:dyDescent="0.3">
      <c r="A811" s="12" t="s">
        <v>19</v>
      </c>
      <c r="B811" s="12" t="s">
        <v>1022</v>
      </c>
      <c r="C811" s="12" t="s">
        <v>1021</v>
      </c>
      <c r="D811" s="12" t="s">
        <v>1410</v>
      </c>
      <c r="E811" s="12" t="s">
        <v>2804</v>
      </c>
      <c r="F811" s="12" t="s">
        <v>2805</v>
      </c>
      <c r="G811" s="12" t="s">
        <v>2806</v>
      </c>
      <c r="H811" s="12" t="s">
        <v>1464</v>
      </c>
      <c r="I811" s="12" t="s">
        <v>1420</v>
      </c>
      <c r="J811" s="12" t="s">
        <v>1420</v>
      </c>
      <c r="K811" s="12" t="s">
        <v>1420</v>
      </c>
      <c r="L811" s="12" t="s">
        <v>1420</v>
      </c>
      <c r="M811" s="12" t="s">
        <v>1420</v>
      </c>
      <c r="N811" s="12" t="s">
        <v>1420</v>
      </c>
      <c r="O811" s="12" t="s">
        <v>1420</v>
      </c>
      <c r="P811" s="12" t="s">
        <v>1420</v>
      </c>
      <c r="Q811" s="12" t="s">
        <v>1420</v>
      </c>
      <c r="R811" s="12" t="s">
        <v>1420</v>
      </c>
      <c r="S811" s="12" t="s">
        <v>1420</v>
      </c>
      <c r="T811" s="12" t="s">
        <v>1420</v>
      </c>
      <c r="U811" s="12" t="s">
        <v>1420</v>
      </c>
      <c r="V811" s="12" t="s">
        <v>1420</v>
      </c>
      <c r="W811" s="12" t="s">
        <v>1420</v>
      </c>
      <c r="X811" s="12" t="s">
        <v>1420</v>
      </c>
      <c r="Y811" s="12" t="s">
        <v>1420</v>
      </c>
      <c r="Z811" s="12" t="s">
        <v>1420</v>
      </c>
      <c r="AA811" s="12" t="s">
        <v>1420</v>
      </c>
      <c r="AB811" s="12" t="s">
        <v>1420</v>
      </c>
      <c r="AC811" s="12" t="s">
        <v>1420</v>
      </c>
      <c r="AD811" s="12" t="s">
        <v>1420</v>
      </c>
      <c r="AE811" s="12" t="s">
        <v>1420</v>
      </c>
      <c r="AF811" s="12" t="s">
        <v>1420</v>
      </c>
      <c r="AG811" s="12" t="s">
        <v>1420</v>
      </c>
    </row>
    <row r="812" spans="1:33" ht="15" customHeight="1" x14ac:dyDescent="0.3">
      <c r="A812" s="12" t="s">
        <v>1020</v>
      </c>
      <c r="B812" s="12" t="s">
        <v>6009</v>
      </c>
      <c r="C812" s="12" t="s">
        <v>691</v>
      </c>
      <c r="D812" s="12" t="s">
        <v>1410</v>
      </c>
      <c r="E812" s="12" t="s">
        <v>1626</v>
      </c>
      <c r="F812" s="12" t="s">
        <v>1628</v>
      </c>
      <c r="G812" s="12" t="s">
        <v>1629</v>
      </c>
      <c r="H812" s="12" t="s">
        <v>1424</v>
      </c>
      <c r="I812" s="12" t="s">
        <v>1420</v>
      </c>
      <c r="J812" s="12" t="s">
        <v>1420</v>
      </c>
      <c r="K812" s="12" t="s">
        <v>1420</v>
      </c>
      <c r="L812" s="12" t="s">
        <v>1420</v>
      </c>
      <c r="M812" s="12" t="s">
        <v>1420</v>
      </c>
      <c r="N812" s="12" t="s">
        <v>1420</v>
      </c>
      <c r="O812" s="12" t="s">
        <v>1420</v>
      </c>
      <c r="P812" s="12" t="s">
        <v>1420</v>
      </c>
      <c r="Q812" s="12" t="s">
        <v>1420</v>
      </c>
      <c r="R812" s="12" t="s">
        <v>1420</v>
      </c>
      <c r="S812" s="12" t="s">
        <v>1420</v>
      </c>
      <c r="T812" s="12" t="s">
        <v>1420</v>
      </c>
      <c r="U812" s="12" t="s">
        <v>1420</v>
      </c>
      <c r="V812" s="12" t="s">
        <v>1420</v>
      </c>
      <c r="W812" s="12" t="s">
        <v>1420</v>
      </c>
      <c r="X812" s="12" t="s">
        <v>1420</v>
      </c>
      <c r="Y812" s="12" t="s">
        <v>1420</v>
      </c>
      <c r="Z812" s="12" t="s">
        <v>1420</v>
      </c>
      <c r="AA812" s="12" t="s">
        <v>1420</v>
      </c>
      <c r="AB812" s="12" t="s">
        <v>1414</v>
      </c>
      <c r="AC812" s="12" t="s">
        <v>1420</v>
      </c>
      <c r="AD812" s="12" t="s">
        <v>1414</v>
      </c>
      <c r="AE812" s="12" t="s">
        <v>1414</v>
      </c>
      <c r="AF812" s="12" t="s">
        <v>1420</v>
      </c>
      <c r="AG812" s="12" t="s">
        <v>1420</v>
      </c>
    </row>
    <row r="813" spans="1:33" ht="15" customHeight="1" x14ac:dyDescent="0.3">
      <c r="A813" s="12" t="s">
        <v>133</v>
      </c>
      <c r="B813" s="12" t="s">
        <v>1024</v>
      </c>
      <c r="C813" s="12" t="s">
        <v>1023</v>
      </c>
      <c r="D813" s="12" t="s">
        <v>1410</v>
      </c>
      <c r="E813" s="12" t="s">
        <v>2314</v>
      </c>
      <c r="F813" s="12" t="s">
        <v>2315</v>
      </c>
      <c r="G813" s="12" t="s">
        <v>2316</v>
      </c>
      <c r="H813" s="12" t="s">
        <v>1464</v>
      </c>
      <c r="I813" s="12" t="s">
        <v>1420</v>
      </c>
      <c r="J813" s="12" t="s">
        <v>1420</v>
      </c>
      <c r="K813" s="12" t="s">
        <v>1420</v>
      </c>
      <c r="L813" s="12" t="s">
        <v>1420</v>
      </c>
      <c r="M813" s="12" t="s">
        <v>1420</v>
      </c>
      <c r="N813" s="12" t="s">
        <v>1420</v>
      </c>
      <c r="O813" s="12" t="s">
        <v>1420</v>
      </c>
      <c r="P813" s="12" t="s">
        <v>1420</v>
      </c>
      <c r="Q813" s="12" t="s">
        <v>1420</v>
      </c>
      <c r="R813" s="12" t="s">
        <v>1420</v>
      </c>
      <c r="S813" s="12" t="s">
        <v>1420</v>
      </c>
      <c r="T813" s="12" t="s">
        <v>1420</v>
      </c>
      <c r="U813" s="12" t="s">
        <v>1420</v>
      </c>
      <c r="V813" s="12" t="s">
        <v>1420</v>
      </c>
      <c r="W813" s="12" t="s">
        <v>1420</v>
      </c>
      <c r="X813" s="12" t="s">
        <v>1420</v>
      </c>
      <c r="Y813" s="12" t="s">
        <v>1420</v>
      </c>
      <c r="Z813" s="12" t="s">
        <v>1420</v>
      </c>
      <c r="AA813" s="12" t="s">
        <v>1420</v>
      </c>
      <c r="AB813" s="12" t="s">
        <v>1420</v>
      </c>
      <c r="AC813" s="12" t="s">
        <v>1420</v>
      </c>
      <c r="AD813" s="12" t="s">
        <v>1420</v>
      </c>
      <c r="AE813" s="12" t="s">
        <v>1420</v>
      </c>
      <c r="AF813" s="12" t="s">
        <v>1420</v>
      </c>
      <c r="AG813" s="12" t="s">
        <v>1420</v>
      </c>
    </row>
    <row r="814" spans="1:33" ht="15" customHeight="1" x14ac:dyDescent="0.3">
      <c r="A814" s="12" t="s">
        <v>55</v>
      </c>
      <c r="B814" s="12" t="s">
        <v>1024</v>
      </c>
      <c r="C814" s="12" t="s">
        <v>1025</v>
      </c>
      <c r="D814" s="12" t="s">
        <v>1410</v>
      </c>
      <c r="E814" s="12" t="s">
        <v>2922</v>
      </c>
      <c r="F814" s="12" t="s">
        <v>2923</v>
      </c>
      <c r="G814" s="12" t="s">
        <v>2924</v>
      </c>
      <c r="H814" s="12" t="s">
        <v>1438</v>
      </c>
      <c r="I814" s="12" t="s">
        <v>1420</v>
      </c>
      <c r="J814" s="12" t="s">
        <v>1420</v>
      </c>
      <c r="K814" s="12" t="s">
        <v>1420</v>
      </c>
      <c r="L814" s="12" t="s">
        <v>1420</v>
      </c>
      <c r="M814" s="12" t="s">
        <v>1420</v>
      </c>
      <c r="N814" s="12" t="s">
        <v>1414</v>
      </c>
      <c r="O814" s="12" t="s">
        <v>1420</v>
      </c>
      <c r="P814" s="12" t="s">
        <v>1420</v>
      </c>
      <c r="Q814" s="12" t="s">
        <v>1420</v>
      </c>
      <c r="R814" s="12" t="s">
        <v>1420</v>
      </c>
      <c r="S814" s="12" t="s">
        <v>1414</v>
      </c>
      <c r="T814" s="12" t="s">
        <v>1420</v>
      </c>
      <c r="U814" s="12" t="s">
        <v>1420</v>
      </c>
      <c r="V814" s="12" t="s">
        <v>1420</v>
      </c>
      <c r="W814" s="12" t="s">
        <v>1420</v>
      </c>
      <c r="X814" s="12" t="s">
        <v>1414</v>
      </c>
      <c r="Y814" s="12" t="s">
        <v>1420</v>
      </c>
      <c r="Z814" s="12" t="s">
        <v>1420</v>
      </c>
      <c r="AA814" s="12" t="s">
        <v>1420</v>
      </c>
      <c r="AB814" s="12" t="s">
        <v>1420</v>
      </c>
      <c r="AC814" s="12" t="s">
        <v>1414</v>
      </c>
      <c r="AD814" s="12" t="s">
        <v>1414</v>
      </c>
      <c r="AE814" s="12" t="s">
        <v>1420</v>
      </c>
      <c r="AF814" s="12" t="s">
        <v>1420</v>
      </c>
      <c r="AG814" s="12" t="s">
        <v>1414</v>
      </c>
    </row>
    <row r="815" spans="1:33" ht="15" customHeight="1" x14ac:dyDescent="0.3">
      <c r="A815" s="12" t="s">
        <v>123</v>
      </c>
      <c r="B815" s="12" t="s">
        <v>1377</v>
      </c>
      <c r="C815" s="12" t="s">
        <v>1376</v>
      </c>
      <c r="D815" s="12" t="s">
        <v>1410</v>
      </c>
      <c r="E815" s="12" t="s">
        <v>1896</v>
      </c>
      <c r="F815" s="12" t="s">
        <v>1897</v>
      </c>
      <c r="G815" s="12" t="s">
        <v>1898</v>
      </c>
      <c r="H815" s="12" t="s">
        <v>1419</v>
      </c>
      <c r="I815" s="12" t="s">
        <v>1420</v>
      </c>
      <c r="J815" s="12" t="s">
        <v>1420</v>
      </c>
      <c r="K815" s="12" t="s">
        <v>1420</v>
      </c>
      <c r="L815" s="12" t="s">
        <v>1420</v>
      </c>
      <c r="M815" s="12" t="s">
        <v>1420</v>
      </c>
      <c r="N815" s="12" t="s">
        <v>1420</v>
      </c>
      <c r="O815" s="12" t="s">
        <v>1420</v>
      </c>
      <c r="P815" s="12" t="s">
        <v>1420</v>
      </c>
      <c r="Q815" s="12" t="s">
        <v>1420</v>
      </c>
      <c r="R815" s="12" t="s">
        <v>1420</v>
      </c>
      <c r="S815" s="12" t="s">
        <v>1420</v>
      </c>
      <c r="T815" s="12" t="s">
        <v>1420</v>
      </c>
      <c r="U815" s="12" t="s">
        <v>1420</v>
      </c>
      <c r="V815" s="12" t="s">
        <v>1420</v>
      </c>
      <c r="W815" s="12" t="s">
        <v>1420</v>
      </c>
      <c r="X815" s="12" t="s">
        <v>1414</v>
      </c>
      <c r="Y815" s="12" t="s">
        <v>1420</v>
      </c>
      <c r="Z815" s="12" t="s">
        <v>1420</v>
      </c>
      <c r="AA815" s="12" t="s">
        <v>1420</v>
      </c>
      <c r="AB815" s="12" t="s">
        <v>1420</v>
      </c>
      <c r="AC815" s="12" t="s">
        <v>1420</v>
      </c>
      <c r="AD815" s="12" t="s">
        <v>1420</v>
      </c>
      <c r="AE815" s="12" t="s">
        <v>1420</v>
      </c>
      <c r="AF815" s="12" t="s">
        <v>1414</v>
      </c>
      <c r="AG815" s="12" t="s">
        <v>1420</v>
      </c>
    </row>
    <row r="816" spans="1:33" ht="15" customHeight="1" x14ac:dyDescent="0.3">
      <c r="A816" s="12" t="s">
        <v>8</v>
      </c>
      <c r="B816" s="12" t="s">
        <v>1027</v>
      </c>
      <c r="C816" s="12" t="s">
        <v>1026</v>
      </c>
      <c r="D816" s="12" t="s">
        <v>1410</v>
      </c>
      <c r="E816" s="12" t="s">
        <v>2584</v>
      </c>
      <c r="F816" s="12" t="s">
        <v>2585</v>
      </c>
      <c r="G816" s="12" t="s">
        <v>2586</v>
      </c>
      <c r="H816" s="12" t="s">
        <v>1488</v>
      </c>
      <c r="I816" s="12" t="s">
        <v>1420</v>
      </c>
      <c r="J816" s="12" t="s">
        <v>1420</v>
      </c>
      <c r="K816" s="12" t="s">
        <v>1420</v>
      </c>
      <c r="L816" s="12" t="s">
        <v>1420</v>
      </c>
      <c r="M816" s="12" t="s">
        <v>1420</v>
      </c>
      <c r="N816" s="12" t="s">
        <v>1414</v>
      </c>
      <c r="O816" s="12" t="s">
        <v>1420</v>
      </c>
      <c r="P816" s="12" t="s">
        <v>1420</v>
      </c>
      <c r="Q816" s="12" t="s">
        <v>1420</v>
      </c>
      <c r="R816" s="12" t="s">
        <v>1420</v>
      </c>
      <c r="S816" s="12" t="s">
        <v>1414</v>
      </c>
      <c r="T816" s="12" t="s">
        <v>1420</v>
      </c>
      <c r="U816" s="12" t="s">
        <v>1420</v>
      </c>
      <c r="V816" s="12" t="s">
        <v>1420</v>
      </c>
      <c r="W816" s="12" t="s">
        <v>1420</v>
      </c>
      <c r="X816" s="12" t="s">
        <v>1420</v>
      </c>
      <c r="Y816" s="12" t="s">
        <v>1420</v>
      </c>
      <c r="Z816" s="12" t="s">
        <v>1420</v>
      </c>
      <c r="AA816" s="12" t="s">
        <v>1420</v>
      </c>
      <c r="AB816" s="12" t="s">
        <v>1420</v>
      </c>
      <c r="AC816" s="12" t="s">
        <v>1420</v>
      </c>
      <c r="AD816" s="12" t="s">
        <v>1414</v>
      </c>
      <c r="AE816" s="12" t="s">
        <v>1414</v>
      </c>
      <c r="AF816" s="12" t="s">
        <v>1420</v>
      </c>
      <c r="AG816" s="12" t="s">
        <v>1420</v>
      </c>
    </row>
    <row r="817" spans="1:33" ht="15" customHeight="1" x14ac:dyDescent="0.3">
      <c r="A817" s="12" t="s">
        <v>939</v>
      </c>
      <c r="B817" s="12" t="s">
        <v>1136</v>
      </c>
      <c r="C817" s="12" t="s">
        <v>1135</v>
      </c>
      <c r="D817" s="12" t="s">
        <v>1410</v>
      </c>
      <c r="E817" s="12" t="s">
        <v>2397</v>
      </c>
      <c r="F817" s="12" t="s">
        <v>2398</v>
      </c>
      <c r="G817" s="12" t="s">
        <v>2399</v>
      </c>
      <c r="H817" s="12" t="s">
        <v>1424</v>
      </c>
      <c r="I817" s="12" t="s">
        <v>1420</v>
      </c>
      <c r="J817" s="12" t="s">
        <v>1420</v>
      </c>
      <c r="K817" s="12" t="s">
        <v>1420</v>
      </c>
      <c r="L817" s="12" t="s">
        <v>1420</v>
      </c>
      <c r="M817" s="12" t="s">
        <v>1420</v>
      </c>
      <c r="N817" s="12" t="s">
        <v>1414</v>
      </c>
      <c r="O817" s="12" t="s">
        <v>1420</v>
      </c>
      <c r="P817" s="12" t="s">
        <v>1414</v>
      </c>
      <c r="Q817" s="12" t="s">
        <v>1420</v>
      </c>
      <c r="R817" s="12" t="s">
        <v>1414</v>
      </c>
      <c r="S817" s="12" t="s">
        <v>1420</v>
      </c>
      <c r="T817" s="12" t="s">
        <v>1420</v>
      </c>
      <c r="U817" s="12" t="s">
        <v>1420</v>
      </c>
      <c r="V817" s="12" t="s">
        <v>1420</v>
      </c>
      <c r="W817" s="12" t="s">
        <v>1420</v>
      </c>
      <c r="X817" s="12" t="s">
        <v>1420</v>
      </c>
      <c r="Y817" s="12" t="s">
        <v>1420</v>
      </c>
      <c r="Z817" s="12" t="s">
        <v>1420</v>
      </c>
      <c r="AA817" s="12" t="s">
        <v>1420</v>
      </c>
      <c r="AB817" s="12" t="s">
        <v>1420</v>
      </c>
      <c r="AC817" s="12" t="s">
        <v>1420</v>
      </c>
      <c r="AD817" s="12" t="s">
        <v>1420</v>
      </c>
      <c r="AE817" s="12" t="s">
        <v>1420</v>
      </c>
      <c r="AF817" s="12" t="s">
        <v>1420</v>
      </c>
      <c r="AG817" s="12" t="s">
        <v>1420</v>
      </c>
    </row>
    <row r="818" spans="1:33" ht="15" customHeight="1" x14ac:dyDescent="0.3">
      <c r="A818" s="12" t="s">
        <v>8</v>
      </c>
      <c r="B818" s="12" t="s">
        <v>693</v>
      </c>
      <c r="C818" s="12" t="s">
        <v>692</v>
      </c>
      <c r="D818" s="12" t="s">
        <v>1410</v>
      </c>
      <c r="E818" s="12" t="s">
        <v>1582</v>
      </c>
      <c r="F818" s="12" t="s">
        <v>1583</v>
      </c>
      <c r="G818" s="12" t="s">
        <v>1584</v>
      </c>
      <c r="H818" s="12" t="s">
        <v>1419</v>
      </c>
      <c r="I818" s="12" t="s">
        <v>1420</v>
      </c>
      <c r="J818" s="12" t="s">
        <v>1420</v>
      </c>
      <c r="K818" s="12" t="s">
        <v>1420</v>
      </c>
      <c r="L818" s="12" t="s">
        <v>1414</v>
      </c>
      <c r="M818" s="12" t="s">
        <v>1420</v>
      </c>
      <c r="N818" s="12" t="s">
        <v>1420</v>
      </c>
      <c r="O818" s="12" t="s">
        <v>1420</v>
      </c>
      <c r="P818" s="12" t="s">
        <v>1420</v>
      </c>
      <c r="Q818" s="12" t="s">
        <v>1420</v>
      </c>
      <c r="R818" s="12" t="s">
        <v>1420</v>
      </c>
      <c r="S818" s="12" t="s">
        <v>1414</v>
      </c>
      <c r="T818" s="12" t="s">
        <v>1420</v>
      </c>
      <c r="U818" s="12" t="s">
        <v>1420</v>
      </c>
      <c r="V818" s="12" t="s">
        <v>1420</v>
      </c>
      <c r="W818" s="12" t="s">
        <v>1420</v>
      </c>
      <c r="X818" s="12" t="s">
        <v>1420</v>
      </c>
      <c r="Y818" s="12" t="s">
        <v>1420</v>
      </c>
      <c r="Z818" s="12" t="s">
        <v>1420</v>
      </c>
      <c r="AA818" s="12" t="s">
        <v>1420</v>
      </c>
      <c r="AB818" s="12" t="s">
        <v>1420</v>
      </c>
      <c r="AC818" s="12" t="s">
        <v>1420</v>
      </c>
      <c r="AD818" s="12" t="s">
        <v>1420</v>
      </c>
      <c r="AE818" s="12" t="s">
        <v>1420</v>
      </c>
      <c r="AF818" s="12" t="s">
        <v>1420</v>
      </c>
      <c r="AG818" s="12" t="s">
        <v>1420</v>
      </c>
    </row>
    <row r="819" spans="1:33" ht="15" customHeight="1" x14ac:dyDescent="0.3">
      <c r="A819" s="12" t="s">
        <v>22</v>
      </c>
      <c r="B819" s="12" t="s">
        <v>416</v>
      </c>
      <c r="C819" s="12" t="s">
        <v>415</v>
      </c>
      <c r="D819" s="12" t="s">
        <v>1410</v>
      </c>
      <c r="E819" s="12" t="s">
        <v>1819</v>
      </c>
      <c r="F819" s="12" t="s">
        <v>1820</v>
      </c>
      <c r="G819" s="12" t="s">
        <v>1754</v>
      </c>
      <c r="H819" s="12" t="s">
        <v>1424</v>
      </c>
      <c r="I819" s="12" t="s">
        <v>1420</v>
      </c>
      <c r="J819" s="12" t="s">
        <v>1414</v>
      </c>
      <c r="K819" s="12" t="s">
        <v>1420</v>
      </c>
      <c r="L819" s="12" t="s">
        <v>1420</v>
      </c>
      <c r="M819" s="12" t="s">
        <v>1420</v>
      </c>
      <c r="N819" s="12" t="s">
        <v>1414</v>
      </c>
      <c r="O819" s="12" t="s">
        <v>1420</v>
      </c>
      <c r="P819" s="12" t="s">
        <v>1420</v>
      </c>
      <c r="Q819" s="12" t="s">
        <v>1420</v>
      </c>
      <c r="R819" s="12" t="s">
        <v>1420</v>
      </c>
      <c r="S819" s="12" t="s">
        <v>1420</v>
      </c>
      <c r="T819" s="12" t="s">
        <v>1420</v>
      </c>
      <c r="U819" s="12" t="s">
        <v>1420</v>
      </c>
      <c r="V819" s="12" t="s">
        <v>1420</v>
      </c>
      <c r="W819" s="12" t="s">
        <v>1420</v>
      </c>
      <c r="X819" s="12" t="s">
        <v>1420</v>
      </c>
      <c r="Y819" s="12" t="s">
        <v>1420</v>
      </c>
      <c r="Z819" s="12" t="s">
        <v>1420</v>
      </c>
      <c r="AA819" s="12" t="s">
        <v>1420</v>
      </c>
      <c r="AB819" s="12" t="s">
        <v>1420</v>
      </c>
      <c r="AC819" s="12" t="s">
        <v>1420</v>
      </c>
      <c r="AD819" s="12" t="s">
        <v>1414</v>
      </c>
      <c r="AE819" s="12" t="s">
        <v>1420</v>
      </c>
      <c r="AF819" s="12" t="s">
        <v>1420</v>
      </c>
      <c r="AG819" s="12" t="s">
        <v>1420</v>
      </c>
    </row>
    <row r="820" spans="1:33" ht="15" customHeight="1" x14ac:dyDescent="0.3">
      <c r="A820" s="12" t="s">
        <v>8</v>
      </c>
      <c r="B820" s="12" t="s">
        <v>1138</v>
      </c>
      <c r="C820" s="12" t="s">
        <v>1137</v>
      </c>
      <c r="D820" s="12" t="s">
        <v>1410</v>
      </c>
      <c r="E820" s="12" t="s">
        <v>3020</v>
      </c>
      <c r="F820" s="12" t="s">
        <v>3053</v>
      </c>
      <c r="G820" s="12" t="s">
        <v>3054</v>
      </c>
      <c r="H820" s="12" t="s">
        <v>1452</v>
      </c>
      <c r="I820" s="12" t="s">
        <v>1420</v>
      </c>
      <c r="J820" s="12" t="s">
        <v>1420</v>
      </c>
      <c r="K820" s="12" t="s">
        <v>1420</v>
      </c>
      <c r="L820" s="12" t="s">
        <v>1420</v>
      </c>
      <c r="M820" s="12" t="s">
        <v>1420</v>
      </c>
      <c r="N820" s="12" t="s">
        <v>1420</v>
      </c>
      <c r="O820" s="12" t="s">
        <v>1420</v>
      </c>
      <c r="P820" s="12" t="s">
        <v>1420</v>
      </c>
      <c r="Q820" s="12" t="s">
        <v>1415</v>
      </c>
      <c r="R820" s="12" t="s">
        <v>1420</v>
      </c>
      <c r="S820" s="12" t="s">
        <v>1420</v>
      </c>
      <c r="T820" s="12" t="s">
        <v>1420</v>
      </c>
      <c r="U820" s="12" t="s">
        <v>1420</v>
      </c>
      <c r="V820" s="12" t="s">
        <v>1420</v>
      </c>
      <c r="W820" s="12" t="s">
        <v>1420</v>
      </c>
      <c r="X820" s="12" t="s">
        <v>1420</v>
      </c>
      <c r="Y820" s="12" t="s">
        <v>1420</v>
      </c>
      <c r="Z820" s="12" t="s">
        <v>1420</v>
      </c>
      <c r="AA820" s="12" t="s">
        <v>1420</v>
      </c>
      <c r="AB820" s="12" t="s">
        <v>1420</v>
      </c>
      <c r="AC820" s="12" t="s">
        <v>1420</v>
      </c>
      <c r="AD820" s="12" t="s">
        <v>1420</v>
      </c>
      <c r="AE820" s="12" t="s">
        <v>1420</v>
      </c>
      <c r="AF820" s="12" t="s">
        <v>1420</v>
      </c>
      <c r="AG820" s="12" t="s">
        <v>1420</v>
      </c>
    </row>
    <row r="821" spans="1:33" ht="15" customHeight="1" x14ac:dyDescent="0.3">
      <c r="A821" s="12" t="s">
        <v>49</v>
      </c>
      <c r="B821" s="12" t="s">
        <v>695</v>
      </c>
      <c r="C821" s="12" t="s">
        <v>694</v>
      </c>
      <c r="D821" s="12" t="s">
        <v>1410</v>
      </c>
      <c r="E821" s="12" t="s">
        <v>1569</v>
      </c>
      <c r="F821" s="12" t="s">
        <v>1570</v>
      </c>
      <c r="G821" s="12" t="s">
        <v>1571</v>
      </c>
      <c r="H821" s="12" t="s">
        <v>1488</v>
      </c>
      <c r="I821" s="12" t="s">
        <v>1414</v>
      </c>
      <c r="J821" s="12" t="s">
        <v>1420</v>
      </c>
      <c r="K821" s="12" t="s">
        <v>1420</v>
      </c>
      <c r="L821" s="12" t="s">
        <v>1420</v>
      </c>
      <c r="M821" s="12" t="s">
        <v>1420</v>
      </c>
      <c r="N821" s="12" t="s">
        <v>1420</v>
      </c>
      <c r="O821" s="12" t="s">
        <v>1414</v>
      </c>
      <c r="P821" s="12" t="s">
        <v>1420</v>
      </c>
      <c r="Q821" s="12" t="s">
        <v>1420</v>
      </c>
      <c r="R821" s="12" t="s">
        <v>1420</v>
      </c>
      <c r="S821" s="12" t="s">
        <v>1420</v>
      </c>
      <c r="T821" s="12" t="s">
        <v>1414</v>
      </c>
      <c r="U821" s="12" t="s">
        <v>1420</v>
      </c>
      <c r="V821" s="12" t="s">
        <v>1420</v>
      </c>
      <c r="W821" s="12" t="s">
        <v>1420</v>
      </c>
      <c r="X821" s="12" t="s">
        <v>1420</v>
      </c>
      <c r="Y821" s="12" t="s">
        <v>1420</v>
      </c>
      <c r="Z821" s="12" t="s">
        <v>1420</v>
      </c>
      <c r="AA821" s="12" t="s">
        <v>1420</v>
      </c>
      <c r="AB821" s="12" t="s">
        <v>1420</v>
      </c>
      <c r="AC821" s="12" t="s">
        <v>1414</v>
      </c>
      <c r="AD821" s="12" t="s">
        <v>1420</v>
      </c>
      <c r="AE821" s="12" t="s">
        <v>1420</v>
      </c>
      <c r="AF821" s="12" t="s">
        <v>1420</v>
      </c>
      <c r="AG821" s="12" t="s">
        <v>1420</v>
      </c>
    </row>
    <row r="822" spans="1:33" ht="15" customHeight="1" x14ac:dyDescent="0.3">
      <c r="A822" s="12" t="s">
        <v>28</v>
      </c>
      <c r="B822" s="12" t="s">
        <v>1284</v>
      </c>
      <c r="C822" s="12" t="s">
        <v>1283</v>
      </c>
      <c r="D822" s="12" t="s">
        <v>1410</v>
      </c>
      <c r="E822" s="12" t="s">
        <v>1492</v>
      </c>
      <c r="F822" s="12" t="s">
        <v>1493</v>
      </c>
      <c r="G822" s="12" t="s">
        <v>1494</v>
      </c>
      <c r="H822" s="12" t="s">
        <v>1464</v>
      </c>
      <c r="I822" s="12" t="s">
        <v>1420</v>
      </c>
      <c r="J822" s="12" t="s">
        <v>1420</v>
      </c>
      <c r="K822" s="12" t="s">
        <v>1420</v>
      </c>
      <c r="L822" s="12" t="s">
        <v>1420</v>
      </c>
      <c r="M822" s="12" t="s">
        <v>1420</v>
      </c>
      <c r="N822" s="12" t="s">
        <v>1420</v>
      </c>
      <c r="O822" s="12" t="s">
        <v>1420</v>
      </c>
      <c r="P822" s="12" t="s">
        <v>1420</v>
      </c>
      <c r="Q822" s="12" t="s">
        <v>1420</v>
      </c>
      <c r="R822" s="12" t="s">
        <v>1420</v>
      </c>
      <c r="S822" s="12" t="s">
        <v>1420</v>
      </c>
      <c r="T822" s="12" t="s">
        <v>1420</v>
      </c>
      <c r="U822" s="12" t="s">
        <v>1420</v>
      </c>
      <c r="V822" s="12" t="s">
        <v>1420</v>
      </c>
      <c r="W822" s="12" t="s">
        <v>1420</v>
      </c>
      <c r="X822" s="12" t="s">
        <v>1420</v>
      </c>
      <c r="Y822" s="12" t="s">
        <v>1420</v>
      </c>
      <c r="Z822" s="12" t="s">
        <v>1420</v>
      </c>
      <c r="AA822" s="12" t="s">
        <v>1420</v>
      </c>
      <c r="AB822" s="12" t="s">
        <v>1420</v>
      </c>
      <c r="AC822" s="12" t="s">
        <v>1420</v>
      </c>
      <c r="AD822" s="12" t="s">
        <v>1420</v>
      </c>
      <c r="AE822" s="12" t="s">
        <v>1420</v>
      </c>
      <c r="AF822" s="12" t="s">
        <v>1420</v>
      </c>
      <c r="AG822" s="12" t="s">
        <v>1420</v>
      </c>
    </row>
    <row r="823" spans="1:33" ht="15" customHeight="1" x14ac:dyDescent="0.3">
      <c r="A823" s="12" t="s">
        <v>6010</v>
      </c>
      <c r="B823" s="12" t="s">
        <v>6011</v>
      </c>
      <c r="C823" s="12" t="s">
        <v>6012</v>
      </c>
      <c r="D823" s="12" t="s">
        <v>1410</v>
      </c>
      <c r="E823" s="12" t="s">
        <v>6013</v>
      </c>
      <c r="F823" s="12" t="s">
        <v>6014</v>
      </c>
      <c r="G823" s="12" t="s">
        <v>4301</v>
      </c>
      <c r="H823" s="12" t="s">
        <v>1464</v>
      </c>
      <c r="I823" s="12" t="s">
        <v>1420</v>
      </c>
      <c r="J823" s="12" t="s">
        <v>1420</v>
      </c>
      <c r="K823" s="12" t="s">
        <v>1420</v>
      </c>
      <c r="L823" s="12" t="s">
        <v>1420</v>
      </c>
      <c r="M823" s="12" t="s">
        <v>1420</v>
      </c>
      <c r="N823" s="12" t="s">
        <v>1420</v>
      </c>
      <c r="O823" s="12" t="s">
        <v>1420</v>
      </c>
      <c r="P823" s="12" t="s">
        <v>1420</v>
      </c>
      <c r="Q823" s="12" t="s">
        <v>1420</v>
      </c>
      <c r="R823" s="12" t="s">
        <v>1420</v>
      </c>
      <c r="S823" s="12" t="s">
        <v>1420</v>
      </c>
      <c r="T823" s="12" t="s">
        <v>1420</v>
      </c>
      <c r="U823" s="12" t="s">
        <v>1420</v>
      </c>
      <c r="V823" s="12" t="s">
        <v>1420</v>
      </c>
      <c r="W823" s="12" t="s">
        <v>1420</v>
      </c>
      <c r="X823" s="12" t="s">
        <v>1420</v>
      </c>
      <c r="Y823" s="12" t="s">
        <v>1420</v>
      </c>
      <c r="Z823" s="12" t="s">
        <v>1420</v>
      </c>
      <c r="AA823" s="12" t="s">
        <v>1420</v>
      </c>
      <c r="AB823" s="12" t="s">
        <v>1420</v>
      </c>
      <c r="AC823" s="12" t="s">
        <v>1420</v>
      </c>
      <c r="AD823" s="12" t="s">
        <v>1420</v>
      </c>
      <c r="AE823" s="12" t="s">
        <v>1420</v>
      </c>
      <c r="AF823" s="12" t="s">
        <v>1420</v>
      </c>
      <c r="AG823" s="12" t="s">
        <v>1420</v>
      </c>
    </row>
    <row r="824" spans="1:33" ht="15" customHeight="1" x14ac:dyDescent="0.3">
      <c r="A824" s="12" t="s">
        <v>8</v>
      </c>
      <c r="B824" s="12" t="s">
        <v>1029</v>
      </c>
      <c r="C824" s="12" t="s">
        <v>1028</v>
      </c>
      <c r="D824" s="12" t="s">
        <v>1410</v>
      </c>
      <c r="E824" s="12" t="s">
        <v>2937</v>
      </c>
      <c r="F824" s="12" t="s">
        <v>2938</v>
      </c>
      <c r="G824" s="12" t="s">
        <v>2939</v>
      </c>
      <c r="H824" s="12" t="s">
        <v>1424</v>
      </c>
      <c r="I824" s="12" t="s">
        <v>1420</v>
      </c>
      <c r="J824" s="12" t="s">
        <v>1420</v>
      </c>
      <c r="K824" s="12" t="s">
        <v>1420</v>
      </c>
      <c r="L824" s="12" t="s">
        <v>1420</v>
      </c>
      <c r="M824" s="12" t="s">
        <v>1420</v>
      </c>
      <c r="N824" s="12" t="s">
        <v>1414</v>
      </c>
      <c r="O824" s="12" t="s">
        <v>1420</v>
      </c>
      <c r="P824" s="12" t="s">
        <v>1420</v>
      </c>
      <c r="Q824" s="12" t="s">
        <v>1420</v>
      </c>
      <c r="R824" s="12" t="s">
        <v>1420</v>
      </c>
      <c r="S824" s="12" t="s">
        <v>1420</v>
      </c>
      <c r="T824" s="12" t="s">
        <v>1420</v>
      </c>
      <c r="U824" s="12" t="s">
        <v>1420</v>
      </c>
      <c r="V824" s="12" t="s">
        <v>1420</v>
      </c>
      <c r="W824" s="12" t="s">
        <v>1420</v>
      </c>
      <c r="X824" s="12" t="s">
        <v>1420</v>
      </c>
      <c r="Y824" s="12" t="s">
        <v>1420</v>
      </c>
      <c r="Z824" s="12" t="s">
        <v>1420</v>
      </c>
      <c r="AA824" s="12" t="s">
        <v>1420</v>
      </c>
      <c r="AB824" s="12" t="s">
        <v>1420</v>
      </c>
      <c r="AC824" s="12" t="s">
        <v>1414</v>
      </c>
      <c r="AD824" s="12" t="s">
        <v>1420</v>
      </c>
      <c r="AE824" s="12" t="s">
        <v>1414</v>
      </c>
      <c r="AF824" s="12" t="s">
        <v>1420</v>
      </c>
      <c r="AG824" s="12" t="s">
        <v>1420</v>
      </c>
    </row>
    <row r="825" spans="1:33" ht="15" customHeight="1" x14ac:dyDescent="0.3">
      <c r="A825" s="12" t="s">
        <v>31</v>
      </c>
      <c r="B825" s="12" t="s">
        <v>1031</v>
      </c>
      <c r="C825" s="12" t="s">
        <v>1030</v>
      </c>
      <c r="D825" s="12" t="s">
        <v>1410</v>
      </c>
      <c r="E825" s="12" t="s">
        <v>2303</v>
      </c>
      <c r="F825" s="12" t="s">
        <v>2304</v>
      </c>
      <c r="G825" s="12" t="s">
        <v>2305</v>
      </c>
      <c r="H825" s="12" t="s">
        <v>1452</v>
      </c>
      <c r="I825" s="12" t="s">
        <v>1420</v>
      </c>
      <c r="J825" s="12" t="s">
        <v>1420</v>
      </c>
      <c r="K825" s="12" t="s">
        <v>1420</v>
      </c>
      <c r="L825" s="12" t="s">
        <v>1420</v>
      </c>
      <c r="M825" s="12" t="s">
        <v>1420</v>
      </c>
      <c r="N825" s="12" t="s">
        <v>1420</v>
      </c>
      <c r="O825" s="12" t="s">
        <v>1420</v>
      </c>
      <c r="P825" s="12" t="s">
        <v>1420</v>
      </c>
      <c r="Q825" s="12" t="s">
        <v>1420</v>
      </c>
      <c r="R825" s="12" t="s">
        <v>1420</v>
      </c>
      <c r="S825" s="12" t="s">
        <v>1420</v>
      </c>
      <c r="T825" s="12" t="s">
        <v>1420</v>
      </c>
      <c r="U825" s="12" t="s">
        <v>1420</v>
      </c>
      <c r="V825" s="12" t="s">
        <v>1420</v>
      </c>
      <c r="W825" s="12" t="s">
        <v>1420</v>
      </c>
      <c r="X825" s="12" t="s">
        <v>1420</v>
      </c>
      <c r="Y825" s="12" t="s">
        <v>1420</v>
      </c>
      <c r="Z825" s="12" t="s">
        <v>1420</v>
      </c>
      <c r="AA825" s="12" t="s">
        <v>1420</v>
      </c>
      <c r="AB825" s="12" t="s">
        <v>1420</v>
      </c>
      <c r="AC825" s="12" t="s">
        <v>1414</v>
      </c>
      <c r="AD825" s="12" t="s">
        <v>1420</v>
      </c>
      <c r="AE825" s="12" t="s">
        <v>1420</v>
      </c>
      <c r="AF825" s="12" t="s">
        <v>1420</v>
      </c>
      <c r="AG825" s="12" t="s">
        <v>1420</v>
      </c>
    </row>
    <row r="826" spans="1:33" ht="15" customHeight="1" x14ac:dyDescent="0.3">
      <c r="A826" s="12" t="s">
        <v>22</v>
      </c>
      <c r="B826" s="12" t="s">
        <v>6015</v>
      </c>
      <c r="C826" s="12" t="s">
        <v>6016</v>
      </c>
      <c r="D826" s="12" t="s">
        <v>1410</v>
      </c>
      <c r="E826" s="12" t="s">
        <v>6017</v>
      </c>
      <c r="F826" s="12" t="s">
        <v>6018</v>
      </c>
      <c r="G826" s="12" t="s">
        <v>5882</v>
      </c>
      <c r="H826" s="12" t="s">
        <v>1464</v>
      </c>
      <c r="I826" s="12" t="s">
        <v>1420</v>
      </c>
      <c r="J826" s="12" t="s">
        <v>1420</v>
      </c>
      <c r="K826" s="12" t="s">
        <v>1420</v>
      </c>
      <c r="L826" s="12" t="s">
        <v>1420</v>
      </c>
      <c r="M826" s="12" t="s">
        <v>1420</v>
      </c>
      <c r="N826" s="12" t="s">
        <v>1420</v>
      </c>
      <c r="O826" s="12" t="s">
        <v>1420</v>
      </c>
      <c r="P826" s="12" t="s">
        <v>1420</v>
      </c>
      <c r="Q826" s="12" t="s">
        <v>1420</v>
      </c>
      <c r="R826" s="12" t="s">
        <v>1420</v>
      </c>
      <c r="S826" s="12" t="s">
        <v>1420</v>
      </c>
      <c r="T826" s="12" t="s">
        <v>1420</v>
      </c>
      <c r="U826" s="12" t="s">
        <v>1420</v>
      </c>
      <c r="V826" s="12" t="s">
        <v>1420</v>
      </c>
      <c r="W826" s="12" t="s">
        <v>1420</v>
      </c>
      <c r="X826" s="12" t="s">
        <v>1420</v>
      </c>
      <c r="Y826" s="12" t="s">
        <v>1420</v>
      </c>
      <c r="Z826" s="12" t="s">
        <v>1420</v>
      </c>
      <c r="AA826" s="12" t="s">
        <v>1420</v>
      </c>
      <c r="AB826" s="12" t="s">
        <v>1420</v>
      </c>
      <c r="AC826" s="12" t="s">
        <v>1420</v>
      </c>
      <c r="AD826" s="12" t="s">
        <v>1420</v>
      </c>
      <c r="AE826" s="12" t="s">
        <v>1420</v>
      </c>
      <c r="AF826" s="12" t="s">
        <v>1420</v>
      </c>
      <c r="AG826" s="12" t="s">
        <v>1420</v>
      </c>
    </row>
    <row r="827" spans="1:33" ht="15" customHeight="1" x14ac:dyDescent="0.3">
      <c r="A827" s="12" t="s">
        <v>8</v>
      </c>
      <c r="B827" s="12" t="s">
        <v>697</v>
      </c>
      <c r="C827" s="12" t="s">
        <v>696</v>
      </c>
      <c r="D827" s="12" t="s">
        <v>1410</v>
      </c>
      <c r="E827" s="12" t="s">
        <v>3123</v>
      </c>
      <c r="F827" s="12" t="s">
        <v>6019</v>
      </c>
      <c r="G827" s="12" t="s">
        <v>1413</v>
      </c>
      <c r="H827" s="12" t="s">
        <v>1420</v>
      </c>
      <c r="I827" s="12" t="s">
        <v>1420</v>
      </c>
      <c r="J827" s="12" t="s">
        <v>1415</v>
      </c>
      <c r="K827" s="12" t="s">
        <v>1415</v>
      </c>
      <c r="L827" s="12" t="s">
        <v>1415</v>
      </c>
      <c r="M827" s="12" t="s">
        <v>1415</v>
      </c>
      <c r="N827" s="12" t="s">
        <v>1415</v>
      </c>
      <c r="O827" s="12" t="s">
        <v>1415</v>
      </c>
      <c r="P827" s="12" t="s">
        <v>1415</v>
      </c>
      <c r="Q827" s="12" t="s">
        <v>1415</v>
      </c>
      <c r="R827" s="12" t="s">
        <v>1415</v>
      </c>
      <c r="S827" s="12" t="s">
        <v>1415</v>
      </c>
      <c r="T827" s="12" t="s">
        <v>1415</v>
      </c>
      <c r="U827" s="12" t="s">
        <v>1415</v>
      </c>
      <c r="V827" s="12" t="s">
        <v>1415</v>
      </c>
      <c r="W827" s="12" t="s">
        <v>1415</v>
      </c>
      <c r="X827" s="12" t="s">
        <v>1415</v>
      </c>
      <c r="Y827" s="12" t="s">
        <v>1415</v>
      </c>
      <c r="Z827" s="12" t="s">
        <v>1415</v>
      </c>
      <c r="AA827" s="12" t="s">
        <v>1415</v>
      </c>
      <c r="AB827" s="12" t="s">
        <v>1415</v>
      </c>
      <c r="AC827" s="12" t="s">
        <v>1415</v>
      </c>
      <c r="AD827" s="12" t="s">
        <v>1415</v>
      </c>
      <c r="AE827" s="12" t="s">
        <v>1415</v>
      </c>
      <c r="AF827" s="12" t="s">
        <v>1415</v>
      </c>
      <c r="AG827" s="12" t="s">
        <v>1415</v>
      </c>
    </row>
    <row r="828" spans="1:33" ht="15" customHeight="1" x14ac:dyDescent="0.3">
      <c r="A828" s="12" t="s">
        <v>8</v>
      </c>
      <c r="B828" s="12" t="s">
        <v>697</v>
      </c>
      <c r="C828" s="12" t="s">
        <v>696</v>
      </c>
      <c r="D828" s="12" t="s">
        <v>1410</v>
      </c>
      <c r="E828" s="12" t="s">
        <v>6020</v>
      </c>
      <c r="F828" s="12" t="s">
        <v>6021</v>
      </c>
      <c r="G828" s="12" t="s">
        <v>2652</v>
      </c>
      <c r="H828" s="12" t="s">
        <v>1424</v>
      </c>
      <c r="I828" s="12" t="s">
        <v>1420</v>
      </c>
      <c r="J828" s="12" t="s">
        <v>1420</v>
      </c>
      <c r="K828" s="12" t="s">
        <v>1420</v>
      </c>
      <c r="L828" s="12" t="s">
        <v>1420</v>
      </c>
      <c r="M828" s="12" t="s">
        <v>1420</v>
      </c>
      <c r="N828" s="12" t="s">
        <v>1420</v>
      </c>
      <c r="O828" s="12" t="s">
        <v>1420</v>
      </c>
      <c r="P828" s="12" t="s">
        <v>1420</v>
      </c>
      <c r="Q828" s="12" t="s">
        <v>1420</v>
      </c>
      <c r="R828" s="12" t="s">
        <v>1420</v>
      </c>
      <c r="S828" s="12" t="s">
        <v>1420</v>
      </c>
      <c r="T828" s="12" t="s">
        <v>1420</v>
      </c>
      <c r="U828" s="12" t="s">
        <v>1420</v>
      </c>
      <c r="V828" s="12" t="s">
        <v>1414</v>
      </c>
      <c r="W828" s="12" t="s">
        <v>1420</v>
      </c>
      <c r="X828" s="12" t="s">
        <v>1414</v>
      </c>
      <c r="Y828" s="12" t="s">
        <v>1420</v>
      </c>
      <c r="Z828" s="12" t="s">
        <v>1420</v>
      </c>
      <c r="AA828" s="12" t="s">
        <v>1420</v>
      </c>
      <c r="AB828" s="12" t="s">
        <v>1420</v>
      </c>
      <c r="AC828" s="12" t="s">
        <v>1420</v>
      </c>
      <c r="AD828" s="12" t="s">
        <v>1414</v>
      </c>
      <c r="AE828" s="12" t="s">
        <v>1420</v>
      </c>
      <c r="AF828" s="12" t="s">
        <v>1420</v>
      </c>
      <c r="AG828" s="12" t="s">
        <v>1420</v>
      </c>
    </row>
    <row r="829" spans="1:33" ht="15" customHeight="1" x14ac:dyDescent="0.3">
      <c r="A829" s="12" t="s">
        <v>31</v>
      </c>
      <c r="B829" s="12" t="s">
        <v>258</v>
      </c>
      <c r="C829" s="12" t="s">
        <v>257</v>
      </c>
      <c r="D829" s="12" t="s">
        <v>1410</v>
      </c>
      <c r="E829" s="12" t="s">
        <v>2462</v>
      </c>
      <c r="F829" s="12" t="s">
        <v>2465</v>
      </c>
      <c r="G829" s="12" t="s">
        <v>2466</v>
      </c>
      <c r="H829" s="12" t="s">
        <v>1438</v>
      </c>
      <c r="I829" s="12" t="s">
        <v>1420</v>
      </c>
      <c r="J829" s="12" t="s">
        <v>1420</v>
      </c>
      <c r="K829" s="12" t="s">
        <v>1420</v>
      </c>
      <c r="L829" s="12" t="s">
        <v>1420</v>
      </c>
      <c r="M829" s="12" t="s">
        <v>1420</v>
      </c>
      <c r="N829" s="12" t="s">
        <v>1414</v>
      </c>
      <c r="O829" s="12" t="s">
        <v>1420</v>
      </c>
      <c r="P829" s="12" t="s">
        <v>1420</v>
      </c>
      <c r="Q829" s="12" t="s">
        <v>1420</v>
      </c>
      <c r="R829" s="12" t="s">
        <v>1414</v>
      </c>
      <c r="S829" s="12" t="s">
        <v>1414</v>
      </c>
      <c r="T829" s="12" t="s">
        <v>1420</v>
      </c>
      <c r="U829" s="12" t="s">
        <v>1414</v>
      </c>
      <c r="V829" s="12" t="s">
        <v>1420</v>
      </c>
      <c r="W829" s="12" t="s">
        <v>1420</v>
      </c>
      <c r="X829" s="12" t="s">
        <v>1420</v>
      </c>
      <c r="Y829" s="12" t="s">
        <v>1420</v>
      </c>
      <c r="Z829" s="12" t="s">
        <v>1420</v>
      </c>
      <c r="AA829" s="12" t="s">
        <v>1414</v>
      </c>
      <c r="AB829" s="12" t="s">
        <v>1420</v>
      </c>
      <c r="AC829" s="12" t="s">
        <v>1420</v>
      </c>
      <c r="AD829" s="12" t="s">
        <v>1420</v>
      </c>
      <c r="AE829" s="12" t="s">
        <v>1414</v>
      </c>
      <c r="AF829" s="12" t="s">
        <v>1420</v>
      </c>
      <c r="AG829" s="12" t="s">
        <v>1420</v>
      </c>
    </row>
    <row r="830" spans="1:33" ht="15" customHeight="1" x14ac:dyDescent="0.3">
      <c r="A830" s="12" t="s">
        <v>25</v>
      </c>
      <c r="B830" s="12" t="s">
        <v>258</v>
      </c>
      <c r="C830" s="12" t="s">
        <v>259</v>
      </c>
      <c r="D830" s="12" t="s">
        <v>1410</v>
      </c>
      <c r="E830" s="12" t="s">
        <v>2571</v>
      </c>
      <c r="F830" s="12" t="s">
        <v>2572</v>
      </c>
      <c r="G830" s="12" t="s">
        <v>2573</v>
      </c>
      <c r="H830" s="12" t="s">
        <v>1448</v>
      </c>
      <c r="I830" s="12" t="s">
        <v>1420</v>
      </c>
      <c r="J830" s="12" t="s">
        <v>1420</v>
      </c>
      <c r="K830" s="12" t="s">
        <v>1420</v>
      </c>
      <c r="L830" s="12" t="s">
        <v>1420</v>
      </c>
      <c r="M830" s="12" t="s">
        <v>1420</v>
      </c>
      <c r="N830" s="12" t="s">
        <v>1414</v>
      </c>
      <c r="O830" s="12" t="s">
        <v>1420</v>
      </c>
      <c r="P830" s="12" t="s">
        <v>1420</v>
      </c>
      <c r="Q830" s="12" t="s">
        <v>1420</v>
      </c>
      <c r="R830" s="12" t="s">
        <v>1420</v>
      </c>
      <c r="S830" s="12" t="s">
        <v>1420</v>
      </c>
      <c r="T830" s="12" t="s">
        <v>1414</v>
      </c>
      <c r="U830" s="12" t="s">
        <v>1414</v>
      </c>
      <c r="V830" s="12" t="s">
        <v>1420</v>
      </c>
      <c r="W830" s="12" t="s">
        <v>1420</v>
      </c>
      <c r="X830" s="12" t="s">
        <v>1420</v>
      </c>
      <c r="Y830" s="12" t="s">
        <v>1420</v>
      </c>
      <c r="Z830" s="12" t="s">
        <v>1420</v>
      </c>
      <c r="AA830" s="12" t="s">
        <v>1420</v>
      </c>
      <c r="AB830" s="12" t="s">
        <v>1420</v>
      </c>
      <c r="AC830" s="12" t="s">
        <v>1420</v>
      </c>
      <c r="AD830" s="12" t="s">
        <v>1414</v>
      </c>
      <c r="AE830" s="12" t="s">
        <v>1414</v>
      </c>
      <c r="AF830" s="12" t="s">
        <v>1420</v>
      </c>
      <c r="AG830" s="12" t="s">
        <v>1420</v>
      </c>
    </row>
    <row r="831" spans="1:33" ht="15" customHeight="1" x14ac:dyDescent="0.3">
      <c r="A831" s="12" t="s">
        <v>49</v>
      </c>
      <c r="B831" s="12" t="s">
        <v>418</v>
      </c>
      <c r="C831" s="12" t="s">
        <v>417</v>
      </c>
      <c r="D831" s="12" t="s">
        <v>1410</v>
      </c>
      <c r="E831" s="12" t="s">
        <v>1828</v>
      </c>
      <c r="F831" s="12" t="s">
        <v>1829</v>
      </c>
      <c r="G831" s="12" t="s">
        <v>1830</v>
      </c>
      <c r="H831" s="12" t="s">
        <v>1448</v>
      </c>
      <c r="I831" s="12" t="s">
        <v>1420</v>
      </c>
      <c r="J831" s="12" t="s">
        <v>1420</v>
      </c>
      <c r="K831" s="12" t="s">
        <v>1420</v>
      </c>
      <c r="L831" s="12" t="s">
        <v>1420</v>
      </c>
      <c r="M831" s="12" t="s">
        <v>1420</v>
      </c>
      <c r="N831" s="12" t="s">
        <v>1420</v>
      </c>
      <c r="O831" s="12" t="s">
        <v>1420</v>
      </c>
      <c r="P831" s="12" t="s">
        <v>1414</v>
      </c>
      <c r="Q831" s="12" t="s">
        <v>1420</v>
      </c>
      <c r="R831" s="12" t="s">
        <v>1420</v>
      </c>
      <c r="S831" s="12" t="s">
        <v>1420</v>
      </c>
      <c r="T831" s="12" t="s">
        <v>1420</v>
      </c>
      <c r="U831" s="12" t="s">
        <v>1420</v>
      </c>
      <c r="V831" s="12" t="s">
        <v>1420</v>
      </c>
      <c r="W831" s="12" t="s">
        <v>1420</v>
      </c>
      <c r="X831" s="12" t="s">
        <v>1420</v>
      </c>
      <c r="Y831" s="12" t="s">
        <v>1420</v>
      </c>
      <c r="Z831" s="12" t="s">
        <v>1420</v>
      </c>
      <c r="AA831" s="12" t="s">
        <v>1414</v>
      </c>
      <c r="AB831" s="12" t="s">
        <v>1420</v>
      </c>
      <c r="AC831" s="12" t="s">
        <v>1414</v>
      </c>
      <c r="AD831" s="12" t="s">
        <v>1414</v>
      </c>
      <c r="AE831" s="12" t="s">
        <v>1420</v>
      </c>
      <c r="AF831" s="12" t="s">
        <v>1414</v>
      </c>
      <c r="AG831" s="12" t="s">
        <v>1420</v>
      </c>
    </row>
    <row r="832" spans="1:33" ht="15" customHeight="1" x14ac:dyDescent="0.3">
      <c r="A832" s="12" t="s">
        <v>55</v>
      </c>
      <c r="B832" s="12" t="s">
        <v>418</v>
      </c>
      <c r="C832" s="12" t="s">
        <v>419</v>
      </c>
      <c r="D832" s="12" t="s">
        <v>1410</v>
      </c>
      <c r="E832" s="12" t="s">
        <v>1825</v>
      </c>
      <c r="F832" s="12" t="s">
        <v>1826</v>
      </c>
      <c r="G832" s="12" t="s">
        <v>1827</v>
      </c>
      <c r="H832" s="12" t="s">
        <v>1452</v>
      </c>
      <c r="I832" s="12" t="s">
        <v>1420</v>
      </c>
      <c r="J832" s="12" t="s">
        <v>1420</v>
      </c>
      <c r="K832" s="12" t="s">
        <v>1420</v>
      </c>
      <c r="L832" s="12" t="s">
        <v>1420</v>
      </c>
      <c r="M832" s="12" t="s">
        <v>1420</v>
      </c>
      <c r="N832" s="12" t="s">
        <v>1420</v>
      </c>
      <c r="O832" s="12" t="s">
        <v>1420</v>
      </c>
      <c r="P832" s="12" t="s">
        <v>1420</v>
      </c>
      <c r="Q832" s="12" t="s">
        <v>1420</v>
      </c>
      <c r="R832" s="12" t="s">
        <v>1420</v>
      </c>
      <c r="S832" s="12" t="s">
        <v>1420</v>
      </c>
      <c r="T832" s="12" t="s">
        <v>1420</v>
      </c>
      <c r="U832" s="12" t="s">
        <v>1420</v>
      </c>
      <c r="V832" s="12" t="s">
        <v>1420</v>
      </c>
      <c r="W832" s="12" t="s">
        <v>1420</v>
      </c>
      <c r="X832" s="12" t="s">
        <v>1414</v>
      </c>
      <c r="Y832" s="12" t="s">
        <v>1420</v>
      </c>
      <c r="Z832" s="12" t="s">
        <v>1420</v>
      </c>
      <c r="AA832" s="12" t="s">
        <v>1420</v>
      </c>
      <c r="AB832" s="12" t="s">
        <v>1420</v>
      </c>
      <c r="AC832" s="12" t="s">
        <v>1420</v>
      </c>
      <c r="AD832" s="12" t="s">
        <v>1420</v>
      </c>
      <c r="AE832" s="12" t="s">
        <v>1420</v>
      </c>
      <c r="AF832" s="12" t="s">
        <v>1420</v>
      </c>
      <c r="AG832" s="12" t="s">
        <v>1420</v>
      </c>
    </row>
    <row r="833" spans="1:33" ht="15" customHeight="1" x14ac:dyDescent="0.3">
      <c r="A833" s="12" t="s">
        <v>8</v>
      </c>
      <c r="B833" s="12" t="s">
        <v>418</v>
      </c>
      <c r="C833" s="12" t="s">
        <v>698</v>
      </c>
      <c r="D833" s="12" t="s">
        <v>1410</v>
      </c>
      <c r="E833" s="12" t="s">
        <v>1597</v>
      </c>
      <c r="F833" s="12" t="s">
        <v>1600</v>
      </c>
      <c r="G833" s="12" t="s">
        <v>1601</v>
      </c>
      <c r="H833" s="12" t="s">
        <v>1551</v>
      </c>
      <c r="I833" s="12" t="s">
        <v>1420</v>
      </c>
      <c r="J833" s="12" t="s">
        <v>1420</v>
      </c>
      <c r="K833" s="12" t="s">
        <v>1420</v>
      </c>
      <c r="L833" s="12" t="s">
        <v>1420</v>
      </c>
      <c r="M833" s="12" t="s">
        <v>1420</v>
      </c>
      <c r="N833" s="12" t="s">
        <v>1414</v>
      </c>
      <c r="O833" s="12" t="s">
        <v>1414</v>
      </c>
      <c r="P833" s="12" t="s">
        <v>1414</v>
      </c>
      <c r="Q833" s="12" t="s">
        <v>1414</v>
      </c>
      <c r="R833" s="12" t="s">
        <v>1414</v>
      </c>
      <c r="S833" s="12" t="s">
        <v>1414</v>
      </c>
      <c r="T833" s="12" t="s">
        <v>1414</v>
      </c>
      <c r="U833" s="12" t="s">
        <v>1414</v>
      </c>
      <c r="V833" s="12" t="s">
        <v>1420</v>
      </c>
      <c r="W833" s="12" t="s">
        <v>1414</v>
      </c>
      <c r="X833" s="12" t="s">
        <v>1420</v>
      </c>
      <c r="Y833" s="12" t="s">
        <v>1414</v>
      </c>
      <c r="Z833" s="12" t="s">
        <v>1414</v>
      </c>
      <c r="AA833" s="12" t="s">
        <v>1420</v>
      </c>
      <c r="AB833" s="12" t="s">
        <v>1414</v>
      </c>
      <c r="AC833" s="12" t="s">
        <v>1414</v>
      </c>
      <c r="AD833" s="12" t="s">
        <v>1414</v>
      </c>
      <c r="AE833" s="12" t="s">
        <v>1414</v>
      </c>
      <c r="AF833" s="12" t="s">
        <v>1420</v>
      </c>
      <c r="AG833" s="12" t="s">
        <v>1414</v>
      </c>
    </row>
    <row r="834" spans="1:33" ht="15" customHeight="1" x14ac:dyDescent="0.3">
      <c r="A834" s="12" t="s">
        <v>1370</v>
      </c>
      <c r="B834" s="12" t="s">
        <v>418</v>
      </c>
      <c r="C834" s="12" t="s">
        <v>1369</v>
      </c>
      <c r="D834" s="12" t="s">
        <v>1410</v>
      </c>
      <c r="E834" s="12" t="s">
        <v>1489</v>
      </c>
      <c r="F834" s="12" t="s">
        <v>1490</v>
      </c>
      <c r="G834" s="12" t="s">
        <v>1491</v>
      </c>
      <c r="H834" s="12" t="s">
        <v>1424</v>
      </c>
      <c r="I834" s="12" t="s">
        <v>1420</v>
      </c>
      <c r="J834" s="12" t="s">
        <v>1420</v>
      </c>
      <c r="K834" s="12" t="s">
        <v>1420</v>
      </c>
      <c r="L834" s="12" t="s">
        <v>1420</v>
      </c>
      <c r="M834" s="12" t="s">
        <v>1420</v>
      </c>
      <c r="N834" s="12" t="s">
        <v>1420</v>
      </c>
      <c r="O834" s="12" t="s">
        <v>1420</v>
      </c>
      <c r="P834" s="12" t="s">
        <v>1420</v>
      </c>
      <c r="Q834" s="12" t="s">
        <v>1420</v>
      </c>
      <c r="R834" s="12" t="s">
        <v>1420</v>
      </c>
      <c r="S834" s="12" t="s">
        <v>1420</v>
      </c>
      <c r="T834" s="12" t="s">
        <v>1420</v>
      </c>
      <c r="U834" s="12" t="s">
        <v>1420</v>
      </c>
      <c r="V834" s="12" t="s">
        <v>1420</v>
      </c>
      <c r="W834" s="12" t="s">
        <v>1414</v>
      </c>
      <c r="X834" s="12" t="s">
        <v>1420</v>
      </c>
      <c r="Y834" s="12" t="s">
        <v>1420</v>
      </c>
      <c r="Z834" s="12" t="s">
        <v>1414</v>
      </c>
      <c r="AA834" s="12" t="s">
        <v>1420</v>
      </c>
      <c r="AB834" s="12" t="s">
        <v>1420</v>
      </c>
      <c r="AC834" s="12" t="s">
        <v>1420</v>
      </c>
      <c r="AD834" s="12" t="s">
        <v>1420</v>
      </c>
      <c r="AE834" s="12" t="s">
        <v>1420</v>
      </c>
      <c r="AF834" s="12" t="s">
        <v>1414</v>
      </c>
      <c r="AG834" s="12" t="s">
        <v>1420</v>
      </c>
    </row>
    <row r="835" spans="1:33" ht="15" customHeight="1" x14ac:dyDescent="0.3">
      <c r="A835" s="12" t="s">
        <v>28</v>
      </c>
      <c r="B835" s="12" t="s">
        <v>261</v>
      </c>
      <c r="C835" s="12" t="s">
        <v>260</v>
      </c>
      <c r="D835" s="12" t="s">
        <v>1410</v>
      </c>
      <c r="E835" s="12" t="s">
        <v>2518</v>
      </c>
      <c r="F835" s="12" t="s">
        <v>2520</v>
      </c>
      <c r="G835" s="12" t="s">
        <v>2521</v>
      </c>
      <c r="H835" s="12" t="s">
        <v>1452</v>
      </c>
      <c r="I835" s="12" t="s">
        <v>1420</v>
      </c>
      <c r="J835" s="12" t="s">
        <v>1420</v>
      </c>
      <c r="K835" s="12" t="s">
        <v>1420</v>
      </c>
      <c r="L835" s="12" t="s">
        <v>1420</v>
      </c>
      <c r="M835" s="12" t="s">
        <v>1420</v>
      </c>
      <c r="N835" s="12" t="s">
        <v>1420</v>
      </c>
      <c r="O835" s="12" t="s">
        <v>1420</v>
      </c>
      <c r="P835" s="12" t="s">
        <v>1420</v>
      </c>
      <c r="Q835" s="12" t="s">
        <v>1420</v>
      </c>
      <c r="R835" s="12" t="s">
        <v>1420</v>
      </c>
      <c r="S835" s="12" t="s">
        <v>1420</v>
      </c>
      <c r="T835" s="12" t="s">
        <v>1420</v>
      </c>
      <c r="U835" s="12" t="s">
        <v>1420</v>
      </c>
      <c r="V835" s="12" t="s">
        <v>1420</v>
      </c>
      <c r="W835" s="12" t="s">
        <v>1420</v>
      </c>
      <c r="X835" s="12" t="s">
        <v>1420</v>
      </c>
      <c r="Y835" s="12" t="s">
        <v>1420</v>
      </c>
      <c r="Z835" s="12" t="s">
        <v>1420</v>
      </c>
      <c r="AA835" s="12" t="s">
        <v>1414</v>
      </c>
      <c r="AB835" s="12" t="s">
        <v>1420</v>
      </c>
      <c r="AC835" s="12" t="s">
        <v>1420</v>
      </c>
      <c r="AD835" s="12" t="s">
        <v>1420</v>
      </c>
      <c r="AE835" s="12" t="s">
        <v>1420</v>
      </c>
      <c r="AF835" s="12" t="s">
        <v>1420</v>
      </c>
      <c r="AG835" s="12" t="s">
        <v>1420</v>
      </c>
    </row>
    <row r="836" spans="1:33" ht="15" customHeight="1" x14ac:dyDescent="0.3">
      <c r="A836" s="12" t="s">
        <v>19</v>
      </c>
      <c r="B836" s="12" t="s">
        <v>1033</v>
      </c>
      <c r="C836" s="12" t="s">
        <v>1032</v>
      </c>
      <c r="D836" s="12" t="s">
        <v>1410</v>
      </c>
      <c r="E836" s="12" t="s">
        <v>2831</v>
      </c>
      <c r="F836" s="12" t="s">
        <v>2832</v>
      </c>
      <c r="G836" s="12" t="s">
        <v>2601</v>
      </c>
      <c r="H836" s="12" t="s">
        <v>1464</v>
      </c>
      <c r="I836" s="12" t="s">
        <v>1420</v>
      </c>
      <c r="J836" s="12" t="s">
        <v>1420</v>
      </c>
      <c r="K836" s="12" t="s">
        <v>1420</v>
      </c>
      <c r="L836" s="12" t="s">
        <v>1420</v>
      </c>
      <c r="M836" s="12" t="s">
        <v>1420</v>
      </c>
      <c r="N836" s="12" t="s">
        <v>1420</v>
      </c>
      <c r="O836" s="12" t="s">
        <v>1420</v>
      </c>
      <c r="P836" s="12" t="s">
        <v>1420</v>
      </c>
      <c r="Q836" s="12" t="s">
        <v>1420</v>
      </c>
      <c r="R836" s="12" t="s">
        <v>1420</v>
      </c>
      <c r="S836" s="12" t="s">
        <v>1420</v>
      </c>
      <c r="T836" s="12" t="s">
        <v>1420</v>
      </c>
      <c r="U836" s="12" t="s">
        <v>1420</v>
      </c>
      <c r="V836" s="12" t="s">
        <v>1420</v>
      </c>
      <c r="W836" s="12" t="s">
        <v>1420</v>
      </c>
      <c r="X836" s="12" t="s">
        <v>1420</v>
      </c>
      <c r="Y836" s="12" t="s">
        <v>1420</v>
      </c>
      <c r="Z836" s="12" t="s">
        <v>1420</v>
      </c>
      <c r="AA836" s="12" t="s">
        <v>1420</v>
      </c>
      <c r="AB836" s="12" t="s">
        <v>1420</v>
      </c>
      <c r="AC836" s="12" t="s">
        <v>1420</v>
      </c>
      <c r="AD836" s="12" t="s">
        <v>1420</v>
      </c>
      <c r="AE836" s="12" t="s">
        <v>1420</v>
      </c>
      <c r="AF836" s="12" t="s">
        <v>1420</v>
      </c>
      <c r="AG836" s="12" t="s">
        <v>1420</v>
      </c>
    </row>
    <row r="837" spans="1:33" ht="15" customHeight="1" x14ac:dyDescent="0.3">
      <c r="A837" s="12" t="s">
        <v>31</v>
      </c>
      <c r="B837" s="12" t="s">
        <v>700</v>
      </c>
      <c r="C837" s="12" t="s">
        <v>699</v>
      </c>
      <c r="D837" s="12" t="s">
        <v>1410</v>
      </c>
      <c r="E837" s="12" t="s">
        <v>1591</v>
      </c>
      <c r="F837" s="12" t="s">
        <v>1592</v>
      </c>
      <c r="G837" s="12" t="s">
        <v>1593</v>
      </c>
      <c r="H837" s="12" t="s">
        <v>1488</v>
      </c>
      <c r="I837" s="12" t="s">
        <v>1420</v>
      </c>
      <c r="J837" s="12" t="s">
        <v>1414</v>
      </c>
      <c r="K837" s="12" t="s">
        <v>1420</v>
      </c>
      <c r="L837" s="12" t="s">
        <v>1420</v>
      </c>
      <c r="M837" s="12" t="s">
        <v>1420</v>
      </c>
      <c r="N837" s="12" t="s">
        <v>1414</v>
      </c>
      <c r="O837" s="12" t="s">
        <v>1420</v>
      </c>
      <c r="P837" s="12" t="s">
        <v>1420</v>
      </c>
      <c r="Q837" s="12" t="s">
        <v>1420</v>
      </c>
      <c r="R837" s="12" t="s">
        <v>1414</v>
      </c>
      <c r="S837" s="12" t="s">
        <v>1420</v>
      </c>
      <c r="T837" s="12" t="s">
        <v>1414</v>
      </c>
      <c r="U837" s="12" t="s">
        <v>1420</v>
      </c>
      <c r="V837" s="12" t="s">
        <v>1420</v>
      </c>
      <c r="W837" s="12" t="s">
        <v>1420</v>
      </c>
      <c r="X837" s="12" t="s">
        <v>1420</v>
      </c>
      <c r="Y837" s="12" t="s">
        <v>1420</v>
      </c>
      <c r="Z837" s="12" t="s">
        <v>1420</v>
      </c>
      <c r="AA837" s="12" t="s">
        <v>1420</v>
      </c>
      <c r="AB837" s="12" t="s">
        <v>1420</v>
      </c>
      <c r="AC837" s="12" t="s">
        <v>1420</v>
      </c>
      <c r="AD837" s="12" t="s">
        <v>1420</v>
      </c>
      <c r="AE837" s="12" t="s">
        <v>1420</v>
      </c>
      <c r="AF837" s="12" t="s">
        <v>1420</v>
      </c>
      <c r="AG837" s="12" t="s">
        <v>1420</v>
      </c>
    </row>
    <row r="838" spans="1:33" ht="15" customHeight="1" x14ac:dyDescent="0.3">
      <c r="A838" s="12" t="s">
        <v>28</v>
      </c>
      <c r="B838" s="12" t="s">
        <v>1035</v>
      </c>
      <c r="C838" s="12" t="s">
        <v>1034</v>
      </c>
      <c r="D838" s="12" t="s">
        <v>1410</v>
      </c>
      <c r="E838" s="12" t="s">
        <v>2298</v>
      </c>
      <c r="F838" s="12" t="s">
        <v>2312</v>
      </c>
      <c r="G838" s="12" t="s">
        <v>2313</v>
      </c>
      <c r="H838" s="12" t="s">
        <v>1464</v>
      </c>
      <c r="I838" s="12" t="s">
        <v>1420</v>
      </c>
      <c r="J838" s="12" t="s">
        <v>1420</v>
      </c>
      <c r="K838" s="12" t="s">
        <v>1420</v>
      </c>
      <c r="L838" s="12" t="s">
        <v>1420</v>
      </c>
      <c r="M838" s="12" t="s">
        <v>1420</v>
      </c>
      <c r="N838" s="12" t="s">
        <v>1420</v>
      </c>
      <c r="O838" s="12" t="s">
        <v>1420</v>
      </c>
      <c r="P838" s="12" t="s">
        <v>1420</v>
      </c>
      <c r="Q838" s="12" t="s">
        <v>1420</v>
      </c>
      <c r="R838" s="12" t="s">
        <v>1420</v>
      </c>
      <c r="S838" s="12" t="s">
        <v>1420</v>
      </c>
      <c r="T838" s="12" t="s">
        <v>1420</v>
      </c>
      <c r="U838" s="12" t="s">
        <v>1420</v>
      </c>
      <c r="V838" s="12" t="s">
        <v>1420</v>
      </c>
      <c r="W838" s="12" t="s">
        <v>1420</v>
      </c>
      <c r="X838" s="12" t="s">
        <v>1420</v>
      </c>
      <c r="Y838" s="12" t="s">
        <v>1420</v>
      </c>
      <c r="Z838" s="12" t="s">
        <v>1420</v>
      </c>
      <c r="AA838" s="12" t="s">
        <v>1420</v>
      </c>
      <c r="AB838" s="12" t="s">
        <v>1420</v>
      </c>
      <c r="AC838" s="12" t="s">
        <v>1420</v>
      </c>
      <c r="AD838" s="12" t="s">
        <v>1420</v>
      </c>
      <c r="AE838" s="12" t="s">
        <v>1420</v>
      </c>
      <c r="AF838" s="12" t="s">
        <v>1420</v>
      </c>
      <c r="AG838" s="12" t="s">
        <v>1420</v>
      </c>
    </row>
    <row r="839" spans="1:33" ht="15" customHeight="1" x14ac:dyDescent="0.3">
      <c r="A839" s="12" t="s">
        <v>55</v>
      </c>
      <c r="B839" s="12" t="s">
        <v>733</v>
      </c>
      <c r="C839" s="12" t="s">
        <v>732</v>
      </c>
      <c r="D839" s="12" t="s">
        <v>1410</v>
      </c>
      <c r="E839" s="12" t="s">
        <v>1552</v>
      </c>
      <c r="F839" s="12" t="s">
        <v>1547</v>
      </c>
      <c r="G839" s="12" t="s">
        <v>1555</v>
      </c>
      <c r="H839" s="12" t="s">
        <v>1424</v>
      </c>
      <c r="I839" s="12" t="s">
        <v>1420</v>
      </c>
      <c r="J839" s="12" t="s">
        <v>1414</v>
      </c>
      <c r="K839" s="12" t="s">
        <v>1420</v>
      </c>
      <c r="L839" s="12" t="s">
        <v>1420</v>
      </c>
      <c r="M839" s="12" t="s">
        <v>1420</v>
      </c>
      <c r="N839" s="12" t="s">
        <v>1420</v>
      </c>
      <c r="O839" s="12" t="s">
        <v>1420</v>
      </c>
      <c r="P839" s="12" t="s">
        <v>1420</v>
      </c>
      <c r="Q839" s="12" t="s">
        <v>1420</v>
      </c>
      <c r="R839" s="12" t="s">
        <v>1420</v>
      </c>
      <c r="S839" s="12" t="s">
        <v>1420</v>
      </c>
      <c r="T839" s="12" t="s">
        <v>1414</v>
      </c>
      <c r="U839" s="12" t="s">
        <v>1414</v>
      </c>
      <c r="V839" s="12" t="s">
        <v>1420</v>
      </c>
      <c r="W839" s="12" t="s">
        <v>1420</v>
      </c>
      <c r="X839" s="12" t="s">
        <v>1420</v>
      </c>
      <c r="Y839" s="12" t="s">
        <v>1420</v>
      </c>
      <c r="Z839" s="12" t="s">
        <v>1420</v>
      </c>
      <c r="AA839" s="12" t="s">
        <v>1420</v>
      </c>
      <c r="AB839" s="12" t="s">
        <v>1420</v>
      </c>
      <c r="AC839" s="12" t="s">
        <v>1420</v>
      </c>
      <c r="AD839" s="12" t="s">
        <v>1420</v>
      </c>
      <c r="AE839" s="12" t="s">
        <v>1420</v>
      </c>
      <c r="AF839" s="12" t="s">
        <v>1420</v>
      </c>
      <c r="AG839" s="12" t="s">
        <v>1420</v>
      </c>
    </row>
    <row r="840" spans="1:33" ht="15" customHeight="1" x14ac:dyDescent="0.3">
      <c r="A840" s="12" t="s">
        <v>71</v>
      </c>
      <c r="B840" s="12" t="s">
        <v>6022</v>
      </c>
      <c r="C840" s="12" t="s">
        <v>6023</v>
      </c>
      <c r="D840" s="12" t="s">
        <v>1410</v>
      </c>
      <c r="E840" s="12" t="s">
        <v>6024</v>
      </c>
      <c r="F840" s="12" t="s">
        <v>6025</v>
      </c>
      <c r="G840" s="12" t="s">
        <v>1451</v>
      </c>
      <c r="H840" s="12" t="s">
        <v>1464</v>
      </c>
      <c r="I840" s="12" t="s">
        <v>1420</v>
      </c>
      <c r="J840" s="12" t="s">
        <v>1420</v>
      </c>
      <c r="K840" s="12" t="s">
        <v>1420</v>
      </c>
      <c r="L840" s="12" t="s">
        <v>1420</v>
      </c>
      <c r="M840" s="12" t="s">
        <v>1420</v>
      </c>
      <c r="N840" s="12" t="s">
        <v>1420</v>
      </c>
      <c r="O840" s="12" t="s">
        <v>1420</v>
      </c>
      <c r="P840" s="12" t="s">
        <v>1420</v>
      </c>
      <c r="Q840" s="12" t="s">
        <v>1420</v>
      </c>
      <c r="R840" s="12" t="s">
        <v>1420</v>
      </c>
      <c r="S840" s="12" t="s">
        <v>1420</v>
      </c>
      <c r="T840" s="12" t="s">
        <v>1420</v>
      </c>
      <c r="U840" s="12" t="s">
        <v>1420</v>
      </c>
      <c r="V840" s="12" t="s">
        <v>1420</v>
      </c>
      <c r="W840" s="12" t="s">
        <v>1420</v>
      </c>
      <c r="X840" s="12" t="s">
        <v>1420</v>
      </c>
      <c r="Y840" s="12" t="s">
        <v>1420</v>
      </c>
      <c r="Z840" s="12" t="s">
        <v>1420</v>
      </c>
      <c r="AA840" s="12" t="s">
        <v>1420</v>
      </c>
      <c r="AB840" s="12" t="s">
        <v>1420</v>
      </c>
      <c r="AC840" s="12" t="s">
        <v>1420</v>
      </c>
      <c r="AD840" s="12" t="s">
        <v>1420</v>
      </c>
      <c r="AE840" s="12" t="s">
        <v>1420</v>
      </c>
      <c r="AF840" s="12" t="s">
        <v>1420</v>
      </c>
      <c r="AG840" s="12" t="s">
        <v>1420</v>
      </c>
    </row>
    <row r="841" spans="1:33" ht="15" customHeight="1" x14ac:dyDescent="0.3">
      <c r="A841" s="12" t="s">
        <v>19</v>
      </c>
      <c r="B841" s="12" t="s">
        <v>1140</v>
      </c>
      <c r="C841" s="12" t="s">
        <v>1139</v>
      </c>
      <c r="D841" s="12" t="s">
        <v>1410</v>
      </c>
      <c r="E841" s="12" t="s">
        <v>1762</v>
      </c>
      <c r="F841" s="12" t="s">
        <v>1795</v>
      </c>
      <c r="G841" s="12" t="s">
        <v>1796</v>
      </c>
      <c r="H841" s="12" t="s">
        <v>1448</v>
      </c>
      <c r="I841" s="12" t="s">
        <v>1420</v>
      </c>
      <c r="J841" s="12" t="s">
        <v>1420</v>
      </c>
      <c r="K841" s="12" t="s">
        <v>1420</v>
      </c>
      <c r="L841" s="12" t="s">
        <v>1420</v>
      </c>
      <c r="M841" s="12" t="s">
        <v>1420</v>
      </c>
      <c r="N841" s="12" t="s">
        <v>1420</v>
      </c>
      <c r="O841" s="12" t="s">
        <v>1420</v>
      </c>
      <c r="P841" s="12" t="s">
        <v>1420</v>
      </c>
      <c r="Q841" s="12" t="s">
        <v>1420</v>
      </c>
      <c r="R841" s="12" t="s">
        <v>1420</v>
      </c>
      <c r="S841" s="12" t="s">
        <v>1420</v>
      </c>
      <c r="T841" s="12" t="s">
        <v>1414</v>
      </c>
      <c r="U841" s="12" t="s">
        <v>1414</v>
      </c>
      <c r="V841" s="12" t="s">
        <v>1420</v>
      </c>
      <c r="W841" s="12" t="s">
        <v>1420</v>
      </c>
      <c r="X841" s="12" t="s">
        <v>1414</v>
      </c>
      <c r="Y841" s="12" t="s">
        <v>1420</v>
      </c>
      <c r="Z841" s="12" t="s">
        <v>1420</v>
      </c>
      <c r="AA841" s="12" t="s">
        <v>1420</v>
      </c>
      <c r="AB841" s="12" t="s">
        <v>1420</v>
      </c>
      <c r="AC841" s="12" t="s">
        <v>1420</v>
      </c>
      <c r="AD841" s="12" t="s">
        <v>1414</v>
      </c>
      <c r="AE841" s="12" t="s">
        <v>1414</v>
      </c>
      <c r="AF841" s="12" t="s">
        <v>1420</v>
      </c>
      <c r="AG841" s="12" t="s">
        <v>1420</v>
      </c>
    </row>
    <row r="842" spans="1:33" ht="15" customHeight="1" x14ac:dyDescent="0.3">
      <c r="A842" s="12" t="s">
        <v>6026</v>
      </c>
      <c r="B842" s="12" t="s">
        <v>6027</v>
      </c>
      <c r="C842" s="12" t="s">
        <v>6028</v>
      </c>
      <c r="D842" s="12" t="s">
        <v>1410</v>
      </c>
      <c r="E842" s="12" t="s">
        <v>6029</v>
      </c>
      <c r="F842" s="12" t="s">
        <v>6030</v>
      </c>
      <c r="G842" s="12" t="s">
        <v>6031</v>
      </c>
      <c r="H842" s="12" t="s">
        <v>1448</v>
      </c>
      <c r="I842" s="12" t="s">
        <v>1420</v>
      </c>
      <c r="J842" s="12" t="s">
        <v>1420</v>
      </c>
      <c r="K842" s="12" t="s">
        <v>1420</v>
      </c>
      <c r="L842" s="12" t="s">
        <v>1420</v>
      </c>
      <c r="M842" s="12" t="s">
        <v>1420</v>
      </c>
      <c r="N842" s="12" t="s">
        <v>1420</v>
      </c>
      <c r="O842" s="12" t="s">
        <v>1420</v>
      </c>
      <c r="P842" s="12" t="s">
        <v>1414</v>
      </c>
      <c r="Q842" s="12" t="s">
        <v>1420</v>
      </c>
      <c r="R842" s="12" t="s">
        <v>1420</v>
      </c>
      <c r="S842" s="12" t="s">
        <v>1414</v>
      </c>
      <c r="T842" s="12" t="s">
        <v>1420</v>
      </c>
      <c r="U842" s="12" t="s">
        <v>1420</v>
      </c>
      <c r="V842" s="12" t="s">
        <v>1414</v>
      </c>
      <c r="W842" s="12" t="s">
        <v>1420</v>
      </c>
      <c r="X842" s="12" t="s">
        <v>1420</v>
      </c>
      <c r="Y842" s="12" t="s">
        <v>1420</v>
      </c>
      <c r="Z842" s="12" t="s">
        <v>1420</v>
      </c>
      <c r="AA842" s="12" t="s">
        <v>1420</v>
      </c>
      <c r="AB842" s="12" t="s">
        <v>1420</v>
      </c>
      <c r="AC842" s="12" t="s">
        <v>1414</v>
      </c>
      <c r="AD842" s="12" t="s">
        <v>1414</v>
      </c>
      <c r="AE842" s="12" t="s">
        <v>1420</v>
      </c>
      <c r="AF842" s="12" t="s">
        <v>1420</v>
      </c>
      <c r="AG842" s="12" t="s">
        <v>1420</v>
      </c>
    </row>
    <row r="843" spans="1:33" ht="15" customHeight="1" x14ac:dyDescent="0.3">
      <c r="A843" s="12" t="s">
        <v>16</v>
      </c>
      <c r="B843" s="12" t="s">
        <v>702</v>
      </c>
      <c r="C843" s="12" t="s">
        <v>701</v>
      </c>
      <c r="D843" s="12" t="s">
        <v>1410</v>
      </c>
      <c r="E843" s="12" t="s">
        <v>1525</v>
      </c>
      <c r="F843" s="12" t="s">
        <v>1526</v>
      </c>
      <c r="G843" s="12" t="s">
        <v>1527</v>
      </c>
      <c r="H843" s="12" t="s">
        <v>1488</v>
      </c>
      <c r="I843" s="12" t="s">
        <v>1420</v>
      </c>
      <c r="J843" s="12" t="s">
        <v>1420</v>
      </c>
      <c r="K843" s="12" t="s">
        <v>1420</v>
      </c>
      <c r="L843" s="12" t="s">
        <v>1420</v>
      </c>
      <c r="M843" s="12" t="s">
        <v>1420</v>
      </c>
      <c r="N843" s="12" t="s">
        <v>1420</v>
      </c>
      <c r="O843" s="12" t="s">
        <v>1420</v>
      </c>
      <c r="P843" s="12" t="s">
        <v>1420</v>
      </c>
      <c r="Q843" s="12" t="s">
        <v>1420</v>
      </c>
      <c r="R843" s="12" t="s">
        <v>1420</v>
      </c>
      <c r="S843" s="12" t="s">
        <v>1414</v>
      </c>
      <c r="T843" s="12" t="s">
        <v>1420</v>
      </c>
      <c r="U843" s="12" t="s">
        <v>1414</v>
      </c>
      <c r="V843" s="12" t="s">
        <v>1420</v>
      </c>
      <c r="W843" s="12" t="s">
        <v>1414</v>
      </c>
      <c r="X843" s="12" t="s">
        <v>1420</v>
      </c>
      <c r="Y843" s="12" t="s">
        <v>1420</v>
      </c>
      <c r="Z843" s="12" t="s">
        <v>1420</v>
      </c>
      <c r="AA843" s="12" t="s">
        <v>1420</v>
      </c>
      <c r="AB843" s="12" t="s">
        <v>1420</v>
      </c>
      <c r="AC843" s="12" t="s">
        <v>1420</v>
      </c>
      <c r="AD843" s="12" t="s">
        <v>1414</v>
      </c>
      <c r="AE843" s="12" t="s">
        <v>1420</v>
      </c>
      <c r="AF843" s="12" t="s">
        <v>1420</v>
      </c>
      <c r="AG843" s="12" t="s">
        <v>1420</v>
      </c>
    </row>
    <row r="844" spans="1:33" ht="15" customHeight="1" x14ac:dyDescent="0.3">
      <c r="A844" s="12" t="s">
        <v>42</v>
      </c>
      <c r="B844" s="12" t="s">
        <v>6032</v>
      </c>
      <c r="C844" s="12" t="s">
        <v>6033</v>
      </c>
      <c r="D844" s="12" t="s">
        <v>1456</v>
      </c>
      <c r="E844" s="12" t="s">
        <v>6034</v>
      </c>
      <c r="F844" s="12" t="s">
        <v>1415</v>
      </c>
      <c r="G844" s="12" t="s">
        <v>1415</v>
      </c>
      <c r="H844" s="12" t="s">
        <v>1415</v>
      </c>
      <c r="I844" s="12" t="s">
        <v>1415</v>
      </c>
      <c r="J844" s="12" t="s">
        <v>1415</v>
      </c>
      <c r="K844" s="12" t="s">
        <v>1415</v>
      </c>
      <c r="L844" s="12" t="s">
        <v>1415</v>
      </c>
      <c r="M844" s="12" t="s">
        <v>1415</v>
      </c>
      <c r="N844" s="12" t="s">
        <v>1415</v>
      </c>
      <c r="O844" s="12" t="s">
        <v>1415</v>
      </c>
      <c r="P844" s="12" t="s">
        <v>1415</v>
      </c>
      <c r="Q844" s="12" t="s">
        <v>1415</v>
      </c>
      <c r="R844" s="12" t="s">
        <v>1415</v>
      </c>
      <c r="S844" s="12" t="s">
        <v>1415</v>
      </c>
      <c r="T844" s="12" t="s">
        <v>1415</v>
      </c>
      <c r="U844" s="12" t="s">
        <v>1415</v>
      </c>
      <c r="V844" s="12" t="s">
        <v>1415</v>
      </c>
      <c r="W844" s="12" t="s">
        <v>1415</v>
      </c>
      <c r="X844" s="12" t="s">
        <v>1415</v>
      </c>
      <c r="Y844" s="12" t="s">
        <v>1415</v>
      </c>
      <c r="Z844" s="12" t="s">
        <v>1415</v>
      </c>
      <c r="AA844" s="12" t="s">
        <v>1415</v>
      </c>
      <c r="AB844" s="12" t="s">
        <v>1415</v>
      </c>
      <c r="AC844" s="12" t="s">
        <v>1415</v>
      </c>
      <c r="AD844" s="12" t="s">
        <v>1415</v>
      </c>
      <c r="AE844" s="12" t="s">
        <v>1415</v>
      </c>
      <c r="AF844" s="12" t="s">
        <v>1415</v>
      </c>
      <c r="AG844" s="12" t="s">
        <v>1415</v>
      </c>
    </row>
    <row r="845" spans="1:33" ht="15" customHeight="1" x14ac:dyDescent="0.3">
      <c r="A845" s="12" t="s">
        <v>123</v>
      </c>
      <c r="B845" s="12" t="s">
        <v>704</v>
      </c>
      <c r="C845" s="12" t="s">
        <v>703</v>
      </c>
      <c r="D845" s="12" t="s">
        <v>1410</v>
      </c>
      <c r="E845" s="12" t="s">
        <v>1471</v>
      </c>
      <c r="F845" s="12" t="s">
        <v>1472</v>
      </c>
      <c r="G845" s="12" t="s">
        <v>1473</v>
      </c>
      <c r="H845" s="12" t="s">
        <v>1464</v>
      </c>
      <c r="I845" s="12" t="s">
        <v>1420</v>
      </c>
      <c r="J845" s="12" t="s">
        <v>1420</v>
      </c>
      <c r="K845" s="12" t="s">
        <v>1420</v>
      </c>
      <c r="L845" s="12" t="s">
        <v>1420</v>
      </c>
      <c r="M845" s="12" t="s">
        <v>1420</v>
      </c>
      <c r="N845" s="12" t="s">
        <v>1420</v>
      </c>
      <c r="O845" s="12" t="s">
        <v>1420</v>
      </c>
      <c r="P845" s="12" t="s">
        <v>1420</v>
      </c>
      <c r="Q845" s="12" t="s">
        <v>1420</v>
      </c>
      <c r="R845" s="12" t="s">
        <v>1420</v>
      </c>
      <c r="S845" s="12" t="s">
        <v>1420</v>
      </c>
      <c r="T845" s="12" t="s">
        <v>1420</v>
      </c>
      <c r="U845" s="12" t="s">
        <v>1420</v>
      </c>
      <c r="V845" s="12" t="s">
        <v>1420</v>
      </c>
      <c r="W845" s="12" t="s">
        <v>1420</v>
      </c>
      <c r="X845" s="12" t="s">
        <v>1420</v>
      </c>
      <c r="Y845" s="12" t="s">
        <v>1420</v>
      </c>
      <c r="Z845" s="12" t="s">
        <v>1420</v>
      </c>
      <c r="AA845" s="12" t="s">
        <v>1420</v>
      </c>
      <c r="AB845" s="12" t="s">
        <v>1420</v>
      </c>
      <c r="AC845" s="12" t="s">
        <v>1420</v>
      </c>
      <c r="AD845" s="12" t="s">
        <v>1420</v>
      </c>
      <c r="AE845" s="12" t="s">
        <v>1420</v>
      </c>
      <c r="AF845" s="12" t="s">
        <v>1420</v>
      </c>
      <c r="AG845" s="12" t="s">
        <v>1420</v>
      </c>
    </row>
    <row r="846" spans="1:33" ht="15" customHeight="1" x14ac:dyDescent="0.3">
      <c r="A846" s="12" t="s">
        <v>42</v>
      </c>
      <c r="B846" s="12" t="s">
        <v>706</v>
      </c>
      <c r="C846" s="12" t="s">
        <v>705</v>
      </c>
      <c r="D846" s="12" t="s">
        <v>1410</v>
      </c>
      <c r="E846" s="12" t="s">
        <v>1552</v>
      </c>
      <c r="F846" s="12" t="s">
        <v>1556</v>
      </c>
      <c r="G846" s="12" t="s">
        <v>1557</v>
      </c>
      <c r="H846" s="12" t="s">
        <v>1452</v>
      </c>
      <c r="I846" s="12" t="s">
        <v>1420</v>
      </c>
      <c r="J846" s="12" t="s">
        <v>1420</v>
      </c>
      <c r="K846" s="12" t="s">
        <v>1420</v>
      </c>
      <c r="L846" s="12" t="s">
        <v>1420</v>
      </c>
      <c r="M846" s="12" t="s">
        <v>1420</v>
      </c>
      <c r="N846" s="12" t="s">
        <v>1420</v>
      </c>
      <c r="O846" s="12" t="s">
        <v>1420</v>
      </c>
      <c r="P846" s="12" t="s">
        <v>1420</v>
      </c>
      <c r="Q846" s="12" t="s">
        <v>1420</v>
      </c>
      <c r="R846" s="12" t="s">
        <v>1420</v>
      </c>
      <c r="S846" s="12" t="s">
        <v>1420</v>
      </c>
      <c r="T846" s="12" t="s">
        <v>1420</v>
      </c>
      <c r="U846" s="12" t="s">
        <v>1420</v>
      </c>
      <c r="V846" s="12" t="s">
        <v>1420</v>
      </c>
      <c r="W846" s="12" t="s">
        <v>1420</v>
      </c>
      <c r="X846" s="12" t="s">
        <v>1420</v>
      </c>
      <c r="Y846" s="12" t="s">
        <v>1420</v>
      </c>
      <c r="Z846" s="12" t="s">
        <v>1414</v>
      </c>
      <c r="AA846" s="12" t="s">
        <v>1420</v>
      </c>
      <c r="AB846" s="12" t="s">
        <v>1420</v>
      </c>
      <c r="AC846" s="12" t="s">
        <v>1420</v>
      </c>
      <c r="AD846" s="12" t="s">
        <v>1420</v>
      </c>
      <c r="AE846" s="12" t="s">
        <v>1420</v>
      </c>
      <c r="AF846" s="12" t="s">
        <v>1420</v>
      </c>
      <c r="AG846" s="12" t="s">
        <v>1420</v>
      </c>
    </row>
    <row r="847" spans="1:33" ht="15" customHeight="1" x14ac:dyDescent="0.3">
      <c r="A847" s="12" t="s">
        <v>28</v>
      </c>
      <c r="B847" s="12" t="s">
        <v>284</v>
      </c>
      <c r="C847" s="12" t="s">
        <v>283</v>
      </c>
      <c r="D847" s="12" t="s">
        <v>1410</v>
      </c>
      <c r="E847" s="12" t="s">
        <v>2522</v>
      </c>
      <c r="F847" s="12" t="s">
        <v>2523</v>
      </c>
      <c r="G847" s="12" t="s">
        <v>1484</v>
      </c>
      <c r="H847" s="12" t="s">
        <v>1452</v>
      </c>
      <c r="I847" s="12" t="s">
        <v>1420</v>
      </c>
      <c r="J847" s="12" t="s">
        <v>1420</v>
      </c>
      <c r="K847" s="12" t="s">
        <v>1420</v>
      </c>
      <c r="L847" s="12" t="s">
        <v>1420</v>
      </c>
      <c r="M847" s="12" t="s">
        <v>1420</v>
      </c>
      <c r="N847" s="12" t="s">
        <v>1420</v>
      </c>
      <c r="O847" s="12" t="s">
        <v>1420</v>
      </c>
      <c r="P847" s="12" t="s">
        <v>1420</v>
      </c>
      <c r="Q847" s="12" t="s">
        <v>1420</v>
      </c>
      <c r="R847" s="12" t="s">
        <v>1420</v>
      </c>
      <c r="S847" s="12" t="s">
        <v>1420</v>
      </c>
      <c r="T847" s="12" t="s">
        <v>1420</v>
      </c>
      <c r="U847" s="12" t="s">
        <v>1420</v>
      </c>
      <c r="V847" s="12" t="s">
        <v>1420</v>
      </c>
      <c r="W847" s="12" t="s">
        <v>1420</v>
      </c>
      <c r="X847" s="12" t="s">
        <v>1420</v>
      </c>
      <c r="Y847" s="12" t="s">
        <v>1420</v>
      </c>
      <c r="Z847" s="12" t="s">
        <v>1420</v>
      </c>
      <c r="AA847" s="12" t="s">
        <v>1414</v>
      </c>
      <c r="AB847" s="12" t="s">
        <v>1420</v>
      </c>
      <c r="AC847" s="12" t="s">
        <v>1420</v>
      </c>
      <c r="AD847" s="12" t="s">
        <v>1420</v>
      </c>
      <c r="AE847" s="12" t="s">
        <v>1420</v>
      </c>
      <c r="AF847" s="12" t="s">
        <v>1420</v>
      </c>
      <c r="AG847" s="12" t="s">
        <v>1420</v>
      </c>
    </row>
    <row r="848" spans="1:33" ht="15" customHeight="1" x14ac:dyDescent="0.3">
      <c r="A848" s="12" t="s">
        <v>25</v>
      </c>
      <c r="B848" s="12" t="s">
        <v>421</v>
      </c>
      <c r="C848" s="12" t="s">
        <v>420</v>
      </c>
      <c r="D848" s="12" t="s">
        <v>1410</v>
      </c>
      <c r="E848" s="12" t="s">
        <v>1759</v>
      </c>
      <c r="F848" s="12" t="s">
        <v>1760</v>
      </c>
      <c r="G848" s="12" t="s">
        <v>1761</v>
      </c>
      <c r="H848" s="12" t="s">
        <v>1424</v>
      </c>
      <c r="I848" s="12" t="s">
        <v>1420</v>
      </c>
      <c r="J848" s="12" t="s">
        <v>1420</v>
      </c>
      <c r="K848" s="12" t="s">
        <v>1420</v>
      </c>
      <c r="L848" s="12" t="s">
        <v>1420</v>
      </c>
      <c r="M848" s="12" t="s">
        <v>1420</v>
      </c>
      <c r="N848" s="12" t="s">
        <v>1420</v>
      </c>
      <c r="O848" s="12" t="s">
        <v>1414</v>
      </c>
      <c r="P848" s="12" t="s">
        <v>1420</v>
      </c>
      <c r="Q848" s="12" t="s">
        <v>1420</v>
      </c>
      <c r="R848" s="12" t="s">
        <v>1414</v>
      </c>
      <c r="S848" s="12" t="s">
        <v>1420</v>
      </c>
      <c r="T848" s="12" t="s">
        <v>1420</v>
      </c>
      <c r="U848" s="12" t="s">
        <v>1420</v>
      </c>
      <c r="V848" s="12" t="s">
        <v>1420</v>
      </c>
      <c r="W848" s="12" t="s">
        <v>1420</v>
      </c>
      <c r="X848" s="12" t="s">
        <v>1420</v>
      </c>
      <c r="Y848" s="12" t="s">
        <v>1420</v>
      </c>
      <c r="Z848" s="12" t="s">
        <v>1420</v>
      </c>
      <c r="AA848" s="12" t="s">
        <v>1414</v>
      </c>
      <c r="AB848" s="12" t="s">
        <v>1420</v>
      </c>
      <c r="AC848" s="12" t="s">
        <v>1420</v>
      </c>
      <c r="AD848" s="12" t="s">
        <v>1420</v>
      </c>
      <c r="AE848" s="12" t="s">
        <v>1420</v>
      </c>
      <c r="AF848" s="12" t="s">
        <v>1420</v>
      </c>
      <c r="AG848" s="12" t="s">
        <v>1420</v>
      </c>
    </row>
    <row r="849" spans="1:33" ht="15" customHeight="1" x14ac:dyDescent="0.3">
      <c r="A849" s="12" t="s">
        <v>31</v>
      </c>
      <c r="B849" s="12" t="s">
        <v>263</v>
      </c>
      <c r="C849" s="12" t="s">
        <v>262</v>
      </c>
      <c r="D849" s="12" t="s">
        <v>1410</v>
      </c>
      <c r="E849" s="12" t="s">
        <v>2535</v>
      </c>
      <c r="F849" s="12" t="s">
        <v>2536</v>
      </c>
      <c r="G849" s="12" t="s">
        <v>2537</v>
      </c>
      <c r="H849" s="12" t="s">
        <v>1419</v>
      </c>
      <c r="I849" s="12" t="s">
        <v>1420</v>
      </c>
      <c r="J849" s="12" t="s">
        <v>1420</v>
      </c>
      <c r="K849" s="12" t="s">
        <v>1420</v>
      </c>
      <c r="L849" s="12" t="s">
        <v>1420</v>
      </c>
      <c r="M849" s="12" t="s">
        <v>1420</v>
      </c>
      <c r="N849" s="12" t="s">
        <v>1420</v>
      </c>
      <c r="O849" s="12" t="s">
        <v>1420</v>
      </c>
      <c r="P849" s="12" t="s">
        <v>1420</v>
      </c>
      <c r="Q849" s="12" t="s">
        <v>1420</v>
      </c>
      <c r="R849" s="12" t="s">
        <v>1420</v>
      </c>
      <c r="S849" s="12" t="s">
        <v>1414</v>
      </c>
      <c r="T849" s="12" t="s">
        <v>1420</v>
      </c>
      <c r="U849" s="12" t="s">
        <v>1420</v>
      </c>
      <c r="V849" s="12" t="s">
        <v>1420</v>
      </c>
      <c r="W849" s="12" t="s">
        <v>1420</v>
      </c>
      <c r="X849" s="12" t="s">
        <v>1420</v>
      </c>
      <c r="Y849" s="12" t="s">
        <v>1420</v>
      </c>
      <c r="Z849" s="12" t="s">
        <v>1420</v>
      </c>
      <c r="AA849" s="12" t="s">
        <v>1420</v>
      </c>
      <c r="AB849" s="12" t="s">
        <v>1414</v>
      </c>
      <c r="AC849" s="12" t="s">
        <v>1420</v>
      </c>
      <c r="AD849" s="12" t="s">
        <v>1420</v>
      </c>
      <c r="AE849" s="12" t="s">
        <v>1420</v>
      </c>
      <c r="AF849" s="12" t="s">
        <v>1420</v>
      </c>
      <c r="AG849" s="12" t="s">
        <v>1420</v>
      </c>
    </row>
    <row r="850" spans="1:33" ht="15" customHeight="1" x14ac:dyDescent="0.3">
      <c r="A850" s="12" t="s">
        <v>55</v>
      </c>
      <c r="B850" s="12" t="s">
        <v>1037</v>
      </c>
      <c r="C850" s="12" t="s">
        <v>1036</v>
      </c>
      <c r="D850" s="12" t="s">
        <v>1410</v>
      </c>
      <c r="E850" s="12" t="s">
        <v>1973</v>
      </c>
      <c r="F850" s="12" t="s">
        <v>1983</v>
      </c>
      <c r="G850" s="12" t="s">
        <v>1984</v>
      </c>
      <c r="H850" s="12" t="s">
        <v>1428</v>
      </c>
      <c r="I850" s="12" t="s">
        <v>1420</v>
      </c>
      <c r="J850" s="12" t="s">
        <v>1414</v>
      </c>
      <c r="K850" s="12" t="s">
        <v>1420</v>
      </c>
      <c r="L850" s="12" t="s">
        <v>1420</v>
      </c>
      <c r="M850" s="12" t="s">
        <v>1420</v>
      </c>
      <c r="N850" s="12" t="s">
        <v>1420</v>
      </c>
      <c r="O850" s="12" t="s">
        <v>1420</v>
      </c>
      <c r="P850" s="12" t="s">
        <v>1420</v>
      </c>
      <c r="Q850" s="12" t="s">
        <v>1414</v>
      </c>
      <c r="R850" s="12" t="s">
        <v>1414</v>
      </c>
      <c r="S850" s="12" t="s">
        <v>1420</v>
      </c>
      <c r="T850" s="12" t="s">
        <v>1420</v>
      </c>
      <c r="U850" s="12" t="s">
        <v>1420</v>
      </c>
      <c r="V850" s="12" t="s">
        <v>1420</v>
      </c>
      <c r="W850" s="12" t="s">
        <v>1420</v>
      </c>
      <c r="X850" s="12" t="s">
        <v>1414</v>
      </c>
      <c r="Y850" s="12" t="s">
        <v>1420</v>
      </c>
      <c r="Z850" s="12" t="s">
        <v>1420</v>
      </c>
      <c r="AA850" s="12" t="s">
        <v>1420</v>
      </c>
      <c r="AB850" s="12" t="s">
        <v>1414</v>
      </c>
      <c r="AC850" s="12" t="s">
        <v>1414</v>
      </c>
      <c r="AD850" s="12" t="s">
        <v>1420</v>
      </c>
      <c r="AE850" s="12" t="s">
        <v>1414</v>
      </c>
      <c r="AF850" s="12" t="s">
        <v>1420</v>
      </c>
      <c r="AG850" s="12" t="s">
        <v>1420</v>
      </c>
    </row>
    <row r="851" spans="1:33" ht="15" customHeight="1" x14ac:dyDescent="0.3">
      <c r="A851" s="12" t="s">
        <v>55</v>
      </c>
      <c r="B851" s="12" t="s">
        <v>1037</v>
      </c>
      <c r="C851" s="12" t="s">
        <v>1036</v>
      </c>
      <c r="D851" s="12" t="s">
        <v>1410</v>
      </c>
      <c r="E851" s="12" t="s">
        <v>2480</v>
      </c>
      <c r="F851" s="12" t="s">
        <v>2476</v>
      </c>
      <c r="G851" s="12" t="s">
        <v>1635</v>
      </c>
      <c r="H851" s="12" t="s">
        <v>1419</v>
      </c>
      <c r="I851" s="12" t="s">
        <v>1414</v>
      </c>
      <c r="J851" s="12" t="s">
        <v>1420</v>
      </c>
      <c r="K851" s="12" t="s">
        <v>1420</v>
      </c>
      <c r="L851" s="12" t="s">
        <v>1420</v>
      </c>
      <c r="M851" s="12" t="s">
        <v>1420</v>
      </c>
      <c r="N851" s="12" t="s">
        <v>1420</v>
      </c>
      <c r="O851" s="12" t="s">
        <v>1420</v>
      </c>
      <c r="P851" s="12" t="s">
        <v>1420</v>
      </c>
      <c r="Q851" s="12" t="s">
        <v>1420</v>
      </c>
      <c r="R851" s="12" t="s">
        <v>1420</v>
      </c>
      <c r="S851" s="12" t="s">
        <v>1420</v>
      </c>
      <c r="T851" s="12" t="s">
        <v>1420</v>
      </c>
      <c r="U851" s="12" t="s">
        <v>1420</v>
      </c>
      <c r="V851" s="12" t="s">
        <v>1420</v>
      </c>
      <c r="W851" s="12" t="s">
        <v>1420</v>
      </c>
      <c r="X851" s="12" t="s">
        <v>1414</v>
      </c>
      <c r="Y851" s="12" t="s">
        <v>1420</v>
      </c>
      <c r="Z851" s="12" t="s">
        <v>1420</v>
      </c>
      <c r="AA851" s="12" t="s">
        <v>1420</v>
      </c>
      <c r="AB851" s="12" t="s">
        <v>1420</v>
      </c>
      <c r="AC851" s="12" t="s">
        <v>1420</v>
      </c>
      <c r="AD851" s="12" t="s">
        <v>1420</v>
      </c>
      <c r="AE851" s="12" t="s">
        <v>1420</v>
      </c>
      <c r="AF851" s="12" t="s">
        <v>1420</v>
      </c>
      <c r="AG851" s="12" t="s">
        <v>1420</v>
      </c>
    </row>
    <row r="852" spans="1:33" ht="15" customHeight="1" x14ac:dyDescent="0.3">
      <c r="A852" s="12" t="s">
        <v>31</v>
      </c>
      <c r="B852" s="12" t="s">
        <v>6035</v>
      </c>
      <c r="C852" s="12" t="s">
        <v>6036</v>
      </c>
      <c r="D852" s="12" t="s">
        <v>1410</v>
      </c>
      <c r="E852" s="12" t="s">
        <v>5749</v>
      </c>
      <c r="F852" s="12" t="s">
        <v>6037</v>
      </c>
      <c r="G852" s="12" t="s">
        <v>6038</v>
      </c>
      <c r="H852" s="12" t="s">
        <v>1464</v>
      </c>
      <c r="I852" s="12" t="s">
        <v>1420</v>
      </c>
      <c r="J852" s="12" t="s">
        <v>1420</v>
      </c>
      <c r="K852" s="12" t="s">
        <v>1420</v>
      </c>
      <c r="L852" s="12" t="s">
        <v>1420</v>
      </c>
      <c r="M852" s="12" t="s">
        <v>1420</v>
      </c>
      <c r="N852" s="12" t="s">
        <v>1420</v>
      </c>
      <c r="O852" s="12" t="s">
        <v>1420</v>
      </c>
      <c r="P852" s="12" t="s">
        <v>1420</v>
      </c>
      <c r="Q852" s="12" t="s">
        <v>1420</v>
      </c>
      <c r="R852" s="12" t="s">
        <v>1420</v>
      </c>
      <c r="S852" s="12" t="s">
        <v>1420</v>
      </c>
      <c r="T852" s="12" t="s">
        <v>1420</v>
      </c>
      <c r="U852" s="12" t="s">
        <v>1420</v>
      </c>
      <c r="V852" s="12" t="s">
        <v>1420</v>
      </c>
      <c r="W852" s="12" t="s">
        <v>1420</v>
      </c>
      <c r="X852" s="12" t="s">
        <v>1420</v>
      </c>
      <c r="Y852" s="12" t="s">
        <v>1420</v>
      </c>
      <c r="Z852" s="12" t="s">
        <v>1420</v>
      </c>
      <c r="AA852" s="12" t="s">
        <v>1420</v>
      </c>
      <c r="AB852" s="12" t="s">
        <v>1420</v>
      </c>
      <c r="AC852" s="12" t="s">
        <v>1420</v>
      </c>
      <c r="AD852" s="12" t="s">
        <v>1420</v>
      </c>
      <c r="AE852" s="12" t="s">
        <v>1420</v>
      </c>
      <c r="AF852" s="12" t="s">
        <v>1420</v>
      </c>
      <c r="AG852" s="12" t="s">
        <v>1420</v>
      </c>
    </row>
    <row r="853" spans="1:33" ht="15" customHeight="1" x14ac:dyDescent="0.3">
      <c r="A853" s="12" t="s">
        <v>11</v>
      </c>
      <c r="B853" s="12" t="s">
        <v>6039</v>
      </c>
      <c r="C853" s="12" t="s">
        <v>6040</v>
      </c>
      <c r="D853" s="12" t="s">
        <v>1410</v>
      </c>
      <c r="E853" s="12" t="s">
        <v>6041</v>
      </c>
      <c r="F853" s="12" t="s">
        <v>6042</v>
      </c>
      <c r="G853" s="12" t="s">
        <v>6043</v>
      </c>
      <c r="H853" s="12" t="s">
        <v>1419</v>
      </c>
      <c r="I853" s="12" t="s">
        <v>1420</v>
      </c>
      <c r="J853" s="12" t="s">
        <v>1420</v>
      </c>
      <c r="K853" s="12" t="s">
        <v>1420</v>
      </c>
      <c r="L853" s="12" t="s">
        <v>1420</v>
      </c>
      <c r="M853" s="12" t="s">
        <v>1420</v>
      </c>
      <c r="N853" s="12" t="s">
        <v>1420</v>
      </c>
      <c r="O853" s="12" t="s">
        <v>1420</v>
      </c>
      <c r="P853" s="12" t="s">
        <v>1414</v>
      </c>
      <c r="Q853" s="12" t="s">
        <v>1420</v>
      </c>
      <c r="R853" s="12" t="s">
        <v>1420</v>
      </c>
      <c r="S853" s="12" t="s">
        <v>1420</v>
      </c>
      <c r="T853" s="12" t="s">
        <v>1420</v>
      </c>
      <c r="U853" s="12" t="s">
        <v>1420</v>
      </c>
      <c r="V853" s="12" t="s">
        <v>1414</v>
      </c>
      <c r="W853" s="12" t="s">
        <v>1420</v>
      </c>
      <c r="X853" s="12" t="s">
        <v>1420</v>
      </c>
      <c r="Y853" s="12" t="s">
        <v>1420</v>
      </c>
      <c r="Z853" s="12" t="s">
        <v>1420</v>
      </c>
      <c r="AA853" s="12" t="s">
        <v>1420</v>
      </c>
      <c r="AB853" s="12" t="s">
        <v>1420</v>
      </c>
      <c r="AC853" s="12" t="s">
        <v>1420</v>
      </c>
      <c r="AD853" s="12" t="s">
        <v>1420</v>
      </c>
      <c r="AE853" s="12" t="s">
        <v>1420</v>
      </c>
      <c r="AF853" s="12" t="s">
        <v>1420</v>
      </c>
      <c r="AG853" s="12" t="s">
        <v>1420</v>
      </c>
    </row>
    <row r="854" spans="1:33" ht="15" customHeight="1" x14ac:dyDescent="0.3">
      <c r="A854" s="12" t="s">
        <v>8</v>
      </c>
      <c r="B854" s="12" t="s">
        <v>708</v>
      </c>
      <c r="C854" s="12" t="s">
        <v>707</v>
      </c>
      <c r="D854" s="12" t="s">
        <v>1410</v>
      </c>
      <c r="E854" s="12" t="s">
        <v>1638</v>
      </c>
      <c r="F854" s="12" t="s">
        <v>6044</v>
      </c>
      <c r="G854" s="12" t="s">
        <v>1413</v>
      </c>
      <c r="H854" s="12" t="s">
        <v>2062</v>
      </c>
      <c r="I854" s="12" t="s">
        <v>1420</v>
      </c>
      <c r="J854" s="12" t="s">
        <v>1414</v>
      </c>
      <c r="K854" s="12" t="s">
        <v>1420</v>
      </c>
      <c r="L854" s="12" t="s">
        <v>1420</v>
      </c>
      <c r="M854" s="12" t="s">
        <v>1420</v>
      </c>
      <c r="N854" s="12" t="s">
        <v>1414</v>
      </c>
      <c r="O854" s="12" t="s">
        <v>1414</v>
      </c>
      <c r="P854" s="12" t="s">
        <v>1414</v>
      </c>
      <c r="Q854" s="12" t="s">
        <v>1420</v>
      </c>
      <c r="R854" s="12" t="s">
        <v>1415</v>
      </c>
      <c r="S854" s="12" t="s">
        <v>1415</v>
      </c>
      <c r="T854" s="12" t="s">
        <v>1415</v>
      </c>
      <c r="U854" s="12" t="s">
        <v>1415</v>
      </c>
      <c r="V854" s="12" t="s">
        <v>1415</v>
      </c>
      <c r="W854" s="12" t="s">
        <v>1415</v>
      </c>
      <c r="X854" s="12" t="s">
        <v>1415</v>
      </c>
      <c r="Y854" s="12" t="s">
        <v>1415</v>
      </c>
      <c r="Z854" s="12" t="s">
        <v>1415</v>
      </c>
      <c r="AA854" s="12" t="s">
        <v>1415</v>
      </c>
      <c r="AB854" s="12" t="s">
        <v>1415</v>
      </c>
      <c r="AC854" s="12" t="s">
        <v>1415</v>
      </c>
      <c r="AD854" s="12" t="s">
        <v>1415</v>
      </c>
      <c r="AE854" s="12" t="s">
        <v>1415</v>
      </c>
      <c r="AF854" s="12" t="s">
        <v>1415</v>
      </c>
      <c r="AG854" s="12" t="s">
        <v>1415</v>
      </c>
    </row>
    <row r="855" spans="1:33" ht="15" customHeight="1" x14ac:dyDescent="0.3">
      <c r="A855" s="12" t="s">
        <v>8</v>
      </c>
      <c r="B855" s="12" t="s">
        <v>708</v>
      </c>
      <c r="C855" s="12" t="s">
        <v>707</v>
      </c>
      <c r="D855" s="12" t="s">
        <v>1410</v>
      </c>
      <c r="E855" s="12" t="s">
        <v>6045</v>
      </c>
      <c r="F855" s="12" t="s">
        <v>6046</v>
      </c>
      <c r="G855" s="12" t="s">
        <v>5404</v>
      </c>
      <c r="H855" s="12" t="s">
        <v>1419</v>
      </c>
      <c r="I855" s="12" t="s">
        <v>1420</v>
      </c>
      <c r="J855" s="12" t="s">
        <v>1420</v>
      </c>
      <c r="K855" s="12" t="s">
        <v>1420</v>
      </c>
      <c r="L855" s="12" t="s">
        <v>1420</v>
      </c>
      <c r="M855" s="12" t="s">
        <v>1420</v>
      </c>
      <c r="N855" s="12" t="s">
        <v>1420</v>
      </c>
      <c r="O855" s="12" t="s">
        <v>1420</v>
      </c>
      <c r="P855" s="12" t="s">
        <v>1420</v>
      </c>
      <c r="Q855" s="12" t="s">
        <v>1420</v>
      </c>
      <c r="R855" s="12" t="s">
        <v>1420</v>
      </c>
      <c r="S855" s="12" t="s">
        <v>1420</v>
      </c>
      <c r="T855" s="12" t="s">
        <v>1420</v>
      </c>
      <c r="U855" s="12" t="s">
        <v>1420</v>
      </c>
      <c r="V855" s="12" t="s">
        <v>1420</v>
      </c>
      <c r="W855" s="12" t="s">
        <v>1420</v>
      </c>
      <c r="X855" s="12" t="s">
        <v>1414</v>
      </c>
      <c r="Y855" s="12" t="s">
        <v>1420</v>
      </c>
      <c r="Z855" s="12" t="s">
        <v>1420</v>
      </c>
      <c r="AA855" s="12" t="s">
        <v>1420</v>
      </c>
      <c r="AB855" s="12" t="s">
        <v>1420</v>
      </c>
      <c r="AC855" s="12" t="s">
        <v>1414</v>
      </c>
      <c r="AD855" s="12" t="s">
        <v>1420</v>
      </c>
      <c r="AE855" s="12" t="s">
        <v>1420</v>
      </c>
      <c r="AF855" s="12" t="s">
        <v>1420</v>
      </c>
      <c r="AG855" s="12" t="s">
        <v>1420</v>
      </c>
    </row>
    <row r="856" spans="1:33" ht="15" customHeight="1" x14ac:dyDescent="0.3">
      <c r="A856" s="12" t="s">
        <v>22</v>
      </c>
      <c r="B856" s="12" t="s">
        <v>265</v>
      </c>
      <c r="C856" s="12" t="s">
        <v>264</v>
      </c>
      <c r="D856" s="12" t="s">
        <v>1410</v>
      </c>
      <c r="E856" s="12" t="s">
        <v>2433</v>
      </c>
      <c r="F856" s="12" t="s">
        <v>2434</v>
      </c>
      <c r="G856" s="12" t="s">
        <v>1413</v>
      </c>
      <c r="H856" s="12" t="s">
        <v>2435</v>
      </c>
      <c r="I856" s="12" t="s">
        <v>1420</v>
      </c>
      <c r="J856" s="12" t="s">
        <v>1420</v>
      </c>
      <c r="K856" s="12" t="s">
        <v>1414</v>
      </c>
      <c r="L856" s="12" t="s">
        <v>1415</v>
      </c>
      <c r="M856" s="12" t="s">
        <v>1415</v>
      </c>
      <c r="N856" s="12" t="s">
        <v>1415</v>
      </c>
      <c r="O856" s="12" t="s">
        <v>1415</v>
      </c>
      <c r="P856" s="12" t="s">
        <v>1415</v>
      </c>
      <c r="Q856" s="12" t="s">
        <v>1415</v>
      </c>
      <c r="R856" s="12" t="s">
        <v>1415</v>
      </c>
      <c r="S856" s="12" t="s">
        <v>1415</v>
      </c>
      <c r="T856" s="12" t="s">
        <v>1415</v>
      </c>
      <c r="U856" s="12" t="s">
        <v>1415</v>
      </c>
      <c r="V856" s="12" t="s">
        <v>1415</v>
      </c>
      <c r="W856" s="12" t="s">
        <v>1415</v>
      </c>
      <c r="X856" s="12" t="s">
        <v>1415</v>
      </c>
      <c r="Y856" s="12" t="s">
        <v>1415</v>
      </c>
      <c r="Z856" s="12" t="s">
        <v>1415</v>
      </c>
      <c r="AA856" s="12" t="s">
        <v>1415</v>
      </c>
      <c r="AB856" s="12" t="s">
        <v>1415</v>
      </c>
      <c r="AC856" s="12" t="s">
        <v>1415</v>
      </c>
      <c r="AD856" s="12" t="s">
        <v>1415</v>
      </c>
      <c r="AE856" s="12" t="s">
        <v>1415</v>
      </c>
      <c r="AF856" s="12" t="s">
        <v>1415</v>
      </c>
      <c r="AG856" s="12" t="s">
        <v>1415</v>
      </c>
    </row>
    <row r="857" spans="1:33" ht="15" customHeight="1" x14ac:dyDescent="0.3">
      <c r="A857" s="12" t="s">
        <v>22</v>
      </c>
      <c r="B857" s="12" t="s">
        <v>265</v>
      </c>
      <c r="C857" s="12" t="s">
        <v>264</v>
      </c>
      <c r="D857" s="12" t="s">
        <v>1410</v>
      </c>
      <c r="E857" s="12" t="s">
        <v>2538</v>
      </c>
      <c r="F857" s="12" t="s">
        <v>2539</v>
      </c>
      <c r="G857" s="12" t="s">
        <v>2540</v>
      </c>
      <c r="H857" s="12" t="s">
        <v>1452</v>
      </c>
      <c r="I857" s="12" t="s">
        <v>1420</v>
      </c>
      <c r="J857" s="12" t="s">
        <v>1420</v>
      </c>
      <c r="K857" s="12" t="s">
        <v>1420</v>
      </c>
      <c r="L857" s="12" t="s">
        <v>1420</v>
      </c>
      <c r="M857" s="12" t="s">
        <v>1420</v>
      </c>
      <c r="N857" s="12" t="s">
        <v>1420</v>
      </c>
      <c r="O857" s="12" t="s">
        <v>1420</v>
      </c>
      <c r="P857" s="12" t="s">
        <v>1420</v>
      </c>
      <c r="Q857" s="12" t="s">
        <v>1420</v>
      </c>
      <c r="R857" s="12" t="s">
        <v>1420</v>
      </c>
      <c r="S857" s="12" t="s">
        <v>1420</v>
      </c>
      <c r="T857" s="12" t="s">
        <v>1420</v>
      </c>
      <c r="U857" s="12" t="s">
        <v>1420</v>
      </c>
      <c r="V857" s="12" t="s">
        <v>1420</v>
      </c>
      <c r="W857" s="12" t="s">
        <v>1420</v>
      </c>
      <c r="X857" s="12" t="s">
        <v>1420</v>
      </c>
      <c r="Y857" s="12" t="s">
        <v>1420</v>
      </c>
      <c r="Z857" s="12" t="s">
        <v>1420</v>
      </c>
      <c r="AA857" s="12" t="s">
        <v>1420</v>
      </c>
      <c r="AB857" s="12" t="s">
        <v>1420</v>
      </c>
      <c r="AC857" s="12" t="s">
        <v>1420</v>
      </c>
      <c r="AD857" s="12" t="s">
        <v>1414</v>
      </c>
      <c r="AE857" s="12" t="s">
        <v>1420</v>
      </c>
      <c r="AF857" s="12" t="s">
        <v>1420</v>
      </c>
      <c r="AG857" s="12" t="s">
        <v>1420</v>
      </c>
    </row>
    <row r="858" spans="1:33" ht="15" customHeight="1" x14ac:dyDescent="0.3">
      <c r="A858" s="12" t="s">
        <v>55</v>
      </c>
      <c r="B858" s="12" t="s">
        <v>6047</v>
      </c>
      <c r="C858" s="12" t="s">
        <v>6048</v>
      </c>
      <c r="D858" s="12" t="s">
        <v>1410</v>
      </c>
      <c r="E858" s="12" t="s">
        <v>6049</v>
      </c>
      <c r="F858" s="12" t="s">
        <v>6050</v>
      </c>
      <c r="G858" s="12" t="s">
        <v>6051</v>
      </c>
      <c r="H858" s="12" t="s">
        <v>1448</v>
      </c>
      <c r="I858" s="12" t="s">
        <v>1420</v>
      </c>
      <c r="J858" s="12" t="s">
        <v>1414</v>
      </c>
      <c r="K858" s="12" t="s">
        <v>1414</v>
      </c>
      <c r="L858" s="12" t="s">
        <v>1420</v>
      </c>
      <c r="M858" s="12" t="s">
        <v>1420</v>
      </c>
      <c r="N858" s="12" t="s">
        <v>1414</v>
      </c>
      <c r="O858" s="12" t="s">
        <v>1414</v>
      </c>
      <c r="P858" s="12" t="s">
        <v>1420</v>
      </c>
      <c r="Q858" s="12" t="s">
        <v>1420</v>
      </c>
      <c r="R858" s="12" t="s">
        <v>1420</v>
      </c>
      <c r="S858" s="12" t="s">
        <v>1420</v>
      </c>
      <c r="T858" s="12" t="s">
        <v>1414</v>
      </c>
      <c r="U858" s="12" t="s">
        <v>1420</v>
      </c>
      <c r="V858" s="12" t="s">
        <v>1420</v>
      </c>
      <c r="W858" s="12" t="s">
        <v>1420</v>
      </c>
      <c r="X858" s="12" t="s">
        <v>1420</v>
      </c>
      <c r="Y858" s="12" t="s">
        <v>1420</v>
      </c>
      <c r="Z858" s="12" t="s">
        <v>1420</v>
      </c>
      <c r="AA858" s="12" t="s">
        <v>1420</v>
      </c>
      <c r="AB858" s="12" t="s">
        <v>1420</v>
      </c>
      <c r="AC858" s="12" t="s">
        <v>1420</v>
      </c>
      <c r="AD858" s="12" t="s">
        <v>1420</v>
      </c>
      <c r="AE858" s="12" t="s">
        <v>1420</v>
      </c>
      <c r="AF858" s="12" t="s">
        <v>1420</v>
      </c>
      <c r="AG858" s="12" t="s">
        <v>1420</v>
      </c>
    </row>
    <row r="859" spans="1:33" ht="15" customHeight="1" x14ac:dyDescent="0.3">
      <c r="A859" s="12" t="s">
        <v>8</v>
      </c>
      <c r="B859" s="12" t="s">
        <v>6052</v>
      </c>
      <c r="C859" s="12" t="s">
        <v>6053</v>
      </c>
      <c r="D859" s="12" t="s">
        <v>1410</v>
      </c>
      <c r="E859" s="12" t="s">
        <v>6054</v>
      </c>
      <c r="F859" s="12" t="s">
        <v>6055</v>
      </c>
      <c r="G859" s="12" t="s">
        <v>4888</v>
      </c>
      <c r="H859" s="12" t="s">
        <v>1488</v>
      </c>
      <c r="I859" s="12" t="s">
        <v>1420</v>
      </c>
      <c r="J859" s="12" t="s">
        <v>1420</v>
      </c>
      <c r="K859" s="12" t="s">
        <v>1420</v>
      </c>
      <c r="L859" s="12" t="s">
        <v>1420</v>
      </c>
      <c r="M859" s="12" t="s">
        <v>1420</v>
      </c>
      <c r="N859" s="12" t="s">
        <v>1420</v>
      </c>
      <c r="O859" s="12" t="s">
        <v>1420</v>
      </c>
      <c r="P859" s="12" t="s">
        <v>1420</v>
      </c>
      <c r="Q859" s="12" t="s">
        <v>1420</v>
      </c>
      <c r="R859" s="12" t="s">
        <v>1420</v>
      </c>
      <c r="S859" s="12" t="s">
        <v>1420</v>
      </c>
      <c r="T859" s="12" t="s">
        <v>1414</v>
      </c>
      <c r="U859" s="12" t="s">
        <v>1414</v>
      </c>
      <c r="V859" s="12" t="s">
        <v>1420</v>
      </c>
      <c r="W859" s="12" t="s">
        <v>1420</v>
      </c>
      <c r="X859" s="12" t="s">
        <v>1420</v>
      </c>
      <c r="Y859" s="12" t="s">
        <v>1420</v>
      </c>
      <c r="Z859" s="12" t="s">
        <v>1414</v>
      </c>
      <c r="AA859" s="12" t="s">
        <v>1420</v>
      </c>
      <c r="AB859" s="12" t="s">
        <v>1420</v>
      </c>
      <c r="AC859" s="12" t="s">
        <v>1420</v>
      </c>
      <c r="AD859" s="12" t="s">
        <v>1420</v>
      </c>
      <c r="AE859" s="12" t="s">
        <v>1414</v>
      </c>
      <c r="AF859" s="12" t="s">
        <v>1420</v>
      </c>
      <c r="AG859" s="12" t="s">
        <v>1420</v>
      </c>
    </row>
    <row r="860" spans="1:33" ht="15" customHeight="1" x14ac:dyDescent="0.3">
      <c r="A860" s="12" t="s">
        <v>8</v>
      </c>
      <c r="B860" s="12" t="s">
        <v>1286</v>
      </c>
      <c r="C860" s="12" t="s">
        <v>1285</v>
      </c>
      <c r="D860" s="12" t="s">
        <v>1410</v>
      </c>
      <c r="E860" s="12" t="s">
        <v>2317</v>
      </c>
      <c r="F860" s="12" t="s">
        <v>2318</v>
      </c>
      <c r="G860" s="12" t="s">
        <v>2319</v>
      </c>
      <c r="H860" s="12" t="s">
        <v>1452</v>
      </c>
      <c r="I860" s="12" t="s">
        <v>1420</v>
      </c>
      <c r="J860" s="12" t="s">
        <v>1420</v>
      </c>
      <c r="K860" s="12" t="s">
        <v>1420</v>
      </c>
      <c r="L860" s="12" t="s">
        <v>1420</v>
      </c>
      <c r="M860" s="12" t="s">
        <v>1420</v>
      </c>
      <c r="N860" s="12" t="s">
        <v>1420</v>
      </c>
      <c r="O860" s="12" t="s">
        <v>1420</v>
      </c>
      <c r="P860" s="12" t="s">
        <v>1420</v>
      </c>
      <c r="Q860" s="12" t="s">
        <v>1414</v>
      </c>
      <c r="R860" s="12" t="s">
        <v>1420</v>
      </c>
      <c r="S860" s="12" t="s">
        <v>1420</v>
      </c>
      <c r="T860" s="12" t="s">
        <v>1420</v>
      </c>
      <c r="U860" s="12" t="s">
        <v>1420</v>
      </c>
      <c r="V860" s="12" t="s">
        <v>1420</v>
      </c>
      <c r="W860" s="12" t="s">
        <v>1420</v>
      </c>
      <c r="X860" s="12" t="s">
        <v>1420</v>
      </c>
      <c r="Y860" s="12" t="s">
        <v>1420</v>
      </c>
      <c r="Z860" s="12" t="s">
        <v>1420</v>
      </c>
      <c r="AA860" s="12" t="s">
        <v>1420</v>
      </c>
      <c r="AB860" s="12" t="s">
        <v>1420</v>
      </c>
      <c r="AC860" s="12" t="s">
        <v>1420</v>
      </c>
      <c r="AD860" s="12" t="s">
        <v>1420</v>
      </c>
      <c r="AE860" s="12" t="s">
        <v>1420</v>
      </c>
      <c r="AF860" s="12" t="s">
        <v>1420</v>
      </c>
      <c r="AG860" s="12" t="s">
        <v>1420</v>
      </c>
    </row>
    <row r="861" spans="1:33" ht="15" customHeight="1" x14ac:dyDescent="0.3">
      <c r="A861" s="12" t="s">
        <v>3179</v>
      </c>
      <c r="B861" s="12"/>
      <c r="C861" s="12"/>
      <c r="D861" s="12"/>
      <c r="E861" s="12"/>
      <c r="F861" s="12"/>
      <c r="G861" s="12"/>
      <c r="H861" s="12" t="s">
        <v>6056</v>
      </c>
      <c r="I861" s="12" t="s">
        <v>3180</v>
      </c>
      <c r="J861" s="12" t="s">
        <v>3181</v>
      </c>
      <c r="K861" s="12" t="s">
        <v>3182</v>
      </c>
      <c r="L861" s="12" t="s">
        <v>3182</v>
      </c>
      <c r="M861" s="12" t="s">
        <v>3183</v>
      </c>
      <c r="N861" s="12" t="s">
        <v>3192</v>
      </c>
      <c r="O861" s="12" t="s">
        <v>3185</v>
      </c>
      <c r="P861" s="12" t="s">
        <v>3186</v>
      </c>
      <c r="Q861" s="12" t="s">
        <v>3187</v>
      </c>
      <c r="R861" s="12" t="s">
        <v>3188</v>
      </c>
      <c r="S861" s="12" t="s">
        <v>3189</v>
      </c>
      <c r="T861" s="12" t="s">
        <v>6057</v>
      </c>
      <c r="U861" s="12" t="s">
        <v>3193</v>
      </c>
      <c r="V861" s="12" t="s">
        <v>3188</v>
      </c>
      <c r="W861" s="12" t="s">
        <v>6057</v>
      </c>
      <c r="X861" s="12" t="s">
        <v>6058</v>
      </c>
      <c r="Y861" s="12" t="s">
        <v>3191</v>
      </c>
      <c r="Z861" s="12" t="s">
        <v>3193</v>
      </c>
      <c r="AA861" s="12" t="s">
        <v>3181</v>
      </c>
      <c r="AB861" s="12" t="s">
        <v>3190</v>
      </c>
      <c r="AC861" s="12" t="s">
        <v>6058</v>
      </c>
      <c r="AD861" s="12" t="s">
        <v>3189</v>
      </c>
      <c r="AE861" s="12" t="s">
        <v>3184</v>
      </c>
      <c r="AF861" s="12" t="s">
        <v>6059</v>
      </c>
      <c r="AG861" s="12" t="s">
        <v>6059</v>
      </c>
    </row>
  </sheetData>
  <autoFilter ref="A1:AG1" xr:uid="{25FA3EF5-FCC4-4ED1-9ED1-FC880EA9C1FE}">
    <sortState ref="A2:AG720">
      <sortCondition ref="B1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49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5" customHeight="1" x14ac:dyDescent="0.3"/>
  <cols>
    <col min="1" max="1" width="12" customWidth="1"/>
    <col min="2" max="2" width="18" customWidth="1"/>
    <col min="3" max="3" width="24" customWidth="1"/>
    <col min="4" max="4" width="13" customWidth="1"/>
    <col min="5" max="6" width="26" customWidth="1"/>
    <col min="7" max="7" width="17" customWidth="1"/>
    <col min="8" max="13" width="13" customWidth="1"/>
  </cols>
  <sheetData>
    <row r="1" spans="1:13" ht="14.4" x14ac:dyDescent="0.3">
      <c r="A1" s="11" t="s">
        <v>3</v>
      </c>
      <c r="B1" s="11" t="s">
        <v>2</v>
      </c>
      <c r="C1" s="11" t="s">
        <v>1</v>
      </c>
      <c r="D1" s="11" t="s">
        <v>1378</v>
      </c>
      <c r="E1" s="11" t="s">
        <v>1379</v>
      </c>
      <c r="F1" s="11" t="s">
        <v>1380</v>
      </c>
      <c r="G1" s="11" t="s">
        <v>1381</v>
      </c>
      <c r="H1" s="11" t="s">
        <v>3194</v>
      </c>
      <c r="I1" s="11" t="s">
        <v>3195</v>
      </c>
      <c r="J1" s="11" t="s">
        <v>3196</v>
      </c>
      <c r="K1" s="11" t="s">
        <v>3197</v>
      </c>
      <c r="L1" s="11" t="s">
        <v>3198</v>
      </c>
      <c r="M1" s="11" t="s">
        <v>3199</v>
      </c>
    </row>
    <row r="2" spans="1:13" ht="14.4" x14ac:dyDescent="0.3">
      <c r="A2" s="12" t="s">
        <v>8</v>
      </c>
      <c r="B2" s="12" t="s">
        <v>7</v>
      </c>
      <c r="C2" s="12" t="s">
        <v>6</v>
      </c>
      <c r="D2" s="12" t="s">
        <v>1410</v>
      </c>
      <c r="E2" s="12" t="s">
        <v>3507</v>
      </c>
      <c r="F2" s="12" t="s">
        <v>3510</v>
      </c>
      <c r="G2" s="12" t="s">
        <v>3511</v>
      </c>
      <c r="H2" s="12" t="s">
        <v>3246</v>
      </c>
      <c r="I2" s="12" t="s">
        <v>1749</v>
      </c>
      <c r="J2" s="12" t="s">
        <v>1551</v>
      </c>
      <c r="K2" s="12" t="s">
        <v>2018</v>
      </c>
      <c r="L2" s="12" t="s">
        <v>2018</v>
      </c>
      <c r="M2" s="12" t="s">
        <v>2018</v>
      </c>
    </row>
    <row r="3" spans="1:13" ht="14.4" x14ac:dyDescent="0.3">
      <c r="A3" s="12" t="s">
        <v>11</v>
      </c>
      <c r="B3" s="12" t="s">
        <v>10</v>
      </c>
      <c r="C3" s="12" t="s">
        <v>9</v>
      </c>
      <c r="D3" s="12" t="s">
        <v>1410</v>
      </c>
      <c r="E3" s="12" t="s">
        <v>3572</v>
      </c>
      <c r="F3" s="12" t="s">
        <v>3573</v>
      </c>
      <c r="G3" s="12" t="s">
        <v>3093</v>
      </c>
      <c r="H3" s="12" t="s">
        <v>1414</v>
      </c>
      <c r="I3" s="12" t="s">
        <v>1414</v>
      </c>
      <c r="J3" s="12" t="s">
        <v>1414</v>
      </c>
      <c r="K3" s="12" t="s">
        <v>1414</v>
      </c>
      <c r="L3" s="12" t="s">
        <v>1414</v>
      </c>
      <c r="M3" s="12" t="s">
        <v>1414</v>
      </c>
    </row>
    <row r="4" spans="1:13" ht="14.4" x14ac:dyDescent="0.3">
      <c r="A4" s="12" t="s">
        <v>11</v>
      </c>
      <c r="B4" s="12" t="s">
        <v>10</v>
      </c>
      <c r="C4" s="12" t="s">
        <v>9</v>
      </c>
      <c r="D4" s="12" t="s">
        <v>1410</v>
      </c>
      <c r="E4" s="12" t="s">
        <v>3880</v>
      </c>
      <c r="F4" s="12" t="s">
        <v>3881</v>
      </c>
      <c r="G4" s="12" t="s">
        <v>3882</v>
      </c>
      <c r="H4" s="12" t="s">
        <v>3294</v>
      </c>
      <c r="I4" s="12" t="s">
        <v>2018</v>
      </c>
      <c r="J4" s="12" t="s">
        <v>1551</v>
      </c>
      <c r="K4" s="12" t="s">
        <v>1414</v>
      </c>
      <c r="L4" s="12" t="s">
        <v>1551</v>
      </c>
      <c r="M4" s="12" t="s">
        <v>1551</v>
      </c>
    </row>
    <row r="5" spans="1:13" ht="14.4" x14ac:dyDescent="0.3">
      <c r="A5" s="12" t="s">
        <v>8</v>
      </c>
      <c r="B5" s="12" t="s">
        <v>13</v>
      </c>
      <c r="C5" s="12" t="s">
        <v>12</v>
      </c>
      <c r="D5" s="12" t="s">
        <v>1410</v>
      </c>
      <c r="E5" s="12" t="s">
        <v>3874</v>
      </c>
      <c r="F5" s="12" t="s">
        <v>3875</v>
      </c>
      <c r="G5" s="12" t="s">
        <v>3796</v>
      </c>
      <c r="H5" s="12" t="s">
        <v>3411</v>
      </c>
      <c r="I5" s="12" t="s">
        <v>1599</v>
      </c>
      <c r="J5" s="12" t="s">
        <v>2062</v>
      </c>
      <c r="K5" s="12" t="s">
        <v>1551</v>
      </c>
      <c r="L5" s="12" t="s">
        <v>1599</v>
      </c>
      <c r="M5" s="12" t="s">
        <v>1551</v>
      </c>
    </row>
    <row r="6" spans="1:13" ht="14.4" x14ac:dyDescent="0.3">
      <c r="A6" s="12" t="s">
        <v>8</v>
      </c>
      <c r="B6" s="12" t="s">
        <v>13</v>
      </c>
      <c r="C6" s="12" t="s">
        <v>12</v>
      </c>
      <c r="D6" s="12" t="s">
        <v>1410</v>
      </c>
      <c r="E6" s="12" t="s">
        <v>2610</v>
      </c>
      <c r="F6" s="12" t="s">
        <v>3876</v>
      </c>
      <c r="G6" s="12" t="s">
        <v>2791</v>
      </c>
      <c r="H6" s="12" t="s">
        <v>3264</v>
      </c>
      <c r="I6" s="12" t="s">
        <v>1551</v>
      </c>
      <c r="J6" s="12" t="s">
        <v>1551</v>
      </c>
      <c r="K6" s="12" t="s">
        <v>2018</v>
      </c>
      <c r="L6" s="12" t="s">
        <v>2018</v>
      </c>
      <c r="M6" s="12" t="s">
        <v>2018</v>
      </c>
    </row>
    <row r="7" spans="1:13" ht="14.4" x14ac:dyDescent="0.3">
      <c r="A7" s="12" t="s">
        <v>16</v>
      </c>
      <c r="B7" s="12" t="s">
        <v>15</v>
      </c>
      <c r="C7" s="12" t="s">
        <v>14</v>
      </c>
      <c r="D7" s="12" t="s">
        <v>1410</v>
      </c>
      <c r="E7" s="12" t="s">
        <v>2955</v>
      </c>
      <c r="F7" s="12" t="s">
        <v>4246</v>
      </c>
      <c r="G7" s="12" t="s">
        <v>4247</v>
      </c>
      <c r="H7" s="12" t="s">
        <v>3464</v>
      </c>
      <c r="I7" s="12" t="s">
        <v>2018</v>
      </c>
      <c r="J7" s="12" t="s">
        <v>2018</v>
      </c>
      <c r="K7" s="12" t="s">
        <v>2018</v>
      </c>
      <c r="L7" s="12" t="s">
        <v>2018</v>
      </c>
      <c r="M7" s="12" t="s">
        <v>2018</v>
      </c>
    </row>
    <row r="8" spans="1:13" ht="14.4" x14ac:dyDescent="0.3">
      <c r="A8" s="12" t="s">
        <v>939</v>
      </c>
      <c r="B8" s="12" t="s">
        <v>18</v>
      </c>
      <c r="C8" s="12" t="s">
        <v>17</v>
      </c>
      <c r="D8" s="12" t="s">
        <v>1410</v>
      </c>
      <c r="E8" s="12" t="s">
        <v>3559</v>
      </c>
      <c r="F8" s="12" t="s">
        <v>2229</v>
      </c>
      <c r="G8" s="12" t="s">
        <v>3560</v>
      </c>
      <c r="H8" s="12" t="s">
        <v>3218</v>
      </c>
      <c r="I8" s="12" t="s">
        <v>1414</v>
      </c>
      <c r="J8" s="12" t="s">
        <v>2018</v>
      </c>
      <c r="K8" s="12" t="s">
        <v>1599</v>
      </c>
      <c r="L8" s="12" t="s">
        <v>2018</v>
      </c>
      <c r="M8" s="12" t="s">
        <v>2018</v>
      </c>
    </row>
    <row r="9" spans="1:13" ht="14.4" x14ac:dyDescent="0.3">
      <c r="A9" s="12" t="s">
        <v>22</v>
      </c>
      <c r="B9" s="12" t="s">
        <v>21</v>
      </c>
      <c r="C9" s="12" t="s">
        <v>20</v>
      </c>
      <c r="D9" s="12" t="s">
        <v>1410</v>
      </c>
      <c r="E9" s="12" t="s">
        <v>2151</v>
      </c>
      <c r="F9" s="12" t="s">
        <v>2179</v>
      </c>
      <c r="G9" s="12" t="s">
        <v>3502</v>
      </c>
      <c r="H9" s="12" t="s">
        <v>3385</v>
      </c>
      <c r="I9" s="12" t="s">
        <v>3214</v>
      </c>
      <c r="J9" s="12" t="s">
        <v>1599</v>
      </c>
      <c r="K9" s="12" t="s">
        <v>3204</v>
      </c>
      <c r="L9" s="12" t="s">
        <v>1506</v>
      </c>
      <c r="M9" s="12" t="s">
        <v>1551</v>
      </c>
    </row>
    <row r="10" spans="1:13" ht="14.4" x14ac:dyDescent="0.3">
      <c r="A10" s="12" t="s">
        <v>22</v>
      </c>
      <c r="B10" s="12" t="s">
        <v>21</v>
      </c>
      <c r="C10" s="12" t="s">
        <v>20</v>
      </c>
      <c r="D10" s="12" t="s">
        <v>1410</v>
      </c>
      <c r="E10" s="12" t="s">
        <v>3503</v>
      </c>
      <c r="F10" s="12" t="s">
        <v>3534</v>
      </c>
      <c r="G10" s="12" t="s">
        <v>2416</v>
      </c>
      <c r="H10" s="12" t="s">
        <v>3464</v>
      </c>
      <c r="I10" s="12" t="s">
        <v>2018</v>
      </c>
      <c r="J10" s="12" t="s">
        <v>2018</v>
      </c>
      <c r="K10" s="12" t="s">
        <v>2018</v>
      </c>
      <c r="L10" s="12" t="s">
        <v>2018</v>
      </c>
      <c r="M10" s="12" t="s">
        <v>2018</v>
      </c>
    </row>
    <row r="11" spans="1:13" ht="14.4" x14ac:dyDescent="0.3">
      <c r="A11" s="12" t="s">
        <v>25</v>
      </c>
      <c r="B11" s="12" t="s">
        <v>24</v>
      </c>
      <c r="C11" s="12" t="s">
        <v>23</v>
      </c>
      <c r="D11" s="12" t="s">
        <v>1410</v>
      </c>
      <c r="E11" s="12" t="s">
        <v>2089</v>
      </c>
      <c r="F11" s="12" t="s">
        <v>2180</v>
      </c>
      <c r="G11" s="12" t="s">
        <v>3515</v>
      </c>
      <c r="H11" s="12" t="s">
        <v>3207</v>
      </c>
      <c r="I11" s="12" t="s">
        <v>3214</v>
      </c>
      <c r="J11" s="12" t="s">
        <v>1506</v>
      </c>
      <c r="K11" s="12" t="s">
        <v>1599</v>
      </c>
      <c r="L11" s="12" t="s">
        <v>2018</v>
      </c>
      <c r="M11" s="12" t="s">
        <v>1506</v>
      </c>
    </row>
    <row r="12" spans="1:13" ht="14.4" x14ac:dyDescent="0.3">
      <c r="A12" s="12" t="s">
        <v>28</v>
      </c>
      <c r="B12" s="12" t="s">
        <v>27</v>
      </c>
      <c r="C12" s="12" t="s">
        <v>26</v>
      </c>
      <c r="D12" s="12" t="s">
        <v>1410</v>
      </c>
      <c r="E12" s="12" t="s">
        <v>3516</v>
      </c>
      <c r="F12" s="12" t="s">
        <v>2179</v>
      </c>
      <c r="G12" s="12" t="s">
        <v>3517</v>
      </c>
      <c r="H12" s="12" t="s">
        <v>3203</v>
      </c>
      <c r="I12" s="12" t="s">
        <v>3214</v>
      </c>
      <c r="J12" s="12" t="s">
        <v>1551</v>
      </c>
      <c r="K12" s="12" t="s">
        <v>2018</v>
      </c>
      <c r="L12" s="12" t="s">
        <v>1551</v>
      </c>
      <c r="M12" s="12" t="s">
        <v>2018</v>
      </c>
    </row>
    <row r="13" spans="1:13" ht="14.4" x14ac:dyDescent="0.3">
      <c r="A13" s="12" t="s">
        <v>31</v>
      </c>
      <c r="B13" s="12" t="s">
        <v>30</v>
      </c>
      <c r="C13" s="12" t="s">
        <v>29</v>
      </c>
      <c r="D13" s="12" t="s">
        <v>1410</v>
      </c>
      <c r="E13" s="12" t="s">
        <v>2382</v>
      </c>
      <c r="F13" s="12" t="s">
        <v>2374</v>
      </c>
      <c r="G13" s="12" t="s">
        <v>3543</v>
      </c>
      <c r="H13" s="12" t="s">
        <v>3264</v>
      </c>
      <c r="I13" s="12" t="s">
        <v>1551</v>
      </c>
      <c r="J13" s="12" t="s">
        <v>2018</v>
      </c>
      <c r="K13" s="12" t="s">
        <v>2018</v>
      </c>
      <c r="L13" s="12" t="s">
        <v>1551</v>
      </c>
      <c r="M13" s="12" t="s">
        <v>2018</v>
      </c>
    </row>
    <row r="14" spans="1:13" ht="14.4" x14ac:dyDescent="0.3">
      <c r="A14" s="12" t="s">
        <v>28</v>
      </c>
      <c r="B14" s="12" t="s">
        <v>33</v>
      </c>
      <c r="C14" s="12" t="s">
        <v>32</v>
      </c>
      <c r="D14" s="12" t="s">
        <v>1410</v>
      </c>
      <c r="E14" s="12" t="s">
        <v>3621</v>
      </c>
      <c r="F14" s="12" t="s">
        <v>3622</v>
      </c>
      <c r="G14" s="12" t="s">
        <v>3623</v>
      </c>
      <c r="H14" s="12" t="s">
        <v>3300</v>
      </c>
      <c r="I14" s="12" t="s">
        <v>1599</v>
      </c>
      <c r="J14" s="12" t="s">
        <v>3204</v>
      </c>
      <c r="K14" s="12" t="s">
        <v>1599</v>
      </c>
      <c r="L14" s="12" t="s">
        <v>1551</v>
      </c>
      <c r="M14" s="12" t="s">
        <v>1551</v>
      </c>
    </row>
    <row r="15" spans="1:13" ht="14.4" x14ac:dyDescent="0.3">
      <c r="A15" s="12" t="s">
        <v>19</v>
      </c>
      <c r="B15" s="12" t="s">
        <v>35</v>
      </c>
      <c r="C15" s="12" t="s">
        <v>34</v>
      </c>
      <c r="D15" s="12" t="s">
        <v>1410</v>
      </c>
      <c r="E15" s="12" t="s">
        <v>2234</v>
      </c>
      <c r="F15" s="12" t="s">
        <v>3569</v>
      </c>
      <c r="G15" s="12" t="s">
        <v>2194</v>
      </c>
      <c r="H15" s="12" t="s">
        <v>3240</v>
      </c>
      <c r="I15" s="12" t="s">
        <v>2018</v>
      </c>
      <c r="J15" s="12" t="s">
        <v>1599</v>
      </c>
      <c r="K15" s="12" t="s">
        <v>1506</v>
      </c>
      <c r="L15" s="12" t="s">
        <v>2018</v>
      </c>
      <c r="M15" s="12" t="s">
        <v>2018</v>
      </c>
    </row>
    <row r="16" spans="1:13" ht="14.4" x14ac:dyDescent="0.3">
      <c r="A16" s="12" t="s">
        <v>28</v>
      </c>
      <c r="B16" s="12" t="s">
        <v>37</v>
      </c>
      <c r="C16" s="12" t="s">
        <v>36</v>
      </c>
      <c r="D16" s="12" t="s">
        <v>1410</v>
      </c>
      <c r="E16" s="12" t="s">
        <v>2211</v>
      </c>
      <c r="F16" s="12" t="s">
        <v>3541</v>
      </c>
      <c r="G16" s="12" t="s">
        <v>3305</v>
      </c>
      <c r="H16" s="12" t="s">
        <v>3294</v>
      </c>
      <c r="I16" s="12" t="s">
        <v>2018</v>
      </c>
      <c r="J16" s="12" t="s">
        <v>1551</v>
      </c>
      <c r="K16" s="12" t="s">
        <v>1506</v>
      </c>
      <c r="L16" s="12" t="s">
        <v>3204</v>
      </c>
      <c r="M16" s="12" t="s">
        <v>2062</v>
      </c>
    </row>
    <row r="17" spans="1:13" ht="14.4" x14ac:dyDescent="0.3">
      <c r="A17" s="12" t="s">
        <v>8</v>
      </c>
      <c r="B17" s="12" t="s">
        <v>39</v>
      </c>
      <c r="C17" s="12" t="s">
        <v>38</v>
      </c>
      <c r="D17" s="12" t="s">
        <v>1410</v>
      </c>
      <c r="E17" s="12" t="s">
        <v>3586</v>
      </c>
      <c r="F17" s="12" t="s">
        <v>3587</v>
      </c>
      <c r="G17" s="12" t="s">
        <v>3588</v>
      </c>
      <c r="H17" s="12" t="s">
        <v>1464</v>
      </c>
      <c r="I17" s="12" t="s">
        <v>1749</v>
      </c>
      <c r="J17" s="12" t="s">
        <v>1749</v>
      </c>
      <c r="K17" s="12" t="s">
        <v>1749</v>
      </c>
      <c r="L17" s="12" t="s">
        <v>1749</v>
      </c>
      <c r="M17" s="12" t="s">
        <v>1551</v>
      </c>
    </row>
    <row r="18" spans="1:13" ht="14.4" x14ac:dyDescent="0.3">
      <c r="A18" s="12" t="s">
        <v>8</v>
      </c>
      <c r="B18" s="12" t="s">
        <v>39</v>
      </c>
      <c r="C18" s="12" t="s">
        <v>38</v>
      </c>
      <c r="D18" s="12" t="s">
        <v>1410</v>
      </c>
      <c r="E18" s="12" t="s">
        <v>3702</v>
      </c>
      <c r="F18" s="12" t="s">
        <v>2444</v>
      </c>
      <c r="G18" s="12" t="s">
        <v>3705</v>
      </c>
      <c r="H18" s="12" t="s">
        <v>3223</v>
      </c>
      <c r="I18" s="12" t="s">
        <v>1599</v>
      </c>
      <c r="J18" s="12" t="s">
        <v>1551</v>
      </c>
      <c r="K18" s="12" t="s">
        <v>2018</v>
      </c>
      <c r="L18" s="12" t="s">
        <v>1551</v>
      </c>
      <c r="M18" s="12" t="s">
        <v>2018</v>
      </c>
    </row>
    <row r="19" spans="1:13" ht="14.4" x14ac:dyDescent="0.3">
      <c r="A19" s="12" t="s">
        <v>42</v>
      </c>
      <c r="B19" s="12" t="s">
        <v>41</v>
      </c>
      <c r="C19" s="12" t="s">
        <v>40</v>
      </c>
      <c r="D19" s="12" t="s">
        <v>1410</v>
      </c>
      <c r="E19" s="12" t="s">
        <v>2231</v>
      </c>
      <c r="F19" s="12" t="s">
        <v>3564</v>
      </c>
      <c r="G19" s="12" t="s">
        <v>3565</v>
      </c>
      <c r="H19" s="12" t="s">
        <v>3385</v>
      </c>
      <c r="I19" s="12" t="s">
        <v>3204</v>
      </c>
      <c r="J19" s="12" t="s">
        <v>1599</v>
      </c>
      <c r="K19" s="12" t="s">
        <v>1599</v>
      </c>
      <c r="L19" s="12" t="s">
        <v>1506</v>
      </c>
      <c r="M19" s="12" t="s">
        <v>1749</v>
      </c>
    </row>
    <row r="20" spans="1:13" ht="14.4" x14ac:dyDescent="0.3">
      <c r="A20" s="12" t="s">
        <v>42</v>
      </c>
      <c r="B20" s="12" t="s">
        <v>41</v>
      </c>
      <c r="C20" s="12" t="s">
        <v>40</v>
      </c>
      <c r="D20" s="12" t="s">
        <v>1410</v>
      </c>
      <c r="E20" s="12" t="s">
        <v>3577</v>
      </c>
      <c r="F20" s="12" t="s">
        <v>3578</v>
      </c>
      <c r="G20" s="12" t="s">
        <v>3579</v>
      </c>
      <c r="H20" s="12" t="s">
        <v>3464</v>
      </c>
      <c r="I20" s="12" t="s">
        <v>2018</v>
      </c>
      <c r="J20" s="12" t="s">
        <v>2018</v>
      </c>
      <c r="K20" s="12" t="s">
        <v>2018</v>
      </c>
      <c r="L20" s="12" t="s">
        <v>2018</v>
      </c>
      <c r="M20" s="12" t="s">
        <v>2018</v>
      </c>
    </row>
    <row r="21" spans="1:13" ht="14.4" x14ac:dyDescent="0.3">
      <c r="A21" s="12" t="s">
        <v>31</v>
      </c>
      <c r="B21" s="12" t="s">
        <v>44</v>
      </c>
      <c r="C21" s="12" t="s">
        <v>43</v>
      </c>
      <c r="D21" s="12" t="s">
        <v>1410</v>
      </c>
      <c r="E21" s="12" t="s">
        <v>4041</v>
      </c>
      <c r="F21" s="12" t="s">
        <v>4042</v>
      </c>
      <c r="G21" s="12" t="s">
        <v>4043</v>
      </c>
      <c r="H21" s="12" t="s">
        <v>3207</v>
      </c>
      <c r="I21" s="12" t="s">
        <v>1599</v>
      </c>
      <c r="J21" s="12" t="s">
        <v>2062</v>
      </c>
      <c r="K21" s="12" t="s">
        <v>1599</v>
      </c>
      <c r="L21" s="12" t="s">
        <v>1599</v>
      </c>
      <c r="M21" s="12" t="s">
        <v>3204</v>
      </c>
    </row>
    <row r="22" spans="1:13" ht="14.4" x14ac:dyDescent="0.3">
      <c r="A22" s="12" t="s">
        <v>28</v>
      </c>
      <c r="B22" s="12" t="s">
        <v>46</v>
      </c>
      <c r="C22" s="12" t="s">
        <v>45</v>
      </c>
      <c r="D22" s="12" t="s">
        <v>1410</v>
      </c>
      <c r="E22" s="12" t="s">
        <v>3592</v>
      </c>
      <c r="F22" s="12" t="s">
        <v>3593</v>
      </c>
      <c r="G22" s="12" t="s">
        <v>1981</v>
      </c>
      <c r="H22" s="12" t="s">
        <v>3240</v>
      </c>
      <c r="I22" s="12" t="s">
        <v>1599</v>
      </c>
      <c r="J22" s="12" t="s">
        <v>2018</v>
      </c>
      <c r="K22" s="12" t="s">
        <v>2018</v>
      </c>
      <c r="L22" s="12" t="s">
        <v>1599</v>
      </c>
      <c r="M22" s="12" t="s">
        <v>1551</v>
      </c>
    </row>
    <row r="23" spans="1:13" ht="14.4" x14ac:dyDescent="0.3">
      <c r="A23" s="12" t="s">
        <v>49</v>
      </c>
      <c r="B23" s="12" t="s">
        <v>48</v>
      </c>
      <c r="C23" s="12" t="s">
        <v>47</v>
      </c>
      <c r="D23" s="12" t="s">
        <v>1410</v>
      </c>
      <c r="E23" s="12" t="s">
        <v>2358</v>
      </c>
      <c r="F23" s="12" t="s">
        <v>3656</v>
      </c>
      <c r="G23" s="12" t="s">
        <v>2299</v>
      </c>
      <c r="H23" s="12" t="s">
        <v>3240</v>
      </c>
      <c r="I23" s="12" t="s">
        <v>2018</v>
      </c>
      <c r="J23" s="12" t="s">
        <v>1551</v>
      </c>
      <c r="K23" s="12" t="s">
        <v>1551</v>
      </c>
      <c r="L23" s="12" t="s">
        <v>2018</v>
      </c>
      <c r="M23" s="12" t="s">
        <v>1506</v>
      </c>
    </row>
    <row r="24" spans="1:13" ht="14.4" x14ac:dyDescent="0.3">
      <c r="A24" s="12" t="s">
        <v>8</v>
      </c>
      <c r="B24" s="12" t="s">
        <v>51</v>
      </c>
      <c r="C24" s="12" t="s">
        <v>50</v>
      </c>
      <c r="D24" s="12" t="s">
        <v>1410</v>
      </c>
      <c r="E24" s="12" t="s">
        <v>3507</v>
      </c>
      <c r="F24" s="12" t="s">
        <v>3508</v>
      </c>
      <c r="G24" s="12" t="s">
        <v>3509</v>
      </c>
      <c r="H24" s="12" t="s">
        <v>3411</v>
      </c>
      <c r="I24" s="12" t="s">
        <v>2062</v>
      </c>
      <c r="J24" s="12" t="s">
        <v>1599</v>
      </c>
      <c r="K24" s="12" t="s">
        <v>2018</v>
      </c>
      <c r="L24" s="12" t="s">
        <v>1599</v>
      </c>
      <c r="M24" s="12" t="s">
        <v>1599</v>
      </c>
    </row>
    <row r="25" spans="1:13" ht="14.4" x14ac:dyDescent="0.3">
      <c r="A25" s="12" t="s">
        <v>8</v>
      </c>
      <c r="B25" s="12" t="s">
        <v>48</v>
      </c>
      <c r="C25" s="12" t="s">
        <v>52</v>
      </c>
      <c r="D25" s="12" t="s">
        <v>1410</v>
      </c>
      <c r="E25" s="12" t="s">
        <v>2176</v>
      </c>
      <c r="F25" s="12" t="s">
        <v>3530</v>
      </c>
      <c r="G25" s="12" t="s">
        <v>3531</v>
      </c>
      <c r="H25" s="12" t="s">
        <v>3368</v>
      </c>
      <c r="I25" s="12" t="s">
        <v>1414</v>
      </c>
      <c r="J25" s="12" t="s">
        <v>1749</v>
      </c>
      <c r="K25" s="12" t="s">
        <v>1506</v>
      </c>
      <c r="L25" s="12" t="s">
        <v>1599</v>
      </c>
      <c r="M25" s="12" t="s">
        <v>2018</v>
      </c>
    </row>
    <row r="26" spans="1:13" ht="14.4" x14ac:dyDescent="0.3">
      <c r="A26" s="12" t="s">
        <v>8</v>
      </c>
      <c r="B26" s="12" t="s">
        <v>48</v>
      </c>
      <c r="C26" s="12" t="s">
        <v>52</v>
      </c>
      <c r="D26" s="12" t="s">
        <v>1410</v>
      </c>
      <c r="E26" s="12" t="s">
        <v>3940</v>
      </c>
      <c r="F26" s="12" t="s">
        <v>3941</v>
      </c>
      <c r="G26" s="12" t="s">
        <v>3942</v>
      </c>
      <c r="H26" s="12" t="s">
        <v>3218</v>
      </c>
      <c r="I26" s="12" t="s">
        <v>1749</v>
      </c>
      <c r="J26" s="12" t="s">
        <v>1551</v>
      </c>
      <c r="K26" s="12" t="s">
        <v>1506</v>
      </c>
      <c r="L26" s="12" t="s">
        <v>1551</v>
      </c>
      <c r="M26" s="12" t="s">
        <v>1551</v>
      </c>
    </row>
    <row r="27" spans="1:13" ht="14.4" x14ac:dyDescent="0.3">
      <c r="A27" s="12" t="s">
        <v>55</v>
      </c>
      <c r="B27" s="12" t="s">
        <v>54</v>
      </c>
      <c r="C27" s="12" t="s">
        <v>53</v>
      </c>
      <c r="D27" s="12" t="s">
        <v>1410</v>
      </c>
      <c r="E27" s="12" t="s">
        <v>2151</v>
      </c>
      <c r="F27" s="12" t="s">
        <v>3503</v>
      </c>
      <c r="G27" s="12" t="s">
        <v>3504</v>
      </c>
      <c r="H27" s="12" t="s">
        <v>3300</v>
      </c>
      <c r="I27" s="12" t="s">
        <v>3204</v>
      </c>
      <c r="J27" s="12" t="s">
        <v>1551</v>
      </c>
      <c r="K27" s="12" t="s">
        <v>2018</v>
      </c>
      <c r="L27" s="12" t="s">
        <v>3204</v>
      </c>
      <c r="M27" s="12" t="s">
        <v>1551</v>
      </c>
    </row>
    <row r="28" spans="1:13" ht="14.4" x14ac:dyDescent="0.3">
      <c r="A28" s="12" t="s">
        <v>31</v>
      </c>
      <c r="B28" s="12" t="s">
        <v>57</v>
      </c>
      <c r="C28" s="12" t="s">
        <v>56</v>
      </c>
      <c r="D28" s="12" t="s">
        <v>1410</v>
      </c>
      <c r="E28" s="12" t="s">
        <v>3528</v>
      </c>
      <c r="F28" s="12" t="s">
        <v>3497</v>
      </c>
      <c r="G28" s="12" t="s">
        <v>3529</v>
      </c>
      <c r="H28" s="12" t="s">
        <v>3439</v>
      </c>
      <c r="I28" s="12" t="s">
        <v>2018</v>
      </c>
      <c r="J28" s="12" t="s">
        <v>2018</v>
      </c>
      <c r="K28" s="12" t="s">
        <v>1551</v>
      </c>
      <c r="L28" s="12" t="s">
        <v>2018</v>
      </c>
      <c r="M28" s="12" t="s">
        <v>2018</v>
      </c>
    </row>
    <row r="29" spans="1:13" ht="14.4" x14ac:dyDescent="0.3">
      <c r="A29" s="12" t="s">
        <v>8</v>
      </c>
      <c r="B29" s="12" t="s">
        <v>59</v>
      </c>
      <c r="C29" s="12" t="s">
        <v>58</v>
      </c>
      <c r="D29" s="12" t="s">
        <v>1410</v>
      </c>
      <c r="E29" s="12" t="s">
        <v>2206</v>
      </c>
      <c r="F29" s="12" t="s">
        <v>3542</v>
      </c>
      <c r="G29" s="12" t="s">
        <v>3543</v>
      </c>
      <c r="H29" s="12" t="s">
        <v>3223</v>
      </c>
      <c r="I29" s="12" t="s">
        <v>1599</v>
      </c>
      <c r="J29" s="12" t="s">
        <v>1551</v>
      </c>
      <c r="K29" s="12" t="s">
        <v>1551</v>
      </c>
      <c r="L29" s="12" t="s">
        <v>2018</v>
      </c>
      <c r="M29" s="12" t="s">
        <v>2018</v>
      </c>
    </row>
    <row r="30" spans="1:13" ht="14.4" x14ac:dyDescent="0.3">
      <c r="A30" s="12" t="s">
        <v>8</v>
      </c>
      <c r="B30" s="12" t="s">
        <v>61</v>
      </c>
      <c r="C30" s="12" t="s">
        <v>60</v>
      </c>
      <c r="D30" s="12" t="s">
        <v>1410</v>
      </c>
      <c r="E30" s="12" t="s">
        <v>3927</v>
      </c>
      <c r="F30" s="12" t="s">
        <v>3928</v>
      </c>
      <c r="G30" s="12" t="s">
        <v>3929</v>
      </c>
      <c r="H30" s="12" t="s">
        <v>3264</v>
      </c>
      <c r="I30" s="12" t="s">
        <v>1599</v>
      </c>
      <c r="J30" s="12" t="s">
        <v>2018</v>
      </c>
      <c r="K30" s="12" t="s">
        <v>2018</v>
      </c>
      <c r="L30" s="12" t="s">
        <v>2018</v>
      </c>
      <c r="M30" s="12" t="s">
        <v>2018</v>
      </c>
    </row>
    <row r="31" spans="1:13" ht="14.4" x14ac:dyDescent="0.3">
      <c r="A31" s="12" t="s">
        <v>8</v>
      </c>
      <c r="B31" s="12" t="s">
        <v>63</v>
      </c>
      <c r="C31" s="12" t="s">
        <v>62</v>
      </c>
      <c r="D31" s="12" t="s">
        <v>1410</v>
      </c>
      <c r="E31" s="12" t="s">
        <v>3693</v>
      </c>
      <c r="F31" s="12" t="s">
        <v>3694</v>
      </c>
      <c r="G31" s="12" t="s">
        <v>3695</v>
      </c>
      <c r="H31" s="12" t="s">
        <v>3439</v>
      </c>
      <c r="I31" s="12" t="s">
        <v>1551</v>
      </c>
      <c r="J31" s="12" t="s">
        <v>2018</v>
      </c>
      <c r="K31" s="12" t="s">
        <v>2018</v>
      </c>
      <c r="L31" s="12" t="s">
        <v>2018</v>
      </c>
      <c r="M31" s="12" t="s">
        <v>2018</v>
      </c>
    </row>
    <row r="32" spans="1:13" ht="14.4" x14ac:dyDescent="0.3">
      <c r="A32" s="12" t="s">
        <v>66</v>
      </c>
      <c r="B32" s="12" t="s">
        <v>65</v>
      </c>
      <c r="C32" s="12" t="s">
        <v>64</v>
      </c>
      <c r="D32" s="12" t="s">
        <v>1410</v>
      </c>
      <c r="E32" s="12" t="s">
        <v>3044</v>
      </c>
      <c r="F32" s="12" t="s">
        <v>4293</v>
      </c>
      <c r="G32" s="12" t="s">
        <v>4294</v>
      </c>
      <c r="H32" s="12" t="s">
        <v>3210</v>
      </c>
      <c r="I32" s="12" t="s">
        <v>1506</v>
      </c>
      <c r="J32" s="12" t="s">
        <v>3204</v>
      </c>
      <c r="K32" s="12" t="s">
        <v>2018</v>
      </c>
      <c r="L32" s="12" t="s">
        <v>1551</v>
      </c>
      <c r="M32" s="12" t="s">
        <v>2018</v>
      </c>
    </row>
    <row r="33" spans="1:13" ht="14.4" x14ac:dyDescent="0.3">
      <c r="A33" s="12" t="s">
        <v>19</v>
      </c>
      <c r="B33" s="12" t="s">
        <v>68</v>
      </c>
      <c r="C33" s="12" t="s">
        <v>67</v>
      </c>
      <c r="D33" s="12" t="s">
        <v>1410</v>
      </c>
      <c r="E33" s="12" t="s">
        <v>3583</v>
      </c>
      <c r="F33" s="12" t="s">
        <v>3584</v>
      </c>
      <c r="G33" s="12" t="s">
        <v>3585</v>
      </c>
      <c r="H33" s="12" t="s">
        <v>3439</v>
      </c>
      <c r="I33" s="12" t="s">
        <v>1551</v>
      </c>
      <c r="J33" s="12" t="s">
        <v>2018</v>
      </c>
      <c r="K33" s="12" t="s">
        <v>2018</v>
      </c>
      <c r="L33" s="12" t="s">
        <v>2018</v>
      </c>
      <c r="M33" s="12" t="s">
        <v>2018</v>
      </c>
    </row>
    <row r="34" spans="1:13" ht="14.4" x14ac:dyDescent="0.3">
      <c r="A34" s="12" t="s">
        <v>71</v>
      </c>
      <c r="B34" s="12" t="s">
        <v>70</v>
      </c>
      <c r="C34" s="12" t="s">
        <v>69</v>
      </c>
      <c r="D34" s="12" t="s">
        <v>1410</v>
      </c>
      <c r="E34" s="12" t="s">
        <v>4242</v>
      </c>
      <c r="F34" s="12" t="s">
        <v>4243</v>
      </c>
      <c r="G34" s="12" t="s">
        <v>2443</v>
      </c>
      <c r="H34" s="12" t="s">
        <v>3439</v>
      </c>
      <c r="I34" s="12" t="s">
        <v>1551</v>
      </c>
      <c r="J34" s="12" t="s">
        <v>2018</v>
      </c>
      <c r="K34" s="12" t="s">
        <v>2018</v>
      </c>
      <c r="L34" s="12" t="s">
        <v>2018</v>
      </c>
      <c r="M34" s="12" t="s">
        <v>2018</v>
      </c>
    </row>
    <row r="35" spans="1:13" ht="14.4" x14ac:dyDescent="0.3">
      <c r="A35" s="12" t="s">
        <v>28</v>
      </c>
      <c r="B35" s="12" t="s">
        <v>73</v>
      </c>
      <c r="C35" s="12" t="s">
        <v>72</v>
      </c>
      <c r="D35" s="12" t="s">
        <v>1410</v>
      </c>
      <c r="E35" s="12" t="s">
        <v>3618</v>
      </c>
      <c r="F35" s="12" t="s">
        <v>3619</v>
      </c>
      <c r="G35" s="12" t="s">
        <v>3620</v>
      </c>
      <c r="H35" s="12" t="s">
        <v>3207</v>
      </c>
      <c r="I35" s="12" t="s">
        <v>1749</v>
      </c>
      <c r="J35" s="12" t="s">
        <v>1551</v>
      </c>
      <c r="K35" s="12" t="s">
        <v>1506</v>
      </c>
      <c r="L35" s="12" t="s">
        <v>1506</v>
      </c>
      <c r="M35" s="12" t="s">
        <v>1599</v>
      </c>
    </row>
    <row r="36" spans="1:13" ht="14.4" x14ac:dyDescent="0.3">
      <c r="A36" s="12" t="s">
        <v>31</v>
      </c>
      <c r="B36" s="12" t="s">
        <v>75</v>
      </c>
      <c r="C36" s="12" t="s">
        <v>74</v>
      </c>
      <c r="D36" s="12" t="s">
        <v>1410</v>
      </c>
      <c r="E36" s="12" t="s">
        <v>2156</v>
      </c>
      <c r="F36" s="12" t="s">
        <v>3505</v>
      </c>
      <c r="G36" s="12" t="s">
        <v>3506</v>
      </c>
      <c r="H36" s="12" t="s">
        <v>3246</v>
      </c>
      <c r="I36" s="12" t="s">
        <v>1506</v>
      </c>
      <c r="J36" s="12" t="s">
        <v>3204</v>
      </c>
      <c r="K36" s="12" t="s">
        <v>2018</v>
      </c>
      <c r="L36" s="12" t="s">
        <v>2018</v>
      </c>
      <c r="M36" s="12" t="s">
        <v>2018</v>
      </c>
    </row>
    <row r="37" spans="1:13" ht="14.4" x14ac:dyDescent="0.3">
      <c r="A37" s="12" t="s">
        <v>31</v>
      </c>
      <c r="B37" s="12" t="s">
        <v>77</v>
      </c>
      <c r="C37" s="12" t="s">
        <v>76</v>
      </c>
      <c r="D37" s="12" t="s">
        <v>1410</v>
      </c>
      <c r="E37" s="12" t="s">
        <v>4062</v>
      </c>
      <c r="F37" s="12" t="s">
        <v>4070</v>
      </c>
      <c r="G37" s="12" t="s">
        <v>2715</v>
      </c>
      <c r="H37" s="12" t="s">
        <v>3240</v>
      </c>
      <c r="I37" s="12" t="s">
        <v>2018</v>
      </c>
      <c r="J37" s="12" t="s">
        <v>1599</v>
      </c>
      <c r="K37" s="12" t="s">
        <v>1551</v>
      </c>
      <c r="L37" s="12" t="s">
        <v>2018</v>
      </c>
      <c r="M37" s="12" t="s">
        <v>1599</v>
      </c>
    </row>
    <row r="38" spans="1:13" ht="14.4" x14ac:dyDescent="0.3">
      <c r="A38" s="12" t="s">
        <v>80</v>
      </c>
      <c r="B38" s="12" t="s">
        <v>79</v>
      </c>
      <c r="C38" s="12" t="s">
        <v>78</v>
      </c>
      <c r="D38" s="12" t="s">
        <v>1410</v>
      </c>
      <c r="E38" s="12" t="s">
        <v>3526</v>
      </c>
      <c r="F38" s="12" t="s">
        <v>2179</v>
      </c>
      <c r="G38" s="12" t="s">
        <v>3527</v>
      </c>
      <c r="H38" s="12" t="s">
        <v>3240</v>
      </c>
      <c r="I38" s="12" t="s">
        <v>1506</v>
      </c>
      <c r="J38" s="12" t="s">
        <v>2018</v>
      </c>
      <c r="K38" s="12" t="s">
        <v>2018</v>
      </c>
      <c r="L38" s="12" t="s">
        <v>2018</v>
      </c>
      <c r="M38" s="12" t="s">
        <v>1599</v>
      </c>
    </row>
    <row r="39" spans="1:13" ht="14.4" x14ac:dyDescent="0.3">
      <c r="A39" s="12" t="s">
        <v>25</v>
      </c>
      <c r="B39" s="12" t="s">
        <v>79</v>
      </c>
      <c r="C39" s="12" t="s">
        <v>81</v>
      </c>
      <c r="D39" s="12" t="s">
        <v>1410</v>
      </c>
      <c r="E39" s="12" t="s">
        <v>2256</v>
      </c>
      <c r="F39" s="12" t="s">
        <v>3590</v>
      </c>
      <c r="G39" s="12" t="s">
        <v>3591</v>
      </c>
      <c r="H39" s="12" t="s">
        <v>3411</v>
      </c>
      <c r="I39" s="12" t="s">
        <v>1551</v>
      </c>
      <c r="J39" s="12" t="s">
        <v>1599</v>
      </c>
      <c r="K39" s="12" t="s">
        <v>2018</v>
      </c>
      <c r="L39" s="12" t="s">
        <v>3214</v>
      </c>
      <c r="M39" s="12" t="s">
        <v>1551</v>
      </c>
    </row>
    <row r="40" spans="1:13" ht="14.4" x14ac:dyDescent="0.3">
      <c r="A40" s="12" t="s">
        <v>84</v>
      </c>
      <c r="B40" s="12" t="s">
        <v>83</v>
      </c>
      <c r="C40" s="12" t="s">
        <v>82</v>
      </c>
      <c r="D40" s="12" t="s">
        <v>1410</v>
      </c>
      <c r="E40" s="12" t="s">
        <v>3607</v>
      </c>
      <c r="F40" s="12" t="s">
        <v>3608</v>
      </c>
      <c r="G40" s="12" t="s">
        <v>3609</v>
      </c>
      <c r="H40" s="12" t="s">
        <v>3234</v>
      </c>
      <c r="I40" s="12" t="s">
        <v>1506</v>
      </c>
      <c r="J40" s="12" t="s">
        <v>1551</v>
      </c>
      <c r="K40" s="12" t="s">
        <v>1551</v>
      </c>
      <c r="L40" s="12" t="s">
        <v>1551</v>
      </c>
      <c r="M40" s="12" t="s">
        <v>2018</v>
      </c>
    </row>
    <row r="41" spans="1:13" ht="14.4" x14ac:dyDescent="0.3">
      <c r="A41" s="12" t="s">
        <v>84</v>
      </c>
      <c r="B41" s="12" t="s">
        <v>83</v>
      </c>
      <c r="C41" s="12" t="s">
        <v>82</v>
      </c>
      <c r="D41" s="12" t="s">
        <v>1410</v>
      </c>
      <c r="E41" s="12" t="s">
        <v>3610</v>
      </c>
      <c r="F41" s="12" t="s">
        <v>2272</v>
      </c>
      <c r="G41" s="12" t="s">
        <v>1500</v>
      </c>
      <c r="H41" s="12" t="s">
        <v>3264</v>
      </c>
      <c r="I41" s="12" t="s">
        <v>1551</v>
      </c>
      <c r="J41" s="12" t="s">
        <v>2018</v>
      </c>
      <c r="K41" s="12" t="s">
        <v>2018</v>
      </c>
      <c r="L41" s="12" t="s">
        <v>1551</v>
      </c>
      <c r="M41" s="12" t="s">
        <v>2018</v>
      </c>
    </row>
    <row r="42" spans="1:13" ht="14.4" x14ac:dyDescent="0.3">
      <c r="A42" s="12" t="s">
        <v>55</v>
      </c>
      <c r="B42" s="12" t="s">
        <v>86</v>
      </c>
      <c r="C42" s="12" t="s">
        <v>85</v>
      </c>
      <c r="D42" s="12" t="s">
        <v>1410</v>
      </c>
      <c r="E42" s="12" t="s">
        <v>3612</v>
      </c>
      <c r="F42" s="12" t="s">
        <v>3616</v>
      </c>
      <c r="G42" s="12" t="s">
        <v>3617</v>
      </c>
      <c r="H42" s="12" t="s">
        <v>3246</v>
      </c>
      <c r="I42" s="12" t="s">
        <v>1599</v>
      </c>
      <c r="J42" s="12" t="s">
        <v>1599</v>
      </c>
      <c r="K42" s="12" t="s">
        <v>2018</v>
      </c>
      <c r="L42" s="12" t="s">
        <v>1551</v>
      </c>
      <c r="M42" s="12" t="s">
        <v>1599</v>
      </c>
    </row>
    <row r="43" spans="1:13" ht="14.4" x14ac:dyDescent="0.3">
      <c r="A43" s="12" t="s">
        <v>8</v>
      </c>
      <c r="B43" s="12" t="s">
        <v>88</v>
      </c>
      <c r="C43" s="12" t="s">
        <v>87</v>
      </c>
      <c r="D43" s="12" t="s">
        <v>1410</v>
      </c>
      <c r="E43" s="12" t="s">
        <v>6060</v>
      </c>
      <c r="F43" s="12" t="s">
        <v>6061</v>
      </c>
      <c r="G43" s="12" t="s">
        <v>3501</v>
      </c>
      <c r="H43" s="12" t="s">
        <v>3213</v>
      </c>
      <c r="I43" s="12" t="s">
        <v>3214</v>
      </c>
      <c r="J43" s="12" t="s">
        <v>1599</v>
      </c>
      <c r="K43" s="12" t="s">
        <v>1551</v>
      </c>
      <c r="L43" s="12" t="s">
        <v>1551</v>
      </c>
      <c r="M43" s="12" t="s">
        <v>1506</v>
      </c>
    </row>
    <row r="44" spans="1:13" ht="14.4" x14ac:dyDescent="0.3">
      <c r="A44" s="12" t="s">
        <v>8</v>
      </c>
      <c r="B44" s="12" t="s">
        <v>90</v>
      </c>
      <c r="C44" s="12" t="s">
        <v>89</v>
      </c>
      <c r="D44" s="12" t="s">
        <v>1410</v>
      </c>
      <c r="E44" s="12" t="s">
        <v>3520</v>
      </c>
      <c r="F44" s="12" t="s">
        <v>2174</v>
      </c>
      <c r="G44" s="12" t="s">
        <v>2740</v>
      </c>
      <c r="H44" s="12" t="s">
        <v>3210</v>
      </c>
      <c r="I44" s="12" t="s">
        <v>3204</v>
      </c>
      <c r="J44" s="12" t="s">
        <v>1506</v>
      </c>
      <c r="K44" s="12" t="s">
        <v>1551</v>
      </c>
      <c r="L44" s="12" t="s">
        <v>2018</v>
      </c>
      <c r="M44" s="12" t="s">
        <v>2018</v>
      </c>
    </row>
    <row r="45" spans="1:13" ht="14.4" x14ac:dyDescent="0.3">
      <c r="A45" s="12" t="s">
        <v>80</v>
      </c>
      <c r="B45" s="12" t="s">
        <v>92</v>
      </c>
      <c r="C45" s="12" t="s">
        <v>91</v>
      </c>
      <c r="D45" s="12" t="s">
        <v>1410</v>
      </c>
      <c r="E45" s="12" t="s">
        <v>2232</v>
      </c>
      <c r="F45" s="12" t="s">
        <v>3570</v>
      </c>
      <c r="G45" s="12" t="s">
        <v>3571</v>
      </c>
      <c r="H45" s="12" t="s">
        <v>3258</v>
      </c>
      <c r="I45" s="12" t="s">
        <v>1599</v>
      </c>
      <c r="J45" s="12" t="s">
        <v>2018</v>
      </c>
      <c r="K45" s="12" t="s">
        <v>2018</v>
      </c>
      <c r="L45" s="12" t="s">
        <v>2018</v>
      </c>
      <c r="M45" s="12" t="s">
        <v>1551</v>
      </c>
    </row>
    <row r="46" spans="1:13" ht="14.4" x14ac:dyDescent="0.3">
      <c r="A46" s="12" t="s">
        <v>8</v>
      </c>
      <c r="B46" s="12" t="s">
        <v>94</v>
      </c>
      <c r="C46" s="12" t="s">
        <v>93</v>
      </c>
      <c r="D46" s="12" t="s">
        <v>1410</v>
      </c>
      <c r="E46" s="12" t="s">
        <v>2950</v>
      </c>
      <c r="F46" s="12" t="s">
        <v>4244</v>
      </c>
      <c r="G46" s="12" t="s">
        <v>4245</v>
      </c>
      <c r="H46" s="12" t="s">
        <v>3300</v>
      </c>
      <c r="I46" s="12" t="s">
        <v>1506</v>
      </c>
      <c r="J46" s="12" t="s">
        <v>1599</v>
      </c>
      <c r="K46" s="12" t="s">
        <v>3204</v>
      </c>
      <c r="L46" s="12" t="s">
        <v>2018</v>
      </c>
      <c r="M46" s="12" t="s">
        <v>1551</v>
      </c>
    </row>
    <row r="47" spans="1:13" ht="14.4" x14ac:dyDescent="0.3">
      <c r="A47" s="12" t="s">
        <v>28</v>
      </c>
      <c r="B47" s="12" t="s">
        <v>96</v>
      </c>
      <c r="C47" s="12" t="s">
        <v>95</v>
      </c>
      <c r="D47" s="12" t="s">
        <v>1410</v>
      </c>
      <c r="E47" s="12" t="s">
        <v>3802</v>
      </c>
      <c r="F47" s="12" t="s">
        <v>3803</v>
      </c>
      <c r="G47" s="12" t="s">
        <v>1534</v>
      </c>
      <c r="H47" s="12" t="s">
        <v>3223</v>
      </c>
      <c r="I47" s="12" t="s">
        <v>1551</v>
      </c>
      <c r="J47" s="12" t="s">
        <v>2018</v>
      </c>
      <c r="K47" s="12" t="s">
        <v>2018</v>
      </c>
      <c r="L47" s="12" t="s">
        <v>1551</v>
      </c>
      <c r="M47" s="12" t="s">
        <v>1599</v>
      </c>
    </row>
    <row r="48" spans="1:13" ht="14.4" x14ac:dyDescent="0.3">
      <c r="A48" s="12" t="s">
        <v>19</v>
      </c>
      <c r="B48" s="12" t="s">
        <v>98</v>
      </c>
      <c r="C48" s="12" t="s">
        <v>97</v>
      </c>
      <c r="D48" s="12" t="s">
        <v>1410</v>
      </c>
      <c r="E48" s="12" t="s">
        <v>3507</v>
      </c>
      <c r="F48" s="12" t="s">
        <v>3512</v>
      </c>
      <c r="G48" s="12" t="s">
        <v>3513</v>
      </c>
      <c r="H48" s="12" t="s">
        <v>3311</v>
      </c>
      <c r="I48" s="12" t="s">
        <v>1749</v>
      </c>
      <c r="J48" s="12" t="s">
        <v>1551</v>
      </c>
      <c r="K48" s="12" t="s">
        <v>1506</v>
      </c>
      <c r="L48" s="12" t="s">
        <v>1506</v>
      </c>
      <c r="M48" s="12" t="s">
        <v>1506</v>
      </c>
    </row>
    <row r="49" spans="1:13" ht="14.4" x14ac:dyDescent="0.3">
      <c r="A49" s="12" t="s">
        <v>28</v>
      </c>
      <c r="B49" s="12" t="s">
        <v>100</v>
      </c>
      <c r="C49" s="12" t="s">
        <v>99</v>
      </c>
      <c r="D49" s="12" t="s">
        <v>1410</v>
      </c>
      <c r="E49" s="12" t="s">
        <v>2166</v>
      </c>
      <c r="F49" s="12" t="s">
        <v>3512</v>
      </c>
      <c r="G49" s="12" t="s">
        <v>3514</v>
      </c>
      <c r="H49" s="12" t="s">
        <v>3210</v>
      </c>
      <c r="I49" s="12" t="s">
        <v>3204</v>
      </c>
      <c r="J49" s="12" t="s">
        <v>2018</v>
      </c>
      <c r="K49" s="12" t="s">
        <v>1506</v>
      </c>
      <c r="L49" s="12" t="s">
        <v>2018</v>
      </c>
      <c r="M49" s="12" t="s">
        <v>1551</v>
      </c>
    </row>
    <row r="50" spans="1:13" ht="14.4" x14ac:dyDescent="0.3">
      <c r="A50" s="12" t="s">
        <v>28</v>
      </c>
      <c r="B50" s="12" t="s">
        <v>102</v>
      </c>
      <c r="C50" s="12" t="s">
        <v>101</v>
      </c>
      <c r="D50" s="12" t="s">
        <v>1410</v>
      </c>
      <c r="E50" s="12" t="s">
        <v>3702</v>
      </c>
      <c r="F50" s="12" t="s">
        <v>3703</v>
      </c>
      <c r="G50" s="12" t="s">
        <v>3704</v>
      </c>
      <c r="H50" s="12" t="s">
        <v>3311</v>
      </c>
      <c r="I50" s="12" t="s">
        <v>3204</v>
      </c>
      <c r="J50" s="12" t="s">
        <v>1599</v>
      </c>
      <c r="K50" s="12" t="s">
        <v>2018</v>
      </c>
      <c r="L50" s="12" t="s">
        <v>1414</v>
      </c>
      <c r="M50" s="12" t="s">
        <v>2018</v>
      </c>
    </row>
    <row r="51" spans="1:13" ht="14.4" x14ac:dyDescent="0.3">
      <c r="A51" s="12" t="s">
        <v>28</v>
      </c>
      <c r="B51" s="12" t="s">
        <v>102</v>
      </c>
      <c r="C51" s="12" t="s">
        <v>101</v>
      </c>
      <c r="D51" s="12" t="s">
        <v>1410</v>
      </c>
      <c r="E51" s="12" t="s">
        <v>4256</v>
      </c>
      <c r="F51" s="12" t="s">
        <v>4257</v>
      </c>
      <c r="G51" s="12" t="s">
        <v>4258</v>
      </c>
      <c r="H51" s="12" t="s">
        <v>3258</v>
      </c>
      <c r="I51" s="12" t="s">
        <v>2018</v>
      </c>
      <c r="J51" s="12" t="s">
        <v>2018</v>
      </c>
      <c r="K51" s="12" t="s">
        <v>2018</v>
      </c>
      <c r="L51" s="12" t="s">
        <v>1506</v>
      </c>
      <c r="M51" s="12" t="s">
        <v>2018</v>
      </c>
    </row>
    <row r="52" spans="1:13" ht="14.4" x14ac:dyDescent="0.3">
      <c r="A52" s="12" t="s">
        <v>8</v>
      </c>
      <c r="B52" s="12" t="s">
        <v>104</v>
      </c>
      <c r="C52" s="12" t="s">
        <v>103</v>
      </c>
      <c r="D52" s="12" t="s">
        <v>1410</v>
      </c>
      <c r="E52" s="12" t="s">
        <v>3075</v>
      </c>
      <c r="F52" s="12" t="s">
        <v>3092</v>
      </c>
      <c r="G52" s="12" t="s">
        <v>2438</v>
      </c>
      <c r="H52" s="12" t="s">
        <v>3385</v>
      </c>
      <c r="I52" s="12" t="s">
        <v>1414</v>
      </c>
      <c r="J52" s="12" t="s">
        <v>1506</v>
      </c>
      <c r="K52" s="12" t="s">
        <v>1551</v>
      </c>
      <c r="L52" s="12" t="s">
        <v>2018</v>
      </c>
      <c r="M52" s="12" t="s">
        <v>1506</v>
      </c>
    </row>
    <row r="53" spans="1:13" ht="14.4" x14ac:dyDescent="0.3">
      <c r="A53" s="12" t="s">
        <v>8</v>
      </c>
      <c r="B53" s="12" t="s">
        <v>104</v>
      </c>
      <c r="C53" s="12" t="s">
        <v>103</v>
      </c>
      <c r="D53" s="12" t="s">
        <v>1410</v>
      </c>
      <c r="E53" s="12" t="s">
        <v>3100</v>
      </c>
      <c r="F53" s="12" t="s">
        <v>3099</v>
      </c>
      <c r="G53" s="12" t="s">
        <v>4321</v>
      </c>
      <c r="H53" s="12" t="s">
        <v>1414</v>
      </c>
      <c r="I53" s="12" t="s">
        <v>1414</v>
      </c>
      <c r="J53" s="12" t="s">
        <v>1414</v>
      </c>
      <c r="K53" s="12" t="s">
        <v>1414</v>
      </c>
      <c r="L53" s="12" t="s">
        <v>1414</v>
      </c>
      <c r="M53" s="12" t="s">
        <v>1414</v>
      </c>
    </row>
    <row r="54" spans="1:13" ht="14.4" x14ac:dyDescent="0.3">
      <c r="A54" s="12" t="s">
        <v>8</v>
      </c>
      <c r="B54" s="12" t="s">
        <v>104</v>
      </c>
      <c r="C54" s="12" t="s">
        <v>103</v>
      </c>
      <c r="D54" s="12" t="s">
        <v>1410</v>
      </c>
      <c r="E54" s="12" t="s">
        <v>3106</v>
      </c>
      <c r="F54" s="12" t="s">
        <v>3124</v>
      </c>
      <c r="G54" s="12" t="s">
        <v>4324</v>
      </c>
      <c r="H54" s="12" t="s">
        <v>3240</v>
      </c>
      <c r="I54" s="12" t="s">
        <v>2018</v>
      </c>
      <c r="J54" s="12" t="s">
        <v>1506</v>
      </c>
      <c r="K54" s="12" t="s">
        <v>1551</v>
      </c>
      <c r="L54" s="12" t="s">
        <v>2018</v>
      </c>
      <c r="M54" s="12" t="s">
        <v>1551</v>
      </c>
    </row>
    <row r="55" spans="1:13" ht="14.4" x14ac:dyDescent="0.3">
      <c r="A55" s="12" t="s">
        <v>42</v>
      </c>
      <c r="B55" s="12" t="s">
        <v>106</v>
      </c>
      <c r="C55" s="12" t="s">
        <v>105</v>
      </c>
      <c r="D55" s="12" t="s">
        <v>1410</v>
      </c>
      <c r="E55" s="12" t="s">
        <v>3520</v>
      </c>
      <c r="F55" s="12" t="s">
        <v>3521</v>
      </c>
      <c r="G55" s="12" t="s">
        <v>3522</v>
      </c>
      <c r="H55" s="12" t="s">
        <v>1551</v>
      </c>
      <c r="I55" s="12" t="s">
        <v>1414</v>
      </c>
      <c r="J55" s="12" t="s">
        <v>1414</v>
      </c>
      <c r="K55" s="12" t="s">
        <v>2435</v>
      </c>
      <c r="L55" s="12" t="s">
        <v>3204</v>
      </c>
      <c r="M55" s="12" t="s">
        <v>1420</v>
      </c>
    </row>
    <row r="56" spans="1:13" ht="14.4" x14ac:dyDescent="0.3">
      <c r="A56" s="12" t="s">
        <v>42</v>
      </c>
      <c r="B56" s="12" t="s">
        <v>106</v>
      </c>
      <c r="C56" s="12" t="s">
        <v>105</v>
      </c>
      <c r="D56" s="12" t="s">
        <v>1410</v>
      </c>
      <c r="E56" s="12" t="s">
        <v>3864</v>
      </c>
      <c r="F56" s="12" t="s">
        <v>3865</v>
      </c>
      <c r="G56" s="12" t="s">
        <v>3866</v>
      </c>
      <c r="H56" s="12" t="s">
        <v>3240</v>
      </c>
      <c r="I56" s="12" t="s">
        <v>1551</v>
      </c>
      <c r="J56" s="12" t="s">
        <v>2018</v>
      </c>
      <c r="K56" s="12" t="s">
        <v>1551</v>
      </c>
      <c r="L56" s="12" t="s">
        <v>1599</v>
      </c>
      <c r="M56" s="12" t="s">
        <v>1551</v>
      </c>
    </row>
    <row r="57" spans="1:13" ht="14.4" x14ac:dyDescent="0.3">
      <c r="A57" s="12" t="s">
        <v>25</v>
      </c>
      <c r="B57" s="12" t="s">
        <v>108</v>
      </c>
      <c r="C57" s="12" t="s">
        <v>107</v>
      </c>
      <c r="D57" s="12" t="s">
        <v>1410</v>
      </c>
      <c r="E57" s="12" t="s">
        <v>3525</v>
      </c>
      <c r="F57" s="12" t="s">
        <v>2179</v>
      </c>
      <c r="G57" s="12" t="s">
        <v>2140</v>
      </c>
      <c r="H57" s="12" t="s">
        <v>3234</v>
      </c>
      <c r="I57" s="12" t="s">
        <v>1551</v>
      </c>
      <c r="J57" s="12" t="s">
        <v>1551</v>
      </c>
      <c r="K57" s="12" t="s">
        <v>1551</v>
      </c>
      <c r="L57" s="12" t="s">
        <v>1599</v>
      </c>
      <c r="M57" s="12" t="s">
        <v>1551</v>
      </c>
    </row>
    <row r="58" spans="1:13" ht="14.4" x14ac:dyDescent="0.3">
      <c r="A58" s="12" t="s">
        <v>42</v>
      </c>
      <c r="B58" s="12" t="s">
        <v>110</v>
      </c>
      <c r="C58" s="12" t="s">
        <v>109</v>
      </c>
      <c r="D58" s="12" t="s">
        <v>1410</v>
      </c>
      <c r="E58" s="12" t="s">
        <v>4207</v>
      </c>
      <c r="F58" s="12" t="s">
        <v>4208</v>
      </c>
      <c r="G58" s="12" t="s">
        <v>4209</v>
      </c>
      <c r="H58" s="12" t="s">
        <v>3322</v>
      </c>
      <c r="I58" s="12" t="s">
        <v>3214</v>
      </c>
      <c r="J58" s="12" t="s">
        <v>1551</v>
      </c>
      <c r="K58" s="12" t="s">
        <v>2018</v>
      </c>
      <c r="L58" s="12" t="s">
        <v>1551</v>
      </c>
      <c r="M58" s="12" t="s">
        <v>1414</v>
      </c>
    </row>
    <row r="59" spans="1:13" ht="14.4" x14ac:dyDescent="0.3">
      <c r="A59" s="12" t="s">
        <v>42</v>
      </c>
      <c r="B59" s="12" t="s">
        <v>110</v>
      </c>
      <c r="C59" s="12" t="s">
        <v>109</v>
      </c>
      <c r="D59" s="12" t="s">
        <v>1410</v>
      </c>
      <c r="E59" s="12" t="s">
        <v>4219</v>
      </c>
      <c r="F59" s="12" t="s">
        <v>4220</v>
      </c>
      <c r="G59" s="12" t="s">
        <v>2489</v>
      </c>
      <c r="H59" s="12" t="s">
        <v>3439</v>
      </c>
      <c r="I59" s="12" t="s">
        <v>2018</v>
      </c>
      <c r="J59" s="12" t="s">
        <v>1551</v>
      </c>
      <c r="K59" s="12" t="s">
        <v>2018</v>
      </c>
      <c r="L59" s="12" t="s">
        <v>2018</v>
      </c>
      <c r="M59" s="12" t="s">
        <v>2018</v>
      </c>
    </row>
    <row r="60" spans="1:13" ht="14.4" x14ac:dyDescent="0.3">
      <c r="A60" s="12" t="s">
        <v>8</v>
      </c>
      <c r="B60" s="12" t="s">
        <v>112</v>
      </c>
      <c r="C60" s="12" t="s">
        <v>111</v>
      </c>
      <c r="D60" s="12" t="s">
        <v>1410</v>
      </c>
      <c r="E60" s="12" t="s">
        <v>3544</v>
      </c>
      <c r="F60" s="12" t="s">
        <v>3545</v>
      </c>
      <c r="G60" s="12" t="s">
        <v>1509</v>
      </c>
      <c r="H60" s="12" t="s">
        <v>3264</v>
      </c>
      <c r="I60" s="12" t="s">
        <v>1551</v>
      </c>
      <c r="J60" s="12" t="s">
        <v>2018</v>
      </c>
      <c r="K60" s="12" t="s">
        <v>2018</v>
      </c>
      <c r="L60" s="12" t="s">
        <v>2018</v>
      </c>
      <c r="M60" s="12" t="s">
        <v>1551</v>
      </c>
    </row>
    <row r="61" spans="1:13" ht="14.4" x14ac:dyDescent="0.3">
      <c r="A61" s="12" t="s">
        <v>115</v>
      </c>
      <c r="B61" s="12" t="s">
        <v>114</v>
      </c>
      <c r="C61" s="12" t="s">
        <v>113</v>
      </c>
      <c r="D61" s="12" t="s">
        <v>1410</v>
      </c>
      <c r="E61" s="12" t="s">
        <v>3546</v>
      </c>
      <c r="F61" s="12" t="s">
        <v>3549</v>
      </c>
      <c r="G61" s="12" t="s">
        <v>3550</v>
      </c>
      <c r="H61" s="12" t="s">
        <v>3269</v>
      </c>
      <c r="I61" s="12" t="s">
        <v>1551</v>
      </c>
      <c r="J61" s="12" t="s">
        <v>2062</v>
      </c>
      <c r="K61" s="12" t="s">
        <v>1506</v>
      </c>
      <c r="L61" s="12" t="s">
        <v>1599</v>
      </c>
      <c r="M61" s="12" t="s">
        <v>3214</v>
      </c>
    </row>
    <row r="62" spans="1:13" ht="14.4" x14ac:dyDescent="0.3">
      <c r="A62" s="12" t="s">
        <v>31</v>
      </c>
      <c r="B62" s="12" t="s">
        <v>117</v>
      </c>
      <c r="C62" s="12" t="s">
        <v>116</v>
      </c>
      <c r="D62" s="12" t="s">
        <v>1410</v>
      </c>
      <c r="E62" s="12" t="s">
        <v>2169</v>
      </c>
      <c r="F62" s="12" t="s">
        <v>3512</v>
      </c>
      <c r="G62" s="12" t="s">
        <v>3519</v>
      </c>
      <c r="H62" s="12" t="s">
        <v>3218</v>
      </c>
      <c r="I62" s="12" t="s">
        <v>1749</v>
      </c>
      <c r="J62" s="12" t="s">
        <v>1506</v>
      </c>
      <c r="K62" s="12" t="s">
        <v>1599</v>
      </c>
      <c r="L62" s="12" t="s">
        <v>2018</v>
      </c>
      <c r="M62" s="12" t="s">
        <v>1551</v>
      </c>
    </row>
    <row r="63" spans="1:13" ht="14.4" x14ac:dyDescent="0.3">
      <c r="A63" s="12" t="s">
        <v>120</v>
      </c>
      <c r="B63" s="12" t="s">
        <v>119</v>
      </c>
      <c r="C63" s="12" t="s">
        <v>118</v>
      </c>
      <c r="D63" s="12" t="s">
        <v>1410</v>
      </c>
      <c r="E63" s="12" t="s">
        <v>4253</v>
      </c>
      <c r="F63" s="12" t="s">
        <v>4254</v>
      </c>
      <c r="G63" s="12" t="s">
        <v>4255</v>
      </c>
      <c r="H63" s="12" t="s">
        <v>3264</v>
      </c>
      <c r="I63" s="12" t="s">
        <v>1551</v>
      </c>
      <c r="J63" s="12" t="s">
        <v>2018</v>
      </c>
      <c r="K63" s="12" t="s">
        <v>1551</v>
      </c>
      <c r="L63" s="12" t="s">
        <v>2018</v>
      </c>
      <c r="M63" s="12" t="s">
        <v>2018</v>
      </c>
    </row>
    <row r="64" spans="1:13" ht="14.4" x14ac:dyDescent="0.3">
      <c r="A64" s="12" t="s">
        <v>123</v>
      </c>
      <c r="B64" s="12" t="s">
        <v>122</v>
      </c>
      <c r="C64" s="12" t="s">
        <v>121</v>
      </c>
      <c r="D64" s="12" t="s">
        <v>1410</v>
      </c>
      <c r="E64" s="12" t="s">
        <v>4083</v>
      </c>
      <c r="F64" s="12" t="s">
        <v>4084</v>
      </c>
      <c r="G64" s="12" t="s">
        <v>4085</v>
      </c>
      <c r="H64" s="12" t="s">
        <v>3439</v>
      </c>
      <c r="I64" s="12" t="s">
        <v>2018</v>
      </c>
      <c r="J64" s="12" t="s">
        <v>2018</v>
      </c>
      <c r="K64" s="12" t="s">
        <v>2018</v>
      </c>
      <c r="L64" s="12" t="s">
        <v>1551</v>
      </c>
      <c r="M64" s="12" t="s">
        <v>2018</v>
      </c>
    </row>
    <row r="65" spans="1:13" ht="14.4" x14ac:dyDescent="0.3">
      <c r="A65" s="12" t="s">
        <v>126</v>
      </c>
      <c r="B65" s="12" t="s">
        <v>125</v>
      </c>
      <c r="C65" s="12" t="s">
        <v>124</v>
      </c>
      <c r="D65" s="12" t="s">
        <v>1410</v>
      </c>
      <c r="E65" s="12" t="s">
        <v>2179</v>
      </c>
      <c r="F65" s="12" t="s">
        <v>3532</v>
      </c>
      <c r="G65" s="12" t="s">
        <v>3533</v>
      </c>
      <c r="H65" s="12" t="s">
        <v>3210</v>
      </c>
      <c r="I65" s="12" t="s">
        <v>1599</v>
      </c>
      <c r="J65" s="12" t="s">
        <v>1599</v>
      </c>
      <c r="K65" s="12" t="s">
        <v>1506</v>
      </c>
      <c r="L65" s="12" t="s">
        <v>1551</v>
      </c>
      <c r="M65" s="12" t="s">
        <v>2018</v>
      </c>
    </row>
    <row r="66" spans="1:13" ht="14.4" x14ac:dyDescent="0.3">
      <c r="A66" s="12" t="s">
        <v>19</v>
      </c>
      <c r="B66" s="12" t="s">
        <v>128</v>
      </c>
      <c r="C66" s="12" t="s">
        <v>127</v>
      </c>
      <c r="D66" s="12" t="s">
        <v>1410</v>
      </c>
      <c r="E66" s="12" t="s">
        <v>2454</v>
      </c>
      <c r="F66" s="12" t="s">
        <v>3714</v>
      </c>
      <c r="G66" s="12" t="s">
        <v>3715</v>
      </c>
      <c r="H66" s="12" t="s">
        <v>3271</v>
      </c>
      <c r="I66" s="12" t="s">
        <v>1506</v>
      </c>
      <c r="J66" s="12" t="s">
        <v>2062</v>
      </c>
      <c r="K66" s="12" t="s">
        <v>2018</v>
      </c>
      <c r="L66" s="12" t="s">
        <v>1599</v>
      </c>
      <c r="M66" s="12" t="s">
        <v>1414</v>
      </c>
    </row>
    <row r="67" spans="1:13" ht="14.4" x14ac:dyDescent="0.3">
      <c r="A67" s="12" t="s">
        <v>11</v>
      </c>
      <c r="B67" s="12" t="s">
        <v>130</v>
      </c>
      <c r="C67" s="12" t="s">
        <v>129</v>
      </c>
      <c r="D67" s="12" t="s">
        <v>1410</v>
      </c>
      <c r="E67" s="12" t="s">
        <v>3770</v>
      </c>
      <c r="F67" s="12" t="s">
        <v>3765</v>
      </c>
      <c r="G67" s="12" t="s">
        <v>3771</v>
      </c>
      <c r="H67" s="12" t="s">
        <v>3218</v>
      </c>
      <c r="I67" s="12" t="s">
        <v>1506</v>
      </c>
      <c r="J67" s="12" t="s">
        <v>2062</v>
      </c>
      <c r="K67" s="12" t="s">
        <v>1551</v>
      </c>
      <c r="L67" s="12" t="s">
        <v>1599</v>
      </c>
      <c r="M67" s="12" t="s">
        <v>1551</v>
      </c>
    </row>
    <row r="68" spans="1:13" ht="14.4" x14ac:dyDescent="0.3">
      <c r="A68" s="12" t="s">
        <v>133</v>
      </c>
      <c r="B68" s="12" t="s">
        <v>132</v>
      </c>
      <c r="C68" s="12" t="s">
        <v>131</v>
      </c>
      <c r="D68" s="12" t="s">
        <v>1410</v>
      </c>
      <c r="E68" s="12" t="s">
        <v>2093</v>
      </c>
      <c r="F68" s="12" t="s">
        <v>2185</v>
      </c>
      <c r="G68" s="12" t="s">
        <v>3499</v>
      </c>
      <c r="H68" s="12" t="s">
        <v>3340</v>
      </c>
      <c r="I68" s="12" t="s">
        <v>1414</v>
      </c>
      <c r="J68" s="12" t="s">
        <v>1414</v>
      </c>
      <c r="K68" s="12" t="s">
        <v>1599</v>
      </c>
      <c r="L68" s="12" t="s">
        <v>2018</v>
      </c>
      <c r="M68" s="12" t="s">
        <v>1551</v>
      </c>
    </row>
    <row r="69" spans="1:13" ht="14.4" x14ac:dyDescent="0.3">
      <c r="A69" s="12" t="s">
        <v>42</v>
      </c>
      <c r="B69" s="12" t="s">
        <v>135</v>
      </c>
      <c r="C69" s="12" t="s">
        <v>134</v>
      </c>
      <c r="D69" s="12" t="s">
        <v>1410</v>
      </c>
      <c r="E69" s="12" t="s">
        <v>3561</v>
      </c>
      <c r="F69" s="12" t="s">
        <v>3562</v>
      </c>
      <c r="G69" s="12" t="s">
        <v>3563</v>
      </c>
      <c r="H69" s="12" t="s">
        <v>3223</v>
      </c>
      <c r="I69" s="12" t="s">
        <v>1551</v>
      </c>
      <c r="J69" s="12" t="s">
        <v>2018</v>
      </c>
      <c r="K69" s="12" t="s">
        <v>2018</v>
      </c>
      <c r="L69" s="12" t="s">
        <v>1599</v>
      </c>
      <c r="M69" s="12" t="s">
        <v>1551</v>
      </c>
    </row>
    <row r="70" spans="1:13" ht="14.4" x14ac:dyDescent="0.3">
      <c r="A70" s="12" t="s">
        <v>8</v>
      </c>
      <c r="B70" s="12" t="s">
        <v>137</v>
      </c>
      <c r="C70" s="12" t="s">
        <v>136</v>
      </c>
      <c r="D70" s="12" t="s">
        <v>1410</v>
      </c>
      <c r="E70" s="12" t="s">
        <v>3666</v>
      </c>
      <c r="F70" s="12" t="s">
        <v>3667</v>
      </c>
      <c r="G70" s="12" t="s">
        <v>3668</v>
      </c>
      <c r="H70" s="12" t="s">
        <v>3264</v>
      </c>
      <c r="I70" s="12" t="s">
        <v>2018</v>
      </c>
      <c r="J70" s="12" t="s">
        <v>1551</v>
      </c>
      <c r="K70" s="12" t="s">
        <v>2018</v>
      </c>
      <c r="L70" s="12" t="s">
        <v>1551</v>
      </c>
      <c r="M70" s="12" t="s">
        <v>2018</v>
      </c>
    </row>
    <row r="71" spans="1:13" ht="14.4" x14ac:dyDescent="0.3">
      <c r="A71" s="12" t="s">
        <v>49</v>
      </c>
      <c r="B71" s="12" t="s">
        <v>139</v>
      </c>
      <c r="C71" s="12" t="s">
        <v>138</v>
      </c>
      <c r="D71" s="12" t="s">
        <v>1410</v>
      </c>
      <c r="E71" s="12" t="s">
        <v>2169</v>
      </c>
      <c r="F71" s="12" t="s">
        <v>3518</v>
      </c>
      <c r="G71" s="12" t="s">
        <v>3268</v>
      </c>
      <c r="H71" s="12" t="s">
        <v>1551</v>
      </c>
      <c r="I71" s="12" t="s">
        <v>1551</v>
      </c>
      <c r="J71" s="12" t="s">
        <v>1414</v>
      </c>
      <c r="K71" s="12" t="s">
        <v>1414</v>
      </c>
      <c r="L71" s="12" t="s">
        <v>1414</v>
      </c>
      <c r="M71" s="12" t="s">
        <v>1414</v>
      </c>
    </row>
    <row r="72" spans="1:13" ht="14.4" x14ac:dyDescent="0.3">
      <c r="A72" s="12" t="s">
        <v>49</v>
      </c>
      <c r="B72" s="12" t="s">
        <v>139</v>
      </c>
      <c r="C72" s="12" t="s">
        <v>138</v>
      </c>
      <c r="D72" s="12" t="s">
        <v>1410</v>
      </c>
      <c r="E72" s="12" t="s">
        <v>3696</v>
      </c>
      <c r="F72" s="12" t="s">
        <v>3697</v>
      </c>
      <c r="G72" s="12" t="s">
        <v>3698</v>
      </c>
      <c r="H72" s="12" t="s">
        <v>3464</v>
      </c>
      <c r="I72" s="12" t="s">
        <v>2018</v>
      </c>
      <c r="J72" s="12" t="s">
        <v>2018</v>
      </c>
      <c r="K72" s="12" t="s">
        <v>2018</v>
      </c>
      <c r="L72" s="12" t="s">
        <v>2018</v>
      </c>
      <c r="M72" s="12" t="s">
        <v>2018</v>
      </c>
    </row>
    <row r="73" spans="1:13" ht="14.4" x14ac:dyDescent="0.3">
      <c r="A73" s="12" t="s">
        <v>42</v>
      </c>
      <c r="B73" s="12" t="s">
        <v>139</v>
      </c>
      <c r="C73" s="12" t="s">
        <v>140</v>
      </c>
      <c r="D73" s="12" t="s">
        <v>1410</v>
      </c>
      <c r="E73" s="12" t="s">
        <v>3436</v>
      </c>
      <c r="F73" s="12" t="s">
        <v>3437</v>
      </c>
      <c r="G73" s="12" t="s">
        <v>3438</v>
      </c>
      <c r="H73" s="12" t="s">
        <v>3439</v>
      </c>
      <c r="I73" s="12" t="s">
        <v>2018</v>
      </c>
      <c r="J73" s="12" t="s">
        <v>2018</v>
      </c>
      <c r="K73" s="12" t="s">
        <v>1551</v>
      </c>
      <c r="L73" s="12" t="s">
        <v>2018</v>
      </c>
      <c r="M73" s="12" t="s">
        <v>2018</v>
      </c>
    </row>
    <row r="74" spans="1:13" ht="14.4" x14ac:dyDescent="0.3">
      <c r="A74" s="12" t="s">
        <v>55</v>
      </c>
      <c r="B74" s="12" t="s">
        <v>142</v>
      </c>
      <c r="C74" s="12" t="s">
        <v>141</v>
      </c>
      <c r="D74" s="12" t="s">
        <v>1410</v>
      </c>
      <c r="E74" s="12" t="s">
        <v>3574</v>
      </c>
      <c r="F74" s="12" t="s">
        <v>3575</v>
      </c>
      <c r="G74" s="12" t="s">
        <v>3576</v>
      </c>
      <c r="H74" s="12" t="s">
        <v>3234</v>
      </c>
      <c r="I74" s="12" t="s">
        <v>1599</v>
      </c>
      <c r="J74" s="12" t="s">
        <v>2018</v>
      </c>
      <c r="K74" s="12" t="s">
        <v>2018</v>
      </c>
      <c r="L74" s="12" t="s">
        <v>1506</v>
      </c>
      <c r="M74" s="12" t="s">
        <v>1551</v>
      </c>
    </row>
    <row r="75" spans="1:13" ht="14.4" x14ac:dyDescent="0.3">
      <c r="A75" s="12" t="s">
        <v>49</v>
      </c>
      <c r="B75" s="12" t="s">
        <v>144</v>
      </c>
      <c r="C75" s="12" t="s">
        <v>143</v>
      </c>
      <c r="D75" s="12" t="s">
        <v>1410</v>
      </c>
      <c r="E75" s="12" t="s">
        <v>3850</v>
      </c>
      <c r="F75" s="12" t="s">
        <v>3851</v>
      </c>
      <c r="G75" s="12" t="s">
        <v>1893</v>
      </c>
      <c r="H75" s="12" t="s">
        <v>3223</v>
      </c>
      <c r="I75" s="12" t="s">
        <v>1551</v>
      </c>
      <c r="J75" s="12" t="s">
        <v>2018</v>
      </c>
      <c r="K75" s="12" t="s">
        <v>1599</v>
      </c>
      <c r="L75" s="12" t="s">
        <v>2018</v>
      </c>
      <c r="M75" s="12" t="s">
        <v>1551</v>
      </c>
    </row>
    <row r="76" spans="1:13" ht="14.4" x14ac:dyDescent="0.3">
      <c r="A76" s="12" t="s">
        <v>8</v>
      </c>
      <c r="B76" s="12" t="s">
        <v>146</v>
      </c>
      <c r="C76" s="12" t="s">
        <v>145</v>
      </c>
      <c r="D76" s="12" t="s">
        <v>1410</v>
      </c>
      <c r="E76" s="12" t="s">
        <v>2434</v>
      </c>
      <c r="F76" s="12" t="s">
        <v>2462</v>
      </c>
      <c r="G76" s="12" t="s">
        <v>2360</v>
      </c>
      <c r="H76" s="12" t="s">
        <v>3246</v>
      </c>
      <c r="I76" s="12" t="s">
        <v>1599</v>
      </c>
      <c r="J76" s="12" t="s">
        <v>1551</v>
      </c>
      <c r="K76" s="12" t="s">
        <v>1551</v>
      </c>
      <c r="L76" s="12" t="s">
        <v>2018</v>
      </c>
      <c r="M76" s="12" t="s">
        <v>1506</v>
      </c>
    </row>
    <row r="77" spans="1:13" ht="14.4" x14ac:dyDescent="0.3">
      <c r="A77" s="12" t="s">
        <v>71</v>
      </c>
      <c r="B77" s="12" t="s">
        <v>148</v>
      </c>
      <c r="C77" s="12" t="s">
        <v>147</v>
      </c>
      <c r="D77" s="12" t="s">
        <v>1410</v>
      </c>
      <c r="E77" s="12" t="s">
        <v>3740</v>
      </c>
      <c r="F77" s="12" t="s">
        <v>2476</v>
      </c>
      <c r="G77" s="12" t="s">
        <v>2254</v>
      </c>
      <c r="H77" s="12" t="s">
        <v>3464</v>
      </c>
      <c r="I77" s="12" t="s">
        <v>2018</v>
      </c>
      <c r="J77" s="12" t="s">
        <v>2018</v>
      </c>
      <c r="K77" s="12" t="s">
        <v>2018</v>
      </c>
      <c r="L77" s="12" t="s">
        <v>2018</v>
      </c>
      <c r="M77" s="12" t="s">
        <v>2018</v>
      </c>
    </row>
    <row r="78" spans="1:13" ht="14.4" x14ac:dyDescent="0.3">
      <c r="A78" s="12" t="s">
        <v>11</v>
      </c>
      <c r="B78" s="12" t="s">
        <v>150</v>
      </c>
      <c r="C78" s="12" t="s">
        <v>149</v>
      </c>
      <c r="D78" s="12" t="s">
        <v>1410</v>
      </c>
      <c r="E78" s="12" t="s">
        <v>2503</v>
      </c>
      <c r="F78" s="12" t="s">
        <v>2522</v>
      </c>
      <c r="G78" s="12" t="s">
        <v>3778</v>
      </c>
      <c r="H78" s="12" t="s">
        <v>3411</v>
      </c>
      <c r="I78" s="12" t="s">
        <v>2018</v>
      </c>
      <c r="J78" s="12" t="s">
        <v>3204</v>
      </c>
      <c r="K78" s="12" t="s">
        <v>1599</v>
      </c>
      <c r="L78" s="12" t="s">
        <v>2018</v>
      </c>
      <c r="M78" s="12" t="s">
        <v>2062</v>
      </c>
    </row>
    <row r="79" spans="1:13" ht="14.4" x14ac:dyDescent="0.3">
      <c r="A79" s="12" t="s">
        <v>153</v>
      </c>
      <c r="B79" s="12" t="s">
        <v>152</v>
      </c>
      <c r="C79" s="12" t="s">
        <v>151</v>
      </c>
      <c r="D79" s="12" t="s">
        <v>1410</v>
      </c>
      <c r="E79" s="12" t="s">
        <v>2455</v>
      </c>
      <c r="F79" s="12" t="s">
        <v>3721</v>
      </c>
      <c r="G79" s="12" t="s">
        <v>3722</v>
      </c>
      <c r="H79" s="12" t="s">
        <v>3218</v>
      </c>
      <c r="I79" s="12" t="s">
        <v>3214</v>
      </c>
      <c r="J79" s="12" t="s">
        <v>1506</v>
      </c>
      <c r="K79" s="12" t="s">
        <v>1551</v>
      </c>
      <c r="L79" s="12" t="s">
        <v>2018</v>
      </c>
      <c r="M79" s="12" t="s">
        <v>1551</v>
      </c>
    </row>
    <row r="80" spans="1:13" ht="14.4" x14ac:dyDescent="0.3">
      <c r="A80" s="12" t="s">
        <v>42</v>
      </c>
      <c r="B80" s="12" t="s">
        <v>155</v>
      </c>
      <c r="C80" s="12" t="s">
        <v>154</v>
      </c>
      <c r="D80" s="12" t="s">
        <v>1410</v>
      </c>
      <c r="E80" s="12" t="s">
        <v>2731</v>
      </c>
      <c r="F80" s="12" t="s">
        <v>3994</v>
      </c>
      <c r="G80" s="12" t="s">
        <v>3454</v>
      </c>
      <c r="H80" s="12" t="s">
        <v>3240</v>
      </c>
      <c r="I80" s="12" t="s">
        <v>1506</v>
      </c>
      <c r="J80" s="12" t="s">
        <v>1551</v>
      </c>
      <c r="K80" s="12" t="s">
        <v>2018</v>
      </c>
      <c r="L80" s="12" t="s">
        <v>1551</v>
      </c>
      <c r="M80" s="12" t="s">
        <v>2018</v>
      </c>
    </row>
    <row r="81" spans="1:13" ht="14.4" x14ac:dyDescent="0.3">
      <c r="A81" s="12" t="s">
        <v>5500</v>
      </c>
      <c r="B81" s="12" t="s">
        <v>5842</v>
      </c>
      <c r="C81" s="12" t="s">
        <v>156</v>
      </c>
      <c r="D81" s="12" t="s">
        <v>1410</v>
      </c>
      <c r="E81" s="12" t="s">
        <v>3848</v>
      </c>
      <c r="F81" s="12" t="s">
        <v>3859</v>
      </c>
      <c r="G81" s="12" t="s">
        <v>3860</v>
      </c>
      <c r="H81" s="12" t="s">
        <v>3213</v>
      </c>
      <c r="I81" s="12" t="s">
        <v>1506</v>
      </c>
      <c r="J81" s="12" t="s">
        <v>1506</v>
      </c>
      <c r="K81" s="12" t="s">
        <v>2062</v>
      </c>
      <c r="L81" s="12" t="s">
        <v>1599</v>
      </c>
      <c r="M81" s="12" t="s">
        <v>1551</v>
      </c>
    </row>
    <row r="82" spans="1:13" ht="14.4" x14ac:dyDescent="0.3">
      <c r="A82" s="12" t="s">
        <v>28</v>
      </c>
      <c r="B82" s="12" t="s">
        <v>159</v>
      </c>
      <c r="C82" s="12" t="s">
        <v>158</v>
      </c>
      <c r="D82" s="12" t="s">
        <v>1410</v>
      </c>
      <c r="E82" s="12" t="s">
        <v>3741</v>
      </c>
      <c r="F82" s="12" t="s">
        <v>3738</v>
      </c>
      <c r="G82" s="12" t="s">
        <v>3743</v>
      </c>
      <c r="H82" s="12" t="s">
        <v>3223</v>
      </c>
      <c r="I82" s="12" t="s">
        <v>1551</v>
      </c>
      <c r="J82" s="12" t="s">
        <v>1551</v>
      </c>
      <c r="K82" s="12" t="s">
        <v>1599</v>
      </c>
      <c r="L82" s="12" t="s">
        <v>2018</v>
      </c>
      <c r="M82" s="12" t="s">
        <v>2018</v>
      </c>
    </row>
    <row r="83" spans="1:13" ht="14.4" x14ac:dyDescent="0.3">
      <c r="A83" s="12" t="s">
        <v>31</v>
      </c>
      <c r="B83" s="12" t="s">
        <v>161</v>
      </c>
      <c r="C83" s="12" t="s">
        <v>160</v>
      </c>
      <c r="D83" s="12" t="s">
        <v>1410</v>
      </c>
      <c r="E83" s="12" t="s">
        <v>2437</v>
      </c>
      <c r="F83" s="12" t="s">
        <v>3714</v>
      </c>
      <c r="G83" s="12" t="s">
        <v>3718</v>
      </c>
      <c r="H83" s="12" t="s">
        <v>3240</v>
      </c>
      <c r="I83" s="12" t="s">
        <v>1551</v>
      </c>
      <c r="J83" s="12" t="s">
        <v>2018</v>
      </c>
      <c r="K83" s="12" t="s">
        <v>3204</v>
      </c>
      <c r="L83" s="12" t="s">
        <v>2018</v>
      </c>
      <c r="M83" s="12" t="s">
        <v>2018</v>
      </c>
    </row>
    <row r="84" spans="1:13" ht="14.4" x14ac:dyDescent="0.3">
      <c r="A84" s="12" t="s">
        <v>42</v>
      </c>
      <c r="B84" s="12" t="s">
        <v>163</v>
      </c>
      <c r="C84" s="12" t="s">
        <v>162</v>
      </c>
      <c r="D84" s="12" t="s">
        <v>1410</v>
      </c>
      <c r="E84" s="12" t="s">
        <v>2471</v>
      </c>
      <c r="F84" s="12" t="s">
        <v>3731</v>
      </c>
      <c r="G84" s="12" t="s">
        <v>2135</v>
      </c>
      <c r="H84" s="12" t="s">
        <v>3439</v>
      </c>
      <c r="I84" s="12" t="s">
        <v>1551</v>
      </c>
      <c r="J84" s="12" t="s">
        <v>2018</v>
      </c>
      <c r="K84" s="12" t="s">
        <v>2018</v>
      </c>
      <c r="L84" s="12" t="s">
        <v>2018</v>
      </c>
      <c r="M84" s="12" t="s">
        <v>2018</v>
      </c>
    </row>
    <row r="85" spans="1:13" ht="14.4" x14ac:dyDescent="0.3">
      <c r="A85" s="12" t="s">
        <v>28</v>
      </c>
      <c r="B85" s="12" t="s">
        <v>165</v>
      </c>
      <c r="C85" s="12" t="s">
        <v>164</v>
      </c>
      <c r="D85" s="12" t="s">
        <v>1410</v>
      </c>
      <c r="E85" s="12" t="s">
        <v>3965</v>
      </c>
      <c r="F85" s="12" t="s">
        <v>3966</v>
      </c>
      <c r="G85" s="12" t="s">
        <v>3967</v>
      </c>
      <c r="H85" s="12" t="s">
        <v>3311</v>
      </c>
      <c r="I85" s="12" t="s">
        <v>1506</v>
      </c>
      <c r="J85" s="12" t="s">
        <v>1551</v>
      </c>
      <c r="K85" s="12" t="s">
        <v>2018</v>
      </c>
      <c r="L85" s="12" t="s">
        <v>1599</v>
      </c>
      <c r="M85" s="12" t="s">
        <v>1414</v>
      </c>
    </row>
    <row r="86" spans="1:13" ht="14.4" x14ac:dyDescent="0.3">
      <c r="A86" s="12" t="s">
        <v>31</v>
      </c>
      <c r="B86" s="12" t="s">
        <v>167</v>
      </c>
      <c r="C86" s="12" t="s">
        <v>166</v>
      </c>
      <c r="D86" s="12" t="s">
        <v>1410</v>
      </c>
      <c r="E86" s="12" t="s">
        <v>3789</v>
      </c>
      <c r="F86" s="12" t="s">
        <v>3790</v>
      </c>
      <c r="G86" s="12" t="s">
        <v>3791</v>
      </c>
      <c r="H86" s="12" t="s">
        <v>3240</v>
      </c>
      <c r="I86" s="12" t="s">
        <v>3204</v>
      </c>
      <c r="J86" s="12" t="s">
        <v>1551</v>
      </c>
      <c r="K86" s="12" t="s">
        <v>2018</v>
      </c>
      <c r="L86" s="12" t="s">
        <v>2018</v>
      </c>
      <c r="M86" s="12" t="s">
        <v>2018</v>
      </c>
    </row>
    <row r="87" spans="1:13" ht="14.4" x14ac:dyDescent="0.3">
      <c r="A87" s="12" t="s">
        <v>170</v>
      </c>
      <c r="B87" s="12" t="s">
        <v>169</v>
      </c>
      <c r="C87" s="12" t="s">
        <v>168</v>
      </c>
      <c r="D87" s="12" t="s">
        <v>1410</v>
      </c>
      <c r="E87" s="12" t="s">
        <v>3782</v>
      </c>
      <c r="F87" s="12" t="s">
        <v>3783</v>
      </c>
      <c r="G87" s="12" t="s">
        <v>3268</v>
      </c>
      <c r="H87" s="12" t="s">
        <v>1506</v>
      </c>
      <c r="I87" s="12" t="s">
        <v>1506</v>
      </c>
      <c r="J87" s="12" t="s">
        <v>1414</v>
      </c>
      <c r="K87" s="12" t="s">
        <v>1414</v>
      </c>
      <c r="L87" s="12" t="s">
        <v>1414</v>
      </c>
      <c r="M87" s="12" t="s">
        <v>1414</v>
      </c>
    </row>
    <row r="88" spans="1:13" ht="14.4" x14ac:dyDescent="0.3">
      <c r="A88" s="12" t="s">
        <v>170</v>
      </c>
      <c r="B88" s="12" t="s">
        <v>169</v>
      </c>
      <c r="C88" s="12" t="s">
        <v>168</v>
      </c>
      <c r="D88" s="12" t="s">
        <v>1410</v>
      </c>
      <c r="E88" s="12" t="s">
        <v>3840</v>
      </c>
      <c r="F88" s="12" t="s">
        <v>3841</v>
      </c>
      <c r="G88" s="12" t="s">
        <v>3842</v>
      </c>
      <c r="H88" s="12" t="s">
        <v>3240</v>
      </c>
      <c r="I88" s="12" t="s">
        <v>1551</v>
      </c>
      <c r="J88" s="12" t="s">
        <v>2018</v>
      </c>
      <c r="K88" s="12" t="s">
        <v>1551</v>
      </c>
      <c r="L88" s="12" t="s">
        <v>1551</v>
      </c>
      <c r="M88" s="12" t="s">
        <v>1599</v>
      </c>
    </row>
    <row r="89" spans="1:13" ht="14.4" x14ac:dyDescent="0.3">
      <c r="A89" s="12" t="s">
        <v>11</v>
      </c>
      <c r="B89" s="12" t="s">
        <v>172</v>
      </c>
      <c r="C89" s="12" t="s">
        <v>171</v>
      </c>
      <c r="D89" s="12" t="s">
        <v>1410</v>
      </c>
      <c r="E89" s="12" t="s">
        <v>3784</v>
      </c>
      <c r="F89" s="12" t="s">
        <v>3780</v>
      </c>
      <c r="G89" s="12" t="s">
        <v>3785</v>
      </c>
      <c r="H89" s="12" t="s">
        <v>3464</v>
      </c>
      <c r="I89" s="12" t="s">
        <v>2018</v>
      </c>
      <c r="J89" s="12" t="s">
        <v>2018</v>
      </c>
      <c r="K89" s="12" t="s">
        <v>2018</v>
      </c>
      <c r="L89" s="12" t="s">
        <v>2018</v>
      </c>
      <c r="M89" s="12" t="s">
        <v>2018</v>
      </c>
    </row>
    <row r="90" spans="1:13" ht="14.4" x14ac:dyDescent="0.3">
      <c r="A90" s="12" t="s">
        <v>71</v>
      </c>
      <c r="B90" s="12" t="s">
        <v>174</v>
      </c>
      <c r="C90" s="12" t="s">
        <v>173</v>
      </c>
      <c r="D90" s="12" t="s">
        <v>1410</v>
      </c>
      <c r="E90" s="12" t="s">
        <v>4096</v>
      </c>
      <c r="F90" s="12" t="s">
        <v>4097</v>
      </c>
      <c r="G90" s="12" t="s">
        <v>4098</v>
      </c>
      <c r="H90" s="12" t="s">
        <v>3258</v>
      </c>
      <c r="I90" s="12" t="s">
        <v>1551</v>
      </c>
      <c r="J90" s="12" t="s">
        <v>2018</v>
      </c>
      <c r="K90" s="12" t="s">
        <v>1551</v>
      </c>
      <c r="L90" s="12" t="s">
        <v>2018</v>
      </c>
      <c r="M90" s="12" t="s">
        <v>1551</v>
      </c>
    </row>
    <row r="91" spans="1:13" ht="14.4" x14ac:dyDescent="0.3">
      <c r="A91" s="12" t="s">
        <v>8</v>
      </c>
      <c r="B91" s="12" t="s">
        <v>176</v>
      </c>
      <c r="C91" s="12" t="s">
        <v>175</v>
      </c>
      <c r="D91" s="12" t="s">
        <v>1410</v>
      </c>
      <c r="E91" s="12" t="s">
        <v>3748</v>
      </c>
      <c r="F91" s="12" t="s">
        <v>3749</v>
      </c>
      <c r="G91" s="12" t="s">
        <v>2131</v>
      </c>
      <c r="H91" s="12" t="s">
        <v>3271</v>
      </c>
      <c r="I91" s="12" t="s">
        <v>1749</v>
      </c>
      <c r="J91" s="12" t="s">
        <v>3204</v>
      </c>
      <c r="K91" s="12" t="s">
        <v>1749</v>
      </c>
      <c r="L91" s="12" t="s">
        <v>3204</v>
      </c>
      <c r="M91" s="12" t="s">
        <v>2018</v>
      </c>
    </row>
    <row r="92" spans="1:13" ht="14.4" x14ac:dyDescent="0.3">
      <c r="A92" s="12" t="s">
        <v>8</v>
      </c>
      <c r="B92" s="12" t="s">
        <v>176</v>
      </c>
      <c r="C92" s="12" t="s">
        <v>175</v>
      </c>
      <c r="D92" s="12" t="s">
        <v>1410</v>
      </c>
      <c r="E92" s="12" t="s">
        <v>3779</v>
      </c>
      <c r="F92" s="12" t="s">
        <v>3780</v>
      </c>
      <c r="G92" s="12" t="s">
        <v>3781</v>
      </c>
      <c r="H92" s="12" t="s">
        <v>3264</v>
      </c>
      <c r="I92" s="12" t="s">
        <v>2018</v>
      </c>
      <c r="J92" s="12" t="s">
        <v>2018</v>
      </c>
      <c r="K92" s="12" t="s">
        <v>2018</v>
      </c>
      <c r="L92" s="12" t="s">
        <v>1551</v>
      </c>
      <c r="M92" s="12" t="s">
        <v>1551</v>
      </c>
    </row>
    <row r="93" spans="1:13" ht="14.4" x14ac:dyDescent="0.3">
      <c r="A93" s="12" t="s">
        <v>179</v>
      </c>
      <c r="B93" s="12" t="s">
        <v>178</v>
      </c>
      <c r="C93" s="12" t="s">
        <v>177</v>
      </c>
      <c r="D93" s="12" t="s">
        <v>1410</v>
      </c>
      <c r="E93" s="12" t="s">
        <v>2465</v>
      </c>
      <c r="F93" s="12" t="s">
        <v>3726</v>
      </c>
      <c r="G93" s="12" t="s">
        <v>3730</v>
      </c>
      <c r="H93" s="12" t="s">
        <v>3240</v>
      </c>
      <c r="I93" s="12" t="s">
        <v>1551</v>
      </c>
      <c r="J93" s="12" t="s">
        <v>2018</v>
      </c>
      <c r="K93" s="12" t="s">
        <v>3204</v>
      </c>
      <c r="L93" s="12" t="s">
        <v>2018</v>
      </c>
      <c r="M93" s="12" t="s">
        <v>2018</v>
      </c>
    </row>
    <row r="94" spans="1:13" ht="14.4" x14ac:dyDescent="0.3">
      <c r="A94" s="12" t="s">
        <v>8</v>
      </c>
      <c r="B94" s="12" t="s">
        <v>181</v>
      </c>
      <c r="C94" s="12" t="s">
        <v>180</v>
      </c>
      <c r="D94" s="12" t="s">
        <v>1410</v>
      </c>
      <c r="E94" s="12" t="s">
        <v>3764</v>
      </c>
      <c r="F94" s="12" t="s">
        <v>3765</v>
      </c>
      <c r="G94" s="12" t="s">
        <v>3766</v>
      </c>
      <c r="H94" s="12" t="s">
        <v>3240</v>
      </c>
      <c r="I94" s="12" t="s">
        <v>1599</v>
      </c>
      <c r="J94" s="12" t="s">
        <v>2018</v>
      </c>
      <c r="K94" s="12" t="s">
        <v>1551</v>
      </c>
      <c r="L94" s="12" t="s">
        <v>1551</v>
      </c>
      <c r="M94" s="12" t="s">
        <v>1551</v>
      </c>
    </row>
    <row r="95" spans="1:13" ht="14.4" x14ac:dyDescent="0.3">
      <c r="A95" s="12" t="s">
        <v>8</v>
      </c>
      <c r="B95" s="12" t="s">
        <v>183</v>
      </c>
      <c r="C95" s="12" t="s">
        <v>182</v>
      </c>
      <c r="D95" s="12" t="s">
        <v>1410</v>
      </c>
      <c r="E95" s="12" t="s">
        <v>2437</v>
      </c>
      <c r="F95" s="12" t="s">
        <v>3716</v>
      </c>
      <c r="G95" s="12" t="s">
        <v>3717</v>
      </c>
      <c r="H95" s="12" t="s">
        <v>3246</v>
      </c>
      <c r="I95" s="12" t="s">
        <v>3204</v>
      </c>
      <c r="J95" s="12" t="s">
        <v>1599</v>
      </c>
      <c r="K95" s="12" t="s">
        <v>1551</v>
      </c>
      <c r="L95" s="12" t="s">
        <v>2018</v>
      </c>
      <c r="M95" s="12" t="s">
        <v>2018</v>
      </c>
    </row>
    <row r="96" spans="1:13" ht="14.4" x14ac:dyDescent="0.3">
      <c r="A96" s="12" t="s">
        <v>42</v>
      </c>
      <c r="B96" s="12" t="s">
        <v>185</v>
      </c>
      <c r="C96" s="12" t="s">
        <v>184</v>
      </c>
      <c r="D96" s="12" t="s">
        <v>1410</v>
      </c>
      <c r="E96" s="12" t="s">
        <v>3794</v>
      </c>
      <c r="F96" s="12" t="s">
        <v>3798</v>
      </c>
      <c r="G96" s="12" t="s">
        <v>3799</v>
      </c>
      <c r="H96" s="12" t="s">
        <v>3258</v>
      </c>
      <c r="I96" s="12" t="s">
        <v>1551</v>
      </c>
      <c r="J96" s="12" t="s">
        <v>1551</v>
      </c>
      <c r="K96" s="12" t="s">
        <v>2018</v>
      </c>
      <c r="L96" s="12" t="s">
        <v>1551</v>
      </c>
      <c r="M96" s="12" t="s">
        <v>2018</v>
      </c>
    </row>
    <row r="97" spans="1:13" ht="14.4" x14ac:dyDescent="0.3">
      <c r="A97" s="12" t="s">
        <v>8</v>
      </c>
      <c r="B97" s="12" t="s">
        <v>187</v>
      </c>
      <c r="C97" s="12" t="s">
        <v>186</v>
      </c>
      <c r="D97" s="12" t="s">
        <v>1410</v>
      </c>
      <c r="E97" s="12" t="s">
        <v>3546</v>
      </c>
      <c r="F97" s="12" t="s">
        <v>3547</v>
      </c>
      <c r="G97" s="12" t="s">
        <v>3548</v>
      </c>
      <c r="H97" s="12" t="s">
        <v>3368</v>
      </c>
      <c r="I97" s="12" t="s">
        <v>1749</v>
      </c>
      <c r="J97" s="12" t="s">
        <v>1414</v>
      </c>
      <c r="K97" s="12" t="s">
        <v>2018</v>
      </c>
      <c r="L97" s="12" t="s">
        <v>2062</v>
      </c>
      <c r="M97" s="12" t="s">
        <v>2018</v>
      </c>
    </row>
    <row r="98" spans="1:13" ht="14.4" x14ac:dyDescent="0.3">
      <c r="A98" s="12" t="s">
        <v>8</v>
      </c>
      <c r="B98" s="12" t="s">
        <v>187</v>
      </c>
      <c r="C98" s="12" t="s">
        <v>186</v>
      </c>
      <c r="D98" s="12" t="s">
        <v>1410</v>
      </c>
      <c r="E98" s="12" t="s">
        <v>2496</v>
      </c>
      <c r="F98" s="12" t="s">
        <v>3744</v>
      </c>
      <c r="G98" s="12" t="s">
        <v>3745</v>
      </c>
      <c r="H98" s="12" t="s">
        <v>3203</v>
      </c>
      <c r="I98" s="12" t="s">
        <v>2062</v>
      </c>
      <c r="J98" s="12" t="s">
        <v>2018</v>
      </c>
      <c r="K98" s="12" t="s">
        <v>2018</v>
      </c>
      <c r="L98" s="12" t="s">
        <v>3204</v>
      </c>
      <c r="M98" s="12" t="s">
        <v>2018</v>
      </c>
    </row>
    <row r="99" spans="1:13" ht="14.4" x14ac:dyDescent="0.3">
      <c r="A99" s="12" t="s">
        <v>123</v>
      </c>
      <c r="B99" s="12" t="s">
        <v>189</v>
      </c>
      <c r="C99" s="12" t="s">
        <v>188</v>
      </c>
      <c r="D99" s="12" t="s">
        <v>1410</v>
      </c>
      <c r="E99" s="12" t="s">
        <v>3886</v>
      </c>
      <c r="F99" s="12" t="s">
        <v>2616</v>
      </c>
      <c r="G99" s="12" t="s">
        <v>3887</v>
      </c>
      <c r="H99" s="12" t="s">
        <v>3210</v>
      </c>
      <c r="I99" s="12" t="s">
        <v>2018</v>
      </c>
      <c r="J99" s="12" t="s">
        <v>1551</v>
      </c>
      <c r="K99" s="12" t="s">
        <v>2018</v>
      </c>
      <c r="L99" s="12" t="s">
        <v>1551</v>
      </c>
      <c r="M99" s="12" t="s">
        <v>1749</v>
      </c>
    </row>
    <row r="100" spans="1:13" ht="14.4" x14ac:dyDescent="0.3">
      <c r="A100" s="12" t="s">
        <v>192</v>
      </c>
      <c r="B100" s="12" t="s">
        <v>191</v>
      </c>
      <c r="C100" s="12" t="s">
        <v>190</v>
      </c>
      <c r="D100" s="12" t="s">
        <v>1410</v>
      </c>
      <c r="E100" s="12" t="s">
        <v>2467</v>
      </c>
      <c r="F100" s="12" t="s">
        <v>3723</v>
      </c>
      <c r="G100" s="12" t="s">
        <v>3724</v>
      </c>
      <c r="H100" s="12" t="s">
        <v>3213</v>
      </c>
      <c r="I100" s="12" t="s">
        <v>1599</v>
      </c>
      <c r="J100" s="12" t="s">
        <v>2018</v>
      </c>
      <c r="K100" s="12" t="s">
        <v>3204</v>
      </c>
      <c r="L100" s="12" t="s">
        <v>1599</v>
      </c>
      <c r="M100" s="12" t="s">
        <v>1749</v>
      </c>
    </row>
    <row r="101" spans="1:13" ht="14.4" x14ac:dyDescent="0.3">
      <c r="A101" s="12" t="s">
        <v>55</v>
      </c>
      <c r="B101" s="12" t="s">
        <v>194</v>
      </c>
      <c r="C101" s="12" t="s">
        <v>193</v>
      </c>
      <c r="D101" s="12" t="s">
        <v>1410</v>
      </c>
      <c r="E101" s="12" t="s">
        <v>3794</v>
      </c>
      <c r="F101" s="12" t="s">
        <v>3797</v>
      </c>
      <c r="G101" s="12" t="s">
        <v>3663</v>
      </c>
      <c r="H101" s="12" t="s">
        <v>3213</v>
      </c>
      <c r="I101" s="12" t="s">
        <v>3214</v>
      </c>
      <c r="J101" s="12" t="s">
        <v>1599</v>
      </c>
      <c r="K101" s="12" t="s">
        <v>1599</v>
      </c>
      <c r="L101" s="12" t="s">
        <v>1599</v>
      </c>
      <c r="M101" s="12" t="s">
        <v>1551</v>
      </c>
    </row>
    <row r="102" spans="1:13" ht="14.4" x14ac:dyDescent="0.3">
      <c r="A102" s="12" t="s">
        <v>8</v>
      </c>
      <c r="B102" s="12" t="s">
        <v>196</v>
      </c>
      <c r="C102" s="12" t="s">
        <v>195</v>
      </c>
      <c r="D102" s="12" t="s">
        <v>1410</v>
      </c>
      <c r="E102" s="12" t="s">
        <v>3833</v>
      </c>
      <c r="F102" s="12" t="s">
        <v>3834</v>
      </c>
      <c r="G102" s="12" t="s">
        <v>3835</v>
      </c>
      <c r="H102" s="12" t="s">
        <v>3234</v>
      </c>
      <c r="I102" s="12" t="s">
        <v>1551</v>
      </c>
      <c r="J102" s="12" t="s">
        <v>1551</v>
      </c>
      <c r="K102" s="12" t="s">
        <v>1599</v>
      </c>
      <c r="L102" s="12" t="s">
        <v>1599</v>
      </c>
      <c r="M102" s="12" t="s">
        <v>2018</v>
      </c>
    </row>
    <row r="103" spans="1:13" ht="14.4" x14ac:dyDescent="0.3">
      <c r="A103" s="12" t="s">
        <v>8</v>
      </c>
      <c r="B103" s="12" t="s">
        <v>969</v>
      </c>
      <c r="C103" s="12" t="s">
        <v>197</v>
      </c>
      <c r="D103" s="12" t="s">
        <v>1410</v>
      </c>
      <c r="E103" s="12" t="s">
        <v>3750</v>
      </c>
      <c r="F103" s="12" t="s">
        <v>2503</v>
      </c>
      <c r="G103" s="12" t="s">
        <v>3751</v>
      </c>
      <c r="H103" s="12" t="s">
        <v>3264</v>
      </c>
      <c r="I103" s="12" t="s">
        <v>1551</v>
      </c>
      <c r="J103" s="12" t="s">
        <v>2018</v>
      </c>
      <c r="K103" s="12" t="s">
        <v>2018</v>
      </c>
      <c r="L103" s="12" t="s">
        <v>1551</v>
      </c>
      <c r="M103" s="12" t="s">
        <v>2018</v>
      </c>
    </row>
    <row r="104" spans="1:13" ht="14.4" x14ac:dyDescent="0.3">
      <c r="A104" s="12" t="s">
        <v>42</v>
      </c>
      <c r="B104" s="12" t="s">
        <v>200</v>
      </c>
      <c r="C104" s="12" t="s">
        <v>199</v>
      </c>
      <c r="D104" s="12" t="s">
        <v>1410</v>
      </c>
      <c r="E104" s="12" t="s">
        <v>2562</v>
      </c>
      <c r="F104" s="12" t="s">
        <v>3843</v>
      </c>
      <c r="G104" s="12" t="s">
        <v>3844</v>
      </c>
      <c r="H104" s="12" t="s">
        <v>3311</v>
      </c>
      <c r="I104" s="12" t="s">
        <v>1414</v>
      </c>
      <c r="J104" s="12" t="s">
        <v>2018</v>
      </c>
      <c r="K104" s="12" t="s">
        <v>3204</v>
      </c>
      <c r="L104" s="12" t="s">
        <v>1599</v>
      </c>
      <c r="M104" s="12" t="s">
        <v>2018</v>
      </c>
    </row>
    <row r="105" spans="1:13" ht="14.4" x14ac:dyDescent="0.3">
      <c r="A105" s="12" t="s">
        <v>42</v>
      </c>
      <c r="B105" s="12" t="s">
        <v>200</v>
      </c>
      <c r="C105" s="12" t="s">
        <v>199</v>
      </c>
      <c r="D105" s="12" t="s">
        <v>1410</v>
      </c>
      <c r="E105" s="12" t="s">
        <v>3854</v>
      </c>
      <c r="F105" s="12" t="s">
        <v>3855</v>
      </c>
      <c r="G105" s="12" t="s">
        <v>3856</v>
      </c>
      <c r="H105" s="12" t="s">
        <v>3234</v>
      </c>
      <c r="I105" s="12" t="s">
        <v>2018</v>
      </c>
      <c r="J105" s="12" t="s">
        <v>1551</v>
      </c>
      <c r="K105" s="12" t="s">
        <v>1599</v>
      </c>
      <c r="L105" s="12" t="s">
        <v>1599</v>
      </c>
      <c r="M105" s="12" t="s">
        <v>1551</v>
      </c>
    </row>
    <row r="106" spans="1:13" ht="14.4" x14ac:dyDescent="0.3">
      <c r="A106" s="12" t="s">
        <v>55</v>
      </c>
      <c r="B106" s="12" t="s">
        <v>202</v>
      </c>
      <c r="C106" s="12" t="s">
        <v>201</v>
      </c>
      <c r="D106" s="12" t="s">
        <v>1410</v>
      </c>
      <c r="E106" s="12" t="s">
        <v>3725</v>
      </c>
      <c r="F106" s="12" t="s">
        <v>3726</v>
      </c>
      <c r="G106" s="12" t="s">
        <v>3727</v>
      </c>
      <c r="H106" s="12" t="s">
        <v>3240</v>
      </c>
      <c r="I106" s="12" t="s">
        <v>1599</v>
      </c>
      <c r="J106" s="12" t="s">
        <v>1551</v>
      </c>
      <c r="K106" s="12" t="s">
        <v>2018</v>
      </c>
      <c r="L106" s="12" t="s">
        <v>1551</v>
      </c>
      <c r="M106" s="12" t="s">
        <v>1551</v>
      </c>
    </row>
    <row r="107" spans="1:13" ht="14.4" x14ac:dyDescent="0.3">
      <c r="A107" s="12" t="s">
        <v>55</v>
      </c>
      <c r="B107" s="12" t="s">
        <v>204</v>
      </c>
      <c r="C107" s="12" t="s">
        <v>203</v>
      </c>
      <c r="D107" s="12" t="s">
        <v>1410</v>
      </c>
      <c r="E107" s="12" t="s">
        <v>3708</v>
      </c>
      <c r="F107" s="12" t="s">
        <v>3709</v>
      </c>
      <c r="G107" s="12" t="s">
        <v>3710</v>
      </c>
      <c r="H107" s="12" t="s">
        <v>3213</v>
      </c>
      <c r="I107" s="12" t="s">
        <v>1506</v>
      </c>
      <c r="J107" s="12" t="s">
        <v>1599</v>
      </c>
      <c r="K107" s="12" t="s">
        <v>2435</v>
      </c>
      <c r="L107" s="12" t="s">
        <v>1551</v>
      </c>
      <c r="M107" s="12" t="s">
        <v>2018</v>
      </c>
    </row>
    <row r="108" spans="1:13" ht="14.4" x14ac:dyDescent="0.3">
      <c r="A108" s="12" t="s">
        <v>55</v>
      </c>
      <c r="B108" s="12" t="s">
        <v>204</v>
      </c>
      <c r="C108" s="12" t="s">
        <v>203</v>
      </c>
      <c r="D108" s="12" t="s">
        <v>1410</v>
      </c>
      <c r="E108" s="12" t="s">
        <v>3732</v>
      </c>
      <c r="F108" s="12" t="s">
        <v>3731</v>
      </c>
      <c r="G108" s="12" t="s">
        <v>2456</v>
      </c>
      <c r="H108" s="12" t="s">
        <v>3439</v>
      </c>
      <c r="I108" s="12" t="s">
        <v>2018</v>
      </c>
      <c r="J108" s="12" t="s">
        <v>1551</v>
      </c>
      <c r="K108" s="12" t="s">
        <v>2018</v>
      </c>
      <c r="L108" s="12" t="s">
        <v>2018</v>
      </c>
      <c r="M108" s="12" t="s">
        <v>2018</v>
      </c>
    </row>
    <row r="109" spans="1:13" ht="14.4" x14ac:dyDescent="0.3">
      <c r="A109" s="12" t="s">
        <v>11</v>
      </c>
      <c r="B109" s="12" t="s">
        <v>206</v>
      </c>
      <c r="C109" s="12" t="s">
        <v>205</v>
      </c>
      <c r="D109" s="12" t="s">
        <v>1410</v>
      </c>
      <c r="E109" s="12" t="s">
        <v>3538</v>
      </c>
      <c r="F109" s="12" t="s">
        <v>3539</v>
      </c>
      <c r="G109" s="12" t="s">
        <v>3540</v>
      </c>
      <c r="H109" s="12" t="s">
        <v>3269</v>
      </c>
      <c r="I109" s="12" t="s">
        <v>1506</v>
      </c>
      <c r="J109" s="12" t="s">
        <v>1749</v>
      </c>
      <c r="K109" s="12" t="s">
        <v>1506</v>
      </c>
      <c r="L109" s="12" t="s">
        <v>3204</v>
      </c>
      <c r="M109" s="12" t="s">
        <v>1599</v>
      </c>
    </row>
    <row r="110" spans="1:13" ht="14.4" x14ac:dyDescent="0.3">
      <c r="A110" s="12" t="s">
        <v>11</v>
      </c>
      <c r="B110" s="12" t="s">
        <v>206</v>
      </c>
      <c r="C110" s="12" t="s">
        <v>205</v>
      </c>
      <c r="D110" s="12" t="s">
        <v>1410</v>
      </c>
      <c r="E110" s="12" t="s">
        <v>4044</v>
      </c>
      <c r="F110" s="12" t="s">
        <v>2805</v>
      </c>
      <c r="G110" s="12" t="s">
        <v>2466</v>
      </c>
      <c r="H110" s="12" t="s">
        <v>3264</v>
      </c>
      <c r="I110" s="12" t="s">
        <v>1551</v>
      </c>
      <c r="J110" s="12" t="s">
        <v>2018</v>
      </c>
      <c r="K110" s="12" t="s">
        <v>2018</v>
      </c>
      <c r="L110" s="12" t="s">
        <v>2018</v>
      </c>
      <c r="M110" s="12" t="s">
        <v>1551</v>
      </c>
    </row>
    <row r="111" spans="1:13" ht="14.4" x14ac:dyDescent="0.3">
      <c r="A111" s="12" t="s">
        <v>42</v>
      </c>
      <c r="B111" s="12" t="s">
        <v>208</v>
      </c>
      <c r="C111" s="12" t="s">
        <v>207</v>
      </c>
      <c r="D111" s="12" t="s">
        <v>1410</v>
      </c>
      <c r="E111" s="12" t="s">
        <v>4086</v>
      </c>
      <c r="F111" s="12" t="s">
        <v>4087</v>
      </c>
      <c r="G111" s="12" t="s">
        <v>1460</v>
      </c>
      <c r="H111" s="12" t="s">
        <v>3258</v>
      </c>
      <c r="I111" s="12" t="s">
        <v>1551</v>
      </c>
      <c r="J111" s="12" t="s">
        <v>1551</v>
      </c>
      <c r="K111" s="12" t="s">
        <v>2018</v>
      </c>
      <c r="L111" s="12" t="s">
        <v>1551</v>
      </c>
      <c r="M111" s="12" t="s">
        <v>2018</v>
      </c>
    </row>
    <row r="112" spans="1:13" ht="14.4" x14ac:dyDescent="0.3">
      <c r="A112" s="12" t="s">
        <v>22</v>
      </c>
      <c r="B112" s="12" t="s">
        <v>210</v>
      </c>
      <c r="C112" s="12" t="s">
        <v>209</v>
      </c>
      <c r="D112" s="12" t="s">
        <v>1410</v>
      </c>
      <c r="E112" s="12" t="s">
        <v>4120</v>
      </c>
      <c r="F112" s="12" t="s">
        <v>4121</v>
      </c>
      <c r="G112" s="12" t="s">
        <v>4122</v>
      </c>
      <c r="H112" s="12" t="s">
        <v>3311</v>
      </c>
      <c r="I112" s="12" t="s">
        <v>1551</v>
      </c>
      <c r="J112" s="12" t="s">
        <v>1506</v>
      </c>
      <c r="K112" s="12" t="s">
        <v>2018</v>
      </c>
      <c r="L112" s="12" t="s">
        <v>1599</v>
      </c>
      <c r="M112" s="12" t="s">
        <v>1414</v>
      </c>
    </row>
    <row r="113" spans="1:13" ht="14.4" x14ac:dyDescent="0.3">
      <c r="A113" s="12" t="s">
        <v>28</v>
      </c>
      <c r="B113" s="12" t="s">
        <v>212</v>
      </c>
      <c r="C113" s="12" t="s">
        <v>211</v>
      </c>
      <c r="D113" s="12" t="s">
        <v>1410</v>
      </c>
      <c r="E113" s="12" t="s">
        <v>3762</v>
      </c>
      <c r="F113" s="12" t="s">
        <v>3763</v>
      </c>
      <c r="G113" s="12" t="s">
        <v>3341</v>
      </c>
      <c r="H113" s="12" t="s">
        <v>3264</v>
      </c>
      <c r="I113" s="12" t="s">
        <v>2018</v>
      </c>
      <c r="J113" s="12" t="s">
        <v>2018</v>
      </c>
      <c r="K113" s="12" t="s">
        <v>1599</v>
      </c>
      <c r="L113" s="12" t="s">
        <v>2018</v>
      </c>
      <c r="M113" s="12" t="s">
        <v>2018</v>
      </c>
    </row>
    <row r="114" spans="1:13" ht="14.4" x14ac:dyDescent="0.3">
      <c r="A114" s="12" t="s">
        <v>42</v>
      </c>
      <c r="B114" s="12" t="s">
        <v>214</v>
      </c>
      <c r="C114" s="12" t="s">
        <v>213</v>
      </c>
      <c r="D114" s="12" t="s">
        <v>1410</v>
      </c>
      <c r="E114" s="12" t="s">
        <v>3800</v>
      </c>
      <c r="F114" s="12" t="s">
        <v>3801</v>
      </c>
      <c r="G114" s="12" t="s">
        <v>3390</v>
      </c>
      <c r="H114" s="12" t="s">
        <v>3207</v>
      </c>
      <c r="I114" s="12" t="s">
        <v>1551</v>
      </c>
      <c r="J114" s="12" t="s">
        <v>2062</v>
      </c>
      <c r="K114" s="12" t="s">
        <v>1599</v>
      </c>
      <c r="L114" s="12" t="s">
        <v>2062</v>
      </c>
      <c r="M114" s="12" t="s">
        <v>1599</v>
      </c>
    </row>
    <row r="115" spans="1:13" ht="14.4" x14ac:dyDescent="0.3">
      <c r="A115" s="12" t="s">
        <v>123</v>
      </c>
      <c r="B115" s="12" t="s">
        <v>216</v>
      </c>
      <c r="C115" s="12" t="s">
        <v>215</v>
      </c>
      <c r="D115" s="12" t="s">
        <v>1410</v>
      </c>
      <c r="E115" s="12" t="s">
        <v>2370</v>
      </c>
      <c r="F115" s="12" t="s">
        <v>2374</v>
      </c>
      <c r="G115" s="12" t="s">
        <v>3665</v>
      </c>
      <c r="H115" s="12" t="s">
        <v>3223</v>
      </c>
      <c r="I115" s="12" t="s">
        <v>1599</v>
      </c>
      <c r="J115" s="12" t="s">
        <v>1551</v>
      </c>
      <c r="K115" s="12" t="s">
        <v>1551</v>
      </c>
      <c r="L115" s="12" t="s">
        <v>2018</v>
      </c>
      <c r="M115" s="12" t="s">
        <v>2018</v>
      </c>
    </row>
    <row r="116" spans="1:13" ht="14.4" x14ac:dyDescent="0.3">
      <c r="A116" s="12" t="s">
        <v>5964</v>
      </c>
      <c r="B116" s="12" t="s">
        <v>5965</v>
      </c>
      <c r="C116" s="12" t="s">
        <v>217</v>
      </c>
      <c r="D116" s="12" t="s">
        <v>1410</v>
      </c>
      <c r="E116" s="12" t="s">
        <v>3826</v>
      </c>
      <c r="F116" s="12" t="s">
        <v>3827</v>
      </c>
      <c r="G116" s="12" t="s">
        <v>3828</v>
      </c>
      <c r="H116" s="12" t="s">
        <v>3385</v>
      </c>
      <c r="I116" s="12" t="s">
        <v>1551</v>
      </c>
      <c r="J116" s="12" t="s">
        <v>1414</v>
      </c>
      <c r="K116" s="12" t="s">
        <v>3204</v>
      </c>
      <c r="L116" s="12" t="s">
        <v>1599</v>
      </c>
      <c r="M116" s="12" t="s">
        <v>2018</v>
      </c>
    </row>
    <row r="117" spans="1:13" ht="14.4" x14ac:dyDescent="0.3">
      <c r="A117" s="12" t="s">
        <v>221</v>
      </c>
      <c r="B117" s="12" t="s">
        <v>220</v>
      </c>
      <c r="C117" s="12" t="s">
        <v>219</v>
      </c>
      <c r="D117" s="12" t="s">
        <v>1410</v>
      </c>
      <c r="E117" s="12" t="s">
        <v>3741</v>
      </c>
      <c r="F117" s="12" t="s">
        <v>3742</v>
      </c>
      <c r="G117" s="12" t="s">
        <v>2092</v>
      </c>
      <c r="H117" s="12" t="s">
        <v>3269</v>
      </c>
      <c r="I117" s="12" t="s">
        <v>1506</v>
      </c>
      <c r="J117" s="12" t="s">
        <v>3214</v>
      </c>
      <c r="K117" s="12" t="s">
        <v>1506</v>
      </c>
      <c r="L117" s="12" t="s">
        <v>3204</v>
      </c>
      <c r="M117" s="12" t="s">
        <v>1551</v>
      </c>
    </row>
    <row r="118" spans="1:13" ht="14.4" x14ac:dyDescent="0.3">
      <c r="A118" s="12" t="s">
        <v>221</v>
      </c>
      <c r="B118" s="12" t="s">
        <v>220</v>
      </c>
      <c r="C118" s="12" t="s">
        <v>219</v>
      </c>
      <c r="D118" s="12" t="s">
        <v>1410</v>
      </c>
      <c r="E118" s="12" t="s">
        <v>3753</v>
      </c>
      <c r="F118" s="12" t="s">
        <v>3754</v>
      </c>
      <c r="G118" s="12" t="s">
        <v>3755</v>
      </c>
      <c r="H118" s="12" t="s">
        <v>3223</v>
      </c>
      <c r="I118" s="12" t="s">
        <v>2018</v>
      </c>
      <c r="J118" s="12" t="s">
        <v>1551</v>
      </c>
      <c r="K118" s="12" t="s">
        <v>1599</v>
      </c>
      <c r="L118" s="12" t="s">
        <v>1551</v>
      </c>
      <c r="M118" s="12" t="s">
        <v>2018</v>
      </c>
    </row>
    <row r="119" spans="1:13" ht="14.4" x14ac:dyDescent="0.3">
      <c r="A119" s="12" t="s">
        <v>19</v>
      </c>
      <c r="B119" s="12" t="s">
        <v>223</v>
      </c>
      <c r="C119" s="12" t="s">
        <v>222</v>
      </c>
      <c r="D119" s="12" t="s">
        <v>1410</v>
      </c>
      <c r="E119" s="12" t="s">
        <v>3804</v>
      </c>
      <c r="F119" s="12" t="s">
        <v>3805</v>
      </c>
      <c r="G119" s="12" t="s">
        <v>2355</v>
      </c>
      <c r="H119" s="12" t="s">
        <v>3385</v>
      </c>
      <c r="I119" s="12" t="s">
        <v>1414</v>
      </c>
      <c r="J119" s="12" t="s">
        <v>1551</v>
      </c>
      <c r="K119" s="12" t="s">
        <v>2018</v>
      </c>
      <c r="L119" s="12" t="s">
        <v>3204</v>
      </c>
      <c r="M119" s="12" t="s">
        <v>1599</v>
      </c>
    </row>
    <row r="120" spans="1:13" ht="14.4" x14ac:dyDescent="0.3">
      <c r="A120" s="12" t="s">
        <v>8</v>
      </c>
      <c r="B120" s="12" t="s">
        <v>225</v>
      </c>
      <c r="C120" s="12" t="s">
        <v>224</v>
      </c>
      <c r="D120" s="12" t="s">
        <v>1410</v>
      </c>
      <c r="E120" s="12" t="s">
        <v>3759</v>
      </c>
      <c r="F120" s="12" t="s">
        <v>3760</v>
      </c>
      <c r="G120" s="12" t="s">
        <v>3761</v>
      </c>
      <c r="H120" s="12" t="s">
        <v>3210</v>
      </c>
      <c r="I120" s="12" t="s">
        <v>1551</v>
      </c>
      <c r="J120" s="12" t="s">
        <v>2018</v>
      </c>
      <c r="K120" s="12" t="s">
        <v>1599</v>
      </c>
      <c r="L120" s="12" t="s">
        <v>1599</v>
      </c>
      <c r="M120" s="12" t="s">
        <v>1506</v>
      </c>
    </row>
    <row r="121" spans="1:13" ht="14.4" x14ac:dyDescent="0.3">
      <c r="A121" s="12" t="s">
        <v>228</v>
      </c>
      <c r="B121" s="12" t="s">
        <v>227</v>
      </c>
      <c r="C121" s="12" t="s">
        <v>226</v>
      </c>
      <c r="D121" s="12" t="s">
        <v>1410</v>
      </c>
      <c r="E121" s="12" t="s">
        <v>3706</v>
      </c>
      <c r="F121" s="12" t="s">
        <v>2455</v>
      </c>
      <c r="G121" s="12" t="s">
        <v>3707</v>
      </c>
      <c r="H121" s="12" t="s">
        <v>3411</v>
      </c>
      <c r="I121" s="12" t="s">
        <v>1599</v>
      </c>
      <c r="J121" s="12" t="s">
        <v>3204</v>
      </c>
      <c r="K121" s="12" t="s">
        <v>1551</v>
      </c>
      <c r="L121" s="12" t="s">
        <v>1551</v>
      </c>
      <c r="M121" s="12" t="s">
        <v>1506</v>
      </c>
    </row>
    <row r="122" spans="1:13" ht="14.4" x14ac:dyDescent="0.3">
      <c r="A122" s="12" t="s">
        <v>28</v>
      </c>
      <c r="B122" s="12" t="s">
        <v>230</v>
      </c>
      <c r="C122" s="12" t="s">
        <v>229</v>
      </c>
      <c r="D122" s="12" t="s">
        <v>1410</v>
      </c>
      <c r="E122" s="12" t="s">
        <v>2839</v>
      </c>
      <c r="F122" s="12" t="s">
        <v>4081</v>
      </c>
      <c r="G122" s="12" t="s">
        <v>4082</v>
      </c>
      <c r="H122" s="12" t="s">
        <v>3300</v>
      </c>
      <c r="I122" s="12" t="s">
        <v>1599</v>
      </c>
      <c r="J122" s="12" t="s">
        <v>1749</v>
      </c>
      <c r="K122" s="12" t="s">
        <v>2018</v>
      </c>
      <c r="L122" s="12" t="s">
        <v>2018</v>
      </c>
      <c r="M122" s="12" t="s">
        <v>1599</v>
      </c>
    </row>
    <row r="123" spans="1:13" ht="14.4" x14ac:dyDescent="0.3">
      <c r="A123" s="12" t="s">
        <v>8</v>
      </c>
      <c r="B123" s="12" t="s">
        <v>232</v>
      </c>
      <c r="C123" s="12" t="s">
        <v>231</v>
      </c>
      <c r="D123" s="12" t="s">
        <v>1410</v>
      </c>
      <c r="E123" s="12" t="s">
        <v>4037</v>
      </c>
      <c r="F123" s="12" t="s">
        <v>4047</v>
      </c>
      <c r="G123" s="12" t="s">
        <v>2622</v>
      </c>
      <c r="H123" s="12" t="s">
        <v>3223</v>
      </c>
      <c r="I123" s="12" t="s">
        <v>2018</v>
      </c>
      <c r="J123" s="12" t="s">
        <v>1506</v>
      </c>
      <c r="K123" s="12" t="s">
        <v>1551</v>
      </c>
      <c r="L123" s="12" t="s">
        <v>2018</v>
      </c>
      <c r="M123" s="12" t="s">
        <v>2018</v>
      </c>
    </row>
    <row r="124" spans="1:13" ht="14.4" x14ac:dyDescent="0.3">
      <c r="A124" s="12" t="s">
        <v>55</v>
      </c>
      <c r="B124" s="12" t="s">
        <v>234</v>
      </c>
      <c r="C124" s="12" t="s">
        <v>233</v>
      </c>
      <c r="D124" s="12" t="s">
        <v>1410</v>
      </c>
      <c r="E124" s="12" t="s">
        <v>2523</v>
      </c>
      <c r="F124" s="12" t="s">
        <v>3792</v>
      </c>
      <c r="G124" s="12" t="s">
        <v>3793</v>
      </c>
      <c r="H124" s="12" t="s">
        <v>3439</v>
      </c>
      <c r="I124" s="12" t="s">
        <v>2018</v>
      </c>
      <c r="J124" s="12" t="s">
        <v>2018</v>
      </c>
      <c r="K124" s="12" t="s">
        <v>2018</v>
      </c>
      <c r="L124" s="12" t="s">
        <v>2018</v>
      </c>
      <c r="M124" s="12" t="s">
        <v>1551</v>
      </c>
    </row>
    <row r="125" spans="1:13" ht="14.4" x14ac:dyDescent="0.3">
      <c r="A125" s="12" t="s">
        <v>49</v>
      </c>
      <c r="B125" s="12" t="s">
        <v>236</v>
      </c>
      <c r="C125" s="12" t="s">
        <v>235</v>
      </c>
      <c r="D125" s="12" t="s">
        <v>1410</v>
      </c>
      <c r="E125" s="12" t="s">
        <v>3786</v>
      </c>
      <c r="F125" s="12" t="s">
        <v>3787</v>
      </c>
      <c r="G125" s="12" t="s">
        <v>3788</v>
      </c>
      <c r="H125" s="12" t="s">
        <v>3264</v>
      </c>
      <c r="I125" s="12" t="s">
        <v>1551</v>
      </c>
      <c r="J125" s="12" t="s">
        <v>1551</v>
      </c>
      <c r="K125" s="12" t="s">
        <v>2018</v>
      </c>
      <c r="L125" s="12" t="s">
        <v>2018</v>
      </c>
      <c r="M125" s="12" t="s">
        <v>2018</v>
      </c>
    </row>
    <row r="126" spans="1:13" ht="14.4" x14ac:dyDescent="0.3">
      <c r="A126" s="12" t="s">
        <v>31</v>
      </c>
      <c r="B126" s="12" t="s">
        <v>238</v>
      </c>
      <c r="C126" s="12" t="s">
        <v>237</v>
      </c>
      <c r="D126" s="12" t="s">
        <v>1410</v>
      </c>
      <c r="E126" s="12" t="s">
        <v>3806</v>
      </c>
      <c r="F126" s="12" t="s">
        <v>3807</v>
      </c>
      <c r="G126" s="12" t="s">
        <v>3808</v>
      </c>
      <c r="H126" s="12" t="s">
        <v>3264</v>
      </c>
      <c r="I126" s="12" t="s">
        <v>1551</v>
      </c>
      <c r="J126" s="12" t="s">
        <v>1551</v>
      </c>
      <c r="K126" s="12" t="s">
        <v>2018</v>
      </c>
      <c r="L126" s="12" t="s">
        <v>2018</v>
      </c>
      <c r="M126" s="12" t="s">
        <v>2018</v>
      </c>
    </row>
    <row r="127" spans="1:13" ht="14.4" x14ac:dyDescent="0.3">
      <c r="A127" s="12" t="s">
        <v>31</v>
      </c>
      <c r="B127" s="12" t="s">
        <v>240</v>
      </c>
      <c r="C127" s="12" t="s">
        <v>239</v>
      </c>
      <c r="D127" s="12" t="s">
        <v>1410</v>
      </c>
      <c r="E127" s="12" t="s">
        <v>3613</v>
      </c>
      <c r="F127" s="12" t="s">
        <v>3614</v>
      </c>
      <c r="G127" s="12" t="s">
        <v>3615</v>
      </c>
      <c r="H127" s="12" t="s">
        <v>3234</v>
      </c>
      <c r="I127" s="12" t="s">
        <v>1506</v>
      </c>
      <c r="J127" s="12" t="s">
        <v>2018</v>
      </c>
      <c r="K127" s="12" t="s">
        <v>1599</v>
      </c>
      <c r="L127" s="12" t="s">
        <v>2018</v>
      </c>
      <c r="M127" s="12" t="s">
        <v>1551</v>
      </c>
    </row>
    <row r="128" spans="1:13" ht="14.4" x14ac:dyDescent="0.3">
      <c r="A128" s="12" t="s">
        <v>585</v>
      </c>
      <c r="B128" s="12" t="s">
        <v>240</v>
      </c>
      <c r="C128" s="12" t="s">
        <v>5980</v>
      </c>
      <c r="D128" s="12" t="s">
        <v>1410</v>
      </c>
      <c r="E128" s="12" t="s">
        <v>6062</v>
      </c>
      <c r="F128" s="12" t="s">
        <v>6063</v>
      </c>
      <c r="G128" s="12" t="s">
        <v>3395</v>
      </c>
      <c r="H128" s="12" t="s">
        <v>3213</v>
      </c>
      <c r="I128" s="12" t="s">
        <v>1599</v>
      </c>
      <c r="J128" s="12" t="s">
        <v>3214</v>
      </c>
      <c r="K128" s="12" t="s">
        <v>3204</v>
      </c>
      <c r="L128" s="12" t="s">
        <v>1551</v>
      </c>
      <c r="M128" s="12" t="s">
        <v>2018</v>
      </c>
    </row>
    <row r="129" spans="1:13" ht="14.4" x14ac:dyDescent="0.3">
      <c r="A129" s="12" t="s">
        <v>19</v>
      </c>
      <c r="B129" s="12" t="s">
        <v>242</v>
      </c>
      <c r="C129" s="12" t="s">
        <v>241</v>
      </c>
      <c r="D129" s="12" t="s">
        <v>1410</v>
      </c>
      <c r="E129" s="12" t="s">
        <v>3819</v>
      </c>
      <c r="F129" s="12" t="s">
        <v>3820</v>
      </c>
      <c r="G129" s="12" t="s">
        <v>2267</v>
      </c>
      <c r="H129" s="12" t="s">
        <v>3411</v>
      </c>
      <c r="I129" s="12" t="s">
        <v>1506</v>
      </c>
      <c r="J129" s="12" t="s">
        <v>1599</v>
      </c>
      <c r="K129" s="12" t="s">
        <v>1599</v>
      </c>
      <c r="L129" s="12" t="s">
        <v>1599</v>
      </c>
      <c r="M129" s="12" t="s">
        <v>1599</v>
      </c>
    </row>
    <row r="130" spans="1:13" ht="14.4" x14ac:dyDescent="0.3">
      <c r="A130" s="12" t="s">
        <v>8</v>
      </c>
      <c r="B130" s="12" t="s">
        <v>244</v>
      </c>
      <c r="C130" s="12" t="s">
        <v>243</v>
      </c>
      <c r="D130" s="12" t="s">
        <v>1410</v>
      </c>
      <c r="E130" s="12" t="s">
        <v>3756</v>
      </c>
      <c r="F130" s="12" t="s">
        <v>3757</v>
      </c>
      <c r="G130" s="12" t="s">
        <v>3758</v>
      </c>
      <c r="H130" s="12" t="s">
        <v>3258</v>
      </c>
      <c r="I130" s="12" t="s">
        <v>2018</v>
      </c>
      <c r="J130" s="12" t="s">
        <v>1551</v>
      </c>
      <c r="K130" s="12" t="s">
        <v>2018</v>
      </c>
      <c r="L130" s="12" t="s">
        <v>2018</v>
      </c>
      <c r="M130" s="12" t="s">
        <v>1599</v>
      </c>
    </row>
    <row r="131" spans="1:13" ht="14.4" x14ac:dyDescent="0.3">
      <c r="A131" s="12" t="s">
        <v>22</v>
      </c>
      <c r="B131" s="12" t="s">
        <v>246</v>
      </c>
      <c r="C131" s="12" t="s">
        <v>245</v>
      </c>
      <c r="D131" s="12" t="s">
        <v>1410</v>
      </c>
      <c r="E131" s="12" t="s">
        <v>3774</v>
      </c>
      <c r="F131" s="12" t="s">
        <v>2520</v>
      </c>
      <c r="G131" s="12" t="s">
        <v>3775</v>
      </c>
      <c r="H131" s="12" t="s">
        <v>3207</v>
      </c>
      <c r="I131" s="12" t="s">
        <v>3204</v>
      </c>
      <c r="J131" s="12" t="s">
        <v>1551</v>
      </c>
      <c r="K131" s="12" t="s">
        <v>2062</v>
      </c>
      <c r="L131" s="12" t="s">
        <v>1551</v>
      </c>
      <c r="M131" s="12" t="s">
        <v>3204</v>
      </c>
    </row>
    <row r="132" spans="1:13" ht="14.4" x14ac:dyDescent="0.3">
      <c r="A132" s="12" t="s">
        <v>585</v>
      </c>
      <c r="B132" s="12" t="s">
        <v>5994</v>
      </c>
      <c r="C132" s="12" t="s">
        <v>247</v>
      </c>
      <c r="D132" s="12" t="s">
        <v>1410</v>
      </c>
      <c r="E132" s="12" t="s">
        <v>3817</v>
      </c>
      <c r="F132" s="12" t="s">
        <v>3818</v>
      </c>
      <c r="G132" s="12" t="s">
        <v>3268</v>
      </c>
      <c r="H132" s="12" t="s">
        <v>1414</v>
      </c>
      <c r="I132" s="12" t="s">
        <v>1414</v>
      </c>
      <c r="J132" s="12" t="s">
        <v>1414</v>
      </c>
      <c r="K132" s="12" t="s">
        <v>1414</v>
      </c>
      <c r="L132" s="12" t="s">
        <v>1414</v>
      </c>
      <c r="M132" s="12" t="s">
        <v>1414</v>
      </c>
    </row>
    <row r="133" spans="1:13" ht="14.4" x14ac:dyDescent="0.3">
      <c r="A133" s="12" t="s">
        <v>585</v>
      </c>
      <c r="B133" s="12" t="s">
        <v>5994</v>
      </c>
      <c r="C133" s="12" t="s">
        <v>247</v>
      </c>
      <c r="D133" s="12" t="s">
        <v>1410</v>
      </c>
      <c r="E133" s="12" t="s">
        <v>3845</v>
      </c>
      <c r="F133" s="12" t="s">
        <v>3846</v>
      </c>
      <c r="G133" s="12" t="s">
        <v>3847</v>
      </c>
      <c r="H133" s="12" t="s">
        <v>3210</v>
      </c>
      <c r="I133" s="12" t="s">
        <v>1551</v>
      </c>
      <c r="J133" s="12" t="s">
        <v>1599</v>
      </c>
      <c r="K133" s="12" t="s">
        <v>1506</v>
      </c>
      <c r="L133" s="12" t="s">
        <v>1551</v>
      </c>
      <c r="M133" s="12" t="s">
        <v>1551</v>
      </c>
    </row>
    <row r="134" spans="1:13" ht="14.4" x14ac:dyDescent="0.3">
      <c r="A134" s="12" t="s">
        <v>31</v>
      </c>
      <c r="B134" s="12" t="s">
        <v>250</v>
      </c>
      <c r="C134" s="12" t="s">
        <v>249</v>
      </c>
      <c r="D134" s="12" t="s">
        <v>1410</v>
      </c>
      <c r="E134" s="12" t="s">
        <v>3877</v>
      </c>
      <c r="F134" s="12" t="s">
        <v>3878</v>
      </c>
      <c r="G134" s="12" t="s">
        <v>3879</v>
      </c>
      <c r="H134" s="12" t="s">
        <v>3223</v>
      </c>
      <c r="I134" s="12" t="s">
        <v>2018</v>
      </c>
      <c r="J134" s="12" t="s">
        <v>1551</v>
      </c>
      <c r="K134" s="12" t="s">
        <v>1506</v>
      </c>
      <c r="L134" s="12" t="s">
        <v>2018</v>
      </c>
      <c r="M134" s="12" t="s">
        <v>2018</v>
      </c>
    </row>
    <row r="135" spans="1:13" ht="14.4" x14ac:dyDescent="0.3">
      <c r="A135" s="12" t="s">
        <v>42</v>
      </c>
      <c r="B135" s="12" t="s">
        <v>252</v>
      </c>
      <c r="C135" s="12" t="s">
        <v>251</v>
      </c>
      <c r="D135" s="12" t="s">
        <v>1410</v>
      </c>
      <c r="E135" s="12" t="s">
        <v>2361</v>
      </c>
      <c r="F135" s="12" t="s">
        <v>2356</v>
      </c>
      <c r="G135" s="12" t="s">
        <v>2996</v>
      </c>
      <c r="H135" s="12" t="s">
        <v>3439</v>
      </c>
      <c r="I135" s="12" t="s">
        <v>2018</v>
      </c>
      <c r="J135" s="12" t="s">
        <v>1551</v>
      </c>
      <c r="K135" s="12" t="s">
        <v>2018</v>
      </c>
      <c r="L135" s="12" t="s">
        <v>2018</v>
      </c>
      <c r="M135" s="12" t="s">
        <v>2018</v>
      </c>
    </row>
    <row r="136" spans="1:13" ht="14.4" x14ac:dyDescent="0.3">
      <c r="A136" s="12" t="s">
        <v>31</v>
      </c>
      <c r="B136" s="12" t="s">
        <v>254</v>
      </c>
      <c r="C136" s="12" t="s">
        <v>253</v>
      </c>
      <c r="D136" s="12" t="s">
        <v>1410</v>
      </c>
      <c r="E136" s="12" t="s">
        <v>1471</v>
      </c>
      <c r="F136" s="12" t="s">
        <v>3211</v>
      </c>
      <c r="G136" s="12" t="s">
        <v>3212</v>
      </c>
      <c r="H136" s="12" t="s">
        <v>3213</v>
      </c>
      <c r="I136" s="12" t="s">
        <v>1506</v>
      </c>
      <c r="J136" s="12" t="s">
        <v>1599</v>
      </c>
      <c r="K136" s="12" t="s">
        <v>3214</v>
      </c>
      <c r="L136" s="12" t="s">
        <v>1599</v>
      </c>
      <c r="M136" s="12" t="s">
        <v>2018</v>
      </c>
    </row>
    <row r="137" spans="1:13" ht="14.4" x14ac:dyDescent="0.3">
      <c r="A137" s="12" t="s">
        <v>25</v>
      </c>
      <c r="B137" s="12" t="s">
        <v>256</v>
      </c>
      <c r="C137" s="12" t="s">
        <v>255</v>
      </c>
      <c r="D137" s="12" t="s">
        <v>1410</v>
      </c>
      <c r="E137" s="12" t="s">
        <v>3535</v>
      </c>
      <c r="F137" s="12" t="s">
        <v>3536</v>
      </c>
      <c r="G137" s="12" t="s">
        <v>3537</v>
      </c>
      <c r="H137" s="12" t="s">
        <v>3213</v>
      </c>
      <c r="I137" s="12" t="s">
        <v>3204</v>
      </c>
      <c r="J137" s="12" t="s">
        <v>3214</v>
      </c>
      <c r="K137" s="12" t="s">
        <v>1551</v>
      </c>
      <c r="L137" s="12" t="s">
        <v>1551</v>
      </c>
      <c r="M137" s="12" t="s">
        <v>1551</v>
      </c>
    </row>
    <row r="138" spans="1:13" ht="14.4" x14ac:dyDescent="0.3">
      <c r="A138" s="12" t="s">
        <v>31</v>
      </c>
      <c r="B138" s="12" t="s">
        <v>258</v>
      </c>
      <c r="C138" s="12" t="s">
        <v>257</v>
      </c>
      <c r="D138" s="12" t="s">
        <v>1410</v>
      </c>
      <c r="E138" s="12" t="s">
        <v>3767</v>
      </c>
      <c r="F138" s="12" t="s">
        <v>3768</v>
      </c>
      <c r="G138" s="12" t="s">
        <v>3769</v>
      </c>
      <c r="H138" s="12" t="s">
        <v>1452</v>
      </c>
      <c r="I138" s="12" t="s">
        <v>1414</v>
      </c>
      <c r="J138" s="12" t="s">
        <v>1506</v>
      </c>
      <c r="K138" s="12" t="s">
        <v>3214</v>
      </c>
      <c r="L138" s="12" t="s">
        <v>3204</v>
      </c>
      <c r="M138" s="12" t="s">
        <v>1599</v>
      </c>
    </row>
    <row r="139" spans="1:13" ht="14.4" x14ac:dyDescent="0.3">
      <c r="A139" s="12" t="s">
        <v>25</v>
      </c>
      <c r="B139" s="12" t="s">
        <v>258</v>
      </c>
      <c r="C139" s="12" t="s">
        <v>259</v>
      </c>
      <c r="D139" s="12" t="s">
        <v>1410</v>
      </c>
      <c r="E139" s="12" t="s">
        <v>3846</v>
      </c>
      <c r="F139" s="12" t="s">
        <v>3852</v>
      </c>
      <c r="G139" s="12" t="s">
        <v>3853</v>
      </c>
      <c r="H139" s="12" t="s">
        <v>3246</v>
      </c>
      <c r="I139" s="12" t="s">
        <v>1599</v>
      </c>
      <c r="J139" s="12" t="s">
        <v>1506</v>
      </c>
      <c r="K139" s="12" t="s">
        <v>1551</v>
      </c>
      <c r="L139" s="12" t="s">
        <v>1551</v>
      </c>
      <c r="M139" s="12" t="s">
        <v>2018</v>
      </c>
    </row>
    <row r="140" spans="1:13" ht="14.4" x14ac:dyDescent="0.3">
      <c r="A140" s="12" t="s">
        <v>28</v>
      </c>
      <c r="B140" s="12" t="s">
        <v>261</v>
      </c>
      <c r="C140" s="12" t="s">
        <v>260</v>
      </c>
      <c r="D140" s="12" t="s">
        <v>1410</v>
      </c>
      <c r="E140" s="12" t="s">
        <v>3794</v>
      </c>
      <c r="F140" s="12" t="s">
        <v>3795</v>
      </c>
      <c r="G140" s="12" t="s">
        <v>3796</v>
      </c>
      <c r="H140" s="12" t="s">
        <v>3464</v>
      </c>
      <c r="I140" s="12" t="s">
        <v>2018</v>
      </c>
      <c r="J140" s="12" t="s">
        <v>2018</v>
      </c>
      <c r="K140" s="12" t="s">
        <v>2018</v>
      </c>
      <c r="L140" s="12" t="s">
        <v>2018</v>
      </c>
      <c r="M140" s="12" t="s">
        <v>2018</v>
      </c>
    </row>
    <row r="141" spans="1:13" ht="14.4" x14ac:dyDescent="0.3">
      <c r="A141" s="12" t="s">
        <v>31</v>
      </c>
      <c r="B141" s="12" t="s">
        <v>263</v>
      </c>
      <c r="C141" s="12" t="s">
        <v>262</v>
      </c>
      <c r="D141" s="12" t="s">
        <v>1410</v>
      </c>
      <c r="E141" s="12" t="s">
        <v>3821</v>
      </c>
      <c r="F141" s="12" t="s">
        <v>3822</v>
      </c>
      <c r="G141" s="12" t="s">
        <v>3823</v>
      </c>
      <c r="H141" s="12" t="s">
        <v>3223</v>
      </c>
      <c r="I141" s="12" t="s">
        <v>3204</v>
      </c>
      <c r="J141" s="12" t="s">
        <v>2018</v>
      </c>
      <c r="K141" s="12" t="s">
        <v>2018</v>
      </c>
      <c r="L141" s="12" t="s">
        <v>2018</v>
      </c>
      <c r="M141" s="12" t="s">
        <v>2018</v>
      </c>
    </row>
    <row r="142" spans="1:13" ht="14.4" x14ac:dyDescent="0.3">
      <c r="A142" s="12" t="s">
        <v>22</v>
      </c>
      <c r="B142" s="12" t="s">
        <v>265</v>
      </c>
      <c r="C142" s="12" t="s">
        <v>264</v>
      </c>
      <c r="D142" s="12" t="s">
        <v>1410</v>
      </c>
      <c r="E142" s="12" t="s">
        <v>3826</v>
      </c>
      <c r="F142" s="12" t="s">
        <v>3829</v>
      </c>
      <c r="G142" s="12" t="s">
        <v>3830</v>
      </c>
      <c r="H142" s="12" t="s">
        <v>3264</v>
      </c>
      <c r="I142" s="12" t="s">
        <v>1551</v>
      </c>
      <c r="J142" s="12" t="s">
        <v>2018</v>
      </c>
      <c r="K142" s="12" t="s">
        <v>2018</v>
      </c>
      <c r="L142" s="12" t="s">
        <v>1551</v>
      </c>
      <c r="M142" s="12" t="s">
        <v>2018</v>
      </c>
    </row>
    <row r="143" spans="1:13" ht="14.4" x14ac:dyDescent="0.3">
      <c r="A143" s="12" t="s">
        <v>8</v>
      </c>
      <c r="B143" s="12" t="s">
        <v>267</v>
      </c>
      <c r="C143" s="12" t="s">
        <v>266</v>
      </c>
      <c r="D143" s="12" t="s">
        <v>1410</v>
      </c>
      <c r="E143" s="12" t="s">
        <v>3894</v>
      </c>
      <c r="F143" s="12" t="s">
        <v>3895</v>
      </c>
      <c r="G143" s="12" t="s">
        <v>3268</v>
      </c>
      <c r="H143" s="12" t="s">
        <v>3340</v>
      </c>
      <c r="I143" s="12" t="s">
        <v>1414</v>
      </c>
      <c r="J143" s="12" t="s">
        <v>2018</v>
      </c>
      <c r="K143" s="12" t="s">
        <v>1506</v>
      </c>
      <c r="L143" s="12" t="s">
        <v>1414</v>
      </c>
      <c r="M143" s="12" t="s">
        <v>2018</v>
      </c>
    </row>
    <row r="144" spans="1:13" ht="14.4" x14ac:dyDescent="0.3">
      <c r="A144" s="12" t="s">
        <v>8</v>
      </c>
      <c r="B144" s="12" t="s">
        <v>267</v>
      </c>
      <c r="C144" s="12" t="s">
        <v>266</v>
      </c>
      <c r="D144" s="12" t="s">
        <v>1410</v>
      </c>
      <c r="E144" s="12" t="s">
        <v>3899</v>
      </c>
      <c r="F144" s="12" t="s">
        <v>3900</v>
      </c>
      <c r="G144" s="12" t="s">
        <v>3268</v>
      </c>
      <c r="H144" s="12" t="s">
        <v>1414</v>
      </c>
      <c r="I144" s="12" t="s">
        <v>1414</v>
      </c>
      <c r="J144" s="12" t="s">
        <v>1414</v>
      </c>
      <c r="K144" s="12" t="s">
        <v>1414</v>
      </c>
      <c r="L144" s="12" t="s">
        <v>1414</v>
      </c>
      <c r="M144" s="12" t="s">
        <v>1414</v>
      </c>
    </row>
    <row r="145" spans="1:13" ht="14.4" x14ac:dyDescent="0.3">
      <c r="A145" s="12" t="s">
        <v>170</v>
      </c>
      <c r="B145" s="12" t="s">
        <v>269</v>
      </c>
      <c r="C145" s="12" t="s">
        <v>268</v>
      </c>
      <c r="D145" s="12" t="s">
        <v>1410</v>
      </c>
      <c r="E145" s="12" t="s">
        <v>4248</v>
      </c>
      <c r="F145" s="12" t="s">
        <v>4249</v>
      </c>
      <c r="G145" s="12" t="s">
        <v>4250</v>
      </c>
      <c r="H145" s="12" t="s">
        <v>3439</v>
      </c>
      <c r="I145" s="12" t="s">
        <v>2018</v>
      </c>
      <c r="J145" s="12" t="s">
        <v>2018</v>
      </c>
      <c r="K145" s="12" t="s">
        <v>2018</v>
      </c>
      <c r="L145" s="12" t="s">
        <v>2018</v>
      </c>
      <c r="M145" s="12" t="s">
        <v>1551</v>
      </c>
    </row>
    <row r="146" spans="1:13" ht="14.4" x14ac:dyDescent="0.3">
      <c r="A146" s="12" t="s">
        <v>22</v>
      </c>
      <c r="B146" s="12" t="s">
        <v>271</v>
      </c>
      <c r="C146" s="12" t="s">
        <v>270</v>
      </c>
      <c r="D146" s="12" t="s">
        <v>1410</v>
      </c>
      <c r="E146" s="12" t="s">
        <v>2147</v>
      </c>
      <c r="F146" s="12" t="s">
        <v>3500</v>
      </c>
      <c r="G146" s="12" t="s">
        <v>3501</v>
      </c>
      <c r="H146" s="12" t="s">
        <v>1452</v>
      </c>
      <c r="I146" s="12" t="s">
        <v>1414</v>
      </c>
      <c r="J146" s="12" t="s">
        <v>1749</v>
      </c>
      <c r="K146" s="12" t="s">
        <v>1551</v>
      </c>
      <c r="L146" s="12" t="s">
        <v>1599</v>
      </c>
      <c r="M146" s="12" t="s">
        <v>3214</v>
      </c>
    </row>
    <row r="147" spans="1:13" ht="14.4" x14ac:dyDescent="0.3">
      <c r="A147" s="12" t="s">
        <v>22</v>
      </c>
      <c r="B147" s="12" t="s">
        <v>271</v>
      </c>
      <c r="C147" s="12" t="s">
        <v>270</v>
      </c>
      <c r="D147" s="12" t="s">
        <v>1410</v>
      </c>
      <c r="E147" s="12" t="s">
        <v>4249</v>
      </c>
      <c r="F147" s="12" t="s">
        <v>4251</v>
      </c>
      <c r="G147" s="12" t="s">
        <v>4252</v>
      </c>
      <c r="H147" s="12" t="s">
        <v>3203</v>
      </c>
      <c r="I147" s="12" t="s">
        <v>1420</v>
      </c>
      <c r="J147" s="12" t="s">
        <v>2018</v>
      </c>
      <c r="K147" s="12" t="s">
        <v>2018</v>
      </c>
      <c r="L147" s="12" t="s">
        <v>2018</v>
      </c>
      <c r="M147" s="12" t="s">
        <v>2018</v>
      </c>
    </row>
    <row r="148" spans="1:13" ht="14.4" x14ac:dyDescent="0.3">
      <c r="A148" s="12" t="s">
        <v>22</v>
      </c>
      <c r="B148" s="12" t="s">
        <v>273</v>
      </c>
      <c r="C148" s="12" t="s">
        <v>272</v>
      </c>
      <c r="D148" s="12" t="s">
        <v>1410</v>
      </c>
      <c r="E148" s="12" t="s">
        <v>4335</v>
      </c>
      <c r="F148" s="12" t="s">
        <v>4330</v>
      </c>
      <c r="G148" s="12" t="s">
        <v>3390</v>
      </c>
      <c r="H148" s="12" t="s">
        <v>3300</v>
      </c>
      <c r="I148" s="12" t="s">
        <v>3204</v>
      </c>
      <c r="J148" s="12" t="s">
        <v>1599</v>
      </c>
      <c r="K148" s="12" t="s">
        <v>2018</v>
      </c>
      <c r="L148" s="12" t="s">
        <v>1599</v>
      </c>
      <c r="M148" s="12" t="s">
        <v>1599</v>
      </c>
    </row>
    <row r="149" spans="1:13" ht="14.4" x14ac:dyDescent="0.3">
      <c r="A149" s="12" t="s">
        <v>55</v>
      </c>
      <c r="B149" s="12" t="s">
        <v>275</v>
      </c>
      <c r="C149" s="12" t="s">
        <v>274</v>
      </c>
      <c r="D149" s="12" t="s">
        <v>1410</v>
      </c>
      <c r="E149" s="12" t="s">
        <v>3523</v>
      </c>
      <c r="F149" s="12" t="s">
        <v>2183</v>
      </c>
      <c r="G149" s="12" t="s">
        <v>3524</v>
      </c>
      <c r="H149" s="12" t="s">
        <v>1464</v>
      </c>
      <c r="I149" s="12" t="s">
        <v>1506</v>
      </c>
      <c r="J149" s="12" t="s">
        <v>1506</v>
      </c>
      <c r="K149" s="12" t="s">
        <v>1506</v>
      </c>
      <c r="L149" s="12" t="s">
        <v>1749</v>
      </c>
      <c r="M149" s="12" t="s">
        <v>1414</v>
      </c>
    </row>
    <row r="150" spans="1:13" ht="14.4" x14ac:dyDescent="0.3">
      <c r="A150" s="12" t="s">
        <v>80</v>
      </c>
      <c r="B150" s="12" t="s">
        <v>277</v>
      </c>
      <c r="C150" s="12" t="s">
        <v>276</v>
      </c>
      <c r="D150" s="12" t="s">
        <v>1410</v>
      </c>
      <c r="E150" s="12" t="s">
        <v>3699</v>
      </c>
      <c r="F150" s="12" t="s">
        <v>3700</v>
      </c>
      <c r="G150" s="12" t="s">
        <v>3701</v>
      </c>
      <c r="H150" s="12" t="s">
        <v>3234</v>
      </c>
      <c r="I150" s="12" t="s">
        <v>1551</v>
      </c>
      <c r="J150" s="12" t="s">
        <v>3204</v>
      </c>
      <c r="K150" s="12" t="s">
        <v>1551</v>
      </c>
      <c r="L150" s="12" t="s">
        <v>2018</v>
      </c>
      <c r="M150" s="12" t="s">
        <v>2018</v>
      </c>
    </row>
    <row r="151" spans="1:13" ht="14.4" x14ac:dyDescent="0.3">
      <c r="A151" s="12" t="s">
        <v>280</v>
      </c>
      <c r="B151" s="12" t="s">
        <v>279</v>
      </c>
      <c r="C151" s="12" t="s">
        <v>278</v>
      </c>
      <c r="D151" s="12" t="s">
        <v>1410</v>
      </c>
      <c r="E151" s="12" t="s">
        <v>3901</v>
      </c>
      <c r="F151" s="12" t="s">
        <v>3902</v>
      </c>
      <c r="G151" s="12" t="s">
        <v>3903</v>
      </c>
      <c r="H151" s="12" t="s">
        <v>3218</v>
      </c>
      <c r="I151" s="12" t="s">
        <v>3204</v>
      </c>
      <c r="J151" s="12" t="s">
        <v>1551</v>
      </c>
      <c r="K151" s="12" t="s">
        <v>1506</v>
      </c>
      <c r="L151" s="12" t="s">
        <v>1599</v>
      </c>
      <c r="M151" s="12" t="s">
        <v>1599</v>
      </c>
    </row>
    <row r="152" spans="1:13" ht="14.4" x14ac:dyDescent="0.3">
      <c r="A152" s="12" t="s">
        <v>16</v>
      </c>
      <c r="B152" s="12" t="s">
        <v>282</v>
      </c>
      <c r="C152" s="12" t="s">
        <v>281</v>
      </c>
      <c r="D152" s="12" t="s">
        <v>1410</v>
      </c>
      <c r="E152" s="12" t="s">
        <v>3750</v>
      </c>
      <c r="F152" s="12" t="s">
        <v>2503</v>
      </c>
      <c r="G152" s="12" t="s">
        <v>3752</v>
      </c>
      <c r="H152" s="12" t="s">
        <v>3223</v>
      </c>
      <c r="I152" s="12" t="s">
        <v>1599</v>
      </c>
      <c r="J152" s="12" t="s">
        <v>2018</v>
      </c>
      <c r="K152" s="12" t="s">
        <v>1599</v>
      </c>
      <c r="L152" s="12" t="s">
        <v>2018</v>
      </c>
      <c r="M152" s="12" t="s">
        <v>2018</v>
      </c>
    </row>
    <row r="153" spans="1:13" ht="14.4" x14ac:dyDescent="0.3">
      <c r="A153" s="12" t="s">
        <v>28</v>
      </c>
      <c r="B153" s="12" t="s">
        <v>284</v>
      </c>
      <c r="C153" s="12" t="s">
        <v>283</v>
      </c>
      <c r="D153" s="12" t="s">
        <v>1410</v>
      </c>
      <c r="E153" s="12" t="s">
        <v>3836</v>
      </c>
      <c r="F153" s="12" t="s">
        <v>3848</v>
      </c>
      <c r="G153" s="12" t="s">
        <v>3849</v>
      </c>
      <c r="H153" s="12" t="s">
        <v>3213</v>
      </c>
      <c r="I153" s="12" t="s">
        <v>3204</v>
      </c>
      <c r="J153" s="12" t="s">
        <v>1599</v>
      </c>
      <c r="K153" s="12" t="s">
        <v>2062</v>
      </c>
      <c r="L153" s="12" t="s">
        <v>1506</v>
      </c>
      <c r="M153" s="12" t="s">
        <v>2018</v>
      </c>
    </row>
    <row r="154" spans="1:13" ht="14.4" x14ac:dyDescent="0.3">
      <c r="A154" s="12" t="s">
        <v>42</v>
      </c>
      <c r="B154" s="12" t="s">
        <v>295</v>
      </c>
      <c r="C154" s="12" t="s">
        <v>294</v>
      </c>
      <c r="D154" s="12" t="s">
        <v>1410</v>
      </c>
      <c r="E154" s="12" t="s">
        <v>3420</v>
      </c>
      <c r="F154" s="12" t="s">
        <v>3421</v>
      </c>
      <c r="G154" s="12" t="s">
        <v>3422</v>
      </c>
      <c r="H154" s="12" t="s">
        <v>1428</v>
      </c>
      <c r="I154" s="12" t="s">
        <v>1551</v>
      </c>
      <c r="J154" s="12" t="s">
        <v>1551</v>
      </c>
      <c r="K154" s="12" t="s">
        <v>1414</v>
      </c>
      <c r="L154" s="12" t="s">
        <v>1414</v>
      </c>
      <c r="M154" s="12" t="s">
        <v>1414</v>
      </c>
    </row>
    <row r="155" spans="1:13" ht="14.4" x14ac:dyDescent="0.3">
      <c r="A155" s="12" t="s">
        <v>16</v>
      </c>
      <c r="B155" s="12" t="s">
        <v>297</v>
      </c>
      <c r="C155" s="12" t="s">
        <v>296</v>
      </c>
      <c r="D155" s="12" t="s">
        <v>1410</v>
      </c>
      <c r="E155" s="12" t="s">
        <v>1803</v>
      </c>
      <c r="F155" s="12" t="s">
        <v>3352</v>
      </c>
      <c r="G155" s="12" t="s">
        <v>3353</v>
      </c>
      <c r="H155" s="12" t="s">
        <v>3213</v>
      </c>
      <c r="I155" s="12" t="s">
        <v>3214</v>
      </c>
      <c r="J155" s="12" t="s">
        <v>1599</v>
      </c>
      <c r="K155" s="12" t="s">
        <v>1506</v>
      </c>
      <c r="L155" s="12" t="s">
        <v>1551</v>
      </c>
      <c r="M155" s="12" t="s">
        <v>1551</v>
      </c>
    </row>
    <row r="156" spans="1:13" ht="14.4" x14ac:dyDescent="0.3">
      <c r="A156" s="12" t="s">
        <v>42</v>
      </c>
      <c r="B156" s="12" t="s">
        <v>299</v>
      </c>
      <c r="C156" s="12" t="s">
        <v>298</v>
      </c>
      <c r="D156" s="12" t="s">
        <v>1410</v>
      </c>
      <c r="E156" s="12" t="s">
        <v>3334</v>
      </c>
      <c r="F156" s="12" t="s">
        <v>3344</v>
      </c>
      <c r="G156" s="12" t="s">
        <v>3345</v>
      </c>
      <c r="H156" s="12" t="s">
        <v>1464</v>
      </c>
      <c r="I156" s="12" t="s">
        <v>1506</v>
      </c>
      <c r="J156" s="12" t="s">
        <v>1599</v>
      </c>
      <c r="K156" s="12" t="s">
        <v>1414</v>
      </c>
      <c r="L156" s="12" t="s">
        <v>2018</v>
      </c>
      <c r="M156" s="12" t="s">
        <v>1414</v>
      </c>
    </row>
    <row r="157" spans="1:13" ht="14.4" x14ac:dyDescent="0.3">
      <c r="A157" s="12" t="s">
        <v>31</v>
      </c>
      <c r="B157" s="12" t="s">
        <v>301</v>
      </c>
      <c r="C157" s="12" t="s">
        <v>300</v>
      </c>
      <c r="D157" s="12" t="s">
        <v>1410</v>
      </c>
      <c r="E157" s="12" t="s">
        <v>3415</v>
      </c>
      <c r="F157" s="12" t="s">
        <v>3416</v>
      </c>
      <c r="G157" s="12" t="s">
        <v>1444</v>
      </c>
      <c r="H157" s="12" t="s">
        <v>3269</v>
      </c>
      <c r="I157" s="12" t="s">
        <v>1506</v>
      </c>
      <c r="J157" s="12" t="s">
        <v>1749</v>
      </c>
      <c r="K157" s="12" t="s">
        <v>1599</v>
      </c>
      <c r="L157" s="12" t="s">
        <v>1599</v>
      </c>
      <c r="M157" s="12" t="s">
        <v>2062</v>
      </c>
    </row>
    <row r="158" spans="1:13" ht="14.4" x14ac:dyDescent="0.3">
      <c r="A158" s="12" t="s">
        <v>304</v>
      </c>
      <c r="B158" s="12" t="s">
        <v>303</v>
      </c>
      <c r="C158" s="12" t="s">
        <v>302</v>
      </c>
      <c r="D158" s="12" t="s">
        <v>1410</v>
      </c>
      <c r="E158" s="12" t="s">
        <v>3417</v>
      </c>
      <c r="F158" s="12" t="s">
        <v>3418</v>
      </c>
      <c r="G158" s="12" t="s">
        <v>3419</v>
      </c>
      <c r="H158" s="12" t="s">
        <v>1428</v>
      </c>
      <c r="I158" s="12" t="s">
        <v>1551</v>
      </c>
      <c r="J158" s="12" t="s">
        <v>1551</v>
      </c>
      <c r="K158" s="12" t="s">
        <v>1414</v>
      </c>
      <c r="L158" s="12" t="s">
        <v>1414</v>
      </c>
      <c r="M158" s="12" t="s">
        <v>1414</v>
      </c>
    </row>
    <row r="159" spans="1:13" ht="14.4" x14ac:dyDescent="0.3">
      <c r="A159" s="12" t="s">
        <v>22</v>
      </c>
      <c r="B159" s="12" t="s">
        <v>59</v>
      </c>
      <c r="C159" s="12" t="s">
        <v>305</v>
      </c>
      <c r="D159" s="12" t="s">
        <v>1410</v>
      </c>
      <c r="E159" s="12" t="s">
        <v>1817</v>
      </c>
      <c r="F159" s="12" t="s">
        <v>3348</v>
      </c>
      <c r="G159" s="12" t="s">
        <v>2752</v>
      </c>
      <c r="H159" s="12" t="s">
        <v>3234</v>
      </c>
      <c r="I159" s="12" t="s">
        <v>2018</v>
      </c>
      <c r="J159" s="12" t="s">
        <v>3204</v>
      </c>
      <c r="K159" s="12" t="s">
        <v>1599</v>
      </c>
      <c r="L159" s="12" t="s">
        <v>2018</v>
      </c>
      <c r="M159" s="12" t="s">
        <v>2018</v>
      </c>
    </row>
    <row r="160" spans="1:13" ht="14.4" x14ac:dyDescent="0.3">
      <c r="A160" s="12" t="s">
        <v>312</v>
      </c>
      <c r="B160" s="12" t="s">
        <v>311</v>
      </c>
      <c r="C160" s="12" t="s">
        <v>310</v>
      </c>
      <c r="D160" s="12" t="s">
        <v>1410</v>
      </c>
      <c r="E160" s="12" t="s">
        <v>3380</v>
      </c>
      <c r="F160" s="12" t="s">
        <v>3381</v>
      </c>
      <c r="G160" s="12" t="s">
        <v>3268</v>
      </c>
      <c r="H160" s="12" t="s">
        <v>1563</v>
      </c>
      <c r="I160" s="12" t="s">
        <v>3204</v>
      </c>
      <c r="J160" s="12" t="s">
        <v>1599</v>
      </c>
      <c r="K160" s="12" t="s">
        <v>1414</v>
      </c>
      <c r="L160" s="12" t="s">
        <v>1414</v>
      </c>
      <c r="M160" s="12" t="s">
        <v>1414</v>
      </c>
    </row>
    <row r="161" spans="1:13" ht="14.4" x14ac:dyDescent="0.3">
      <c r="A161" s="12" t="s">
        <v>8</v>
      </c>
      <c r="B161" s="12" t="s">
        <v>314</v>
      </c>
      <c r="C161" s="12" t="s">
        <v>313</v>
      </c>
      <c r="D161" s="12" t="s">
        <v>1410</v>
      </c>
      <c r="E161" s="12" t="s">
        <v>3319</v>
      </c>
      <c r="F161" s="12" t="s">
        <v>3320</v>
      </c>
      <c r="G161" s="12" t="s">
        <v>3321</v>
      </c>
      <c r="H161" s="12" t="s">
        <v>3322</v>
      </c>
      <c r="I161" s="12" t="s">
        <v>1551</v>
      </c>
      <c r="J161" s="12" t="s">
        <v>1599</v>
      </c>
      <c r="K161" s="12" t="s">
        <v>2018</v>
      </c>
      <c r="L161" s="12" t="s">
        <v>1749</v>
      </c>
      <c r="M161" s="12" t="s">
        <v>1414</v>
      </c>
    </row>
    <row r="162" spans="1:13" ht="14.4" x14ac:dyDescent="0.3">
      <c r="A162" s="12" t="s">
        <v>8</v>
      </c>
      <c r="B162" s="12" t="s">
        <v>319</v>
      </c>
      <c r="C162" s="12" t="s">
        <v>318</v>
      </c>
      <c r="D162" s="12" t="s">
        <v>1410</v>
      </c>
      <c r="E162" s="12" t="s">
        <v>3303</v>
      </c>
      <c r="F162" s="12" t="s">
        <v>3304</v>
      </c>
      <c r="G162" s="12" t="s">
        <v>3305</v>
      </c>
      <c r="H162" s="12" t="s">
        <v>3264</v>
      </c>
      <c r="I162" s="12" t="s">
        <v>1551</v>
      </c>
      <c r="J162" s="12" t="s">
        <v>2018</v>
      </c>
      <c r="K162" s="12" t="s">
        <v>2018</v>
      </c>
      <c r="L162" s="12" t="s">
        <v>2018</v>
      </c>
      <c r="M162" s="12" t="s">
        <v>1551</v>
      </c>
    </row>
    <row r="163" spans="1:13" ht="14.4" x14ac:dyDescent="0.3">
      <c r="A163" s="12" t="s">
        <v>5613</v>
      </c>
      <c r="B163" s="12" t="s">
        <v>321</v>
      </c>
      <c r="C163" s="12" t="s">
        <v>320</v>
      </c>
      <c r="D163" s="12" t="s">
        <v>1410</v>
      </c>
      <c r="E163" s="12" t="s">
        <v>3399</v>
      </c>
      <c r="F163" s="12" t="s">
        <v>3400</v>
      </c>
      <c r="G163" s="12" t="s">
        <v>3268</v>
      </c>
      <c r="H163" s="12" t="s">
        <v>1428</v>
      </c>
      <c r="I163" s="12" t="s">
        <v>1599</v>
      </c>
      <c r="J163" s="12" t="s">
        <v>2018</v>
      </c>
      <c r="K163" s="12" t="s">
        <v>1414</v>
      </c>
      <c r="L163" s="12" t="s">
        <v>1414</v>
      </c>
      <c r="M163" s="12" t="s">
        <v>1414</v>
      </c>
    </row>
    <row r="164" spans="1:13" ht="14.4" x14ac:dyDescent="0.3">
      <c r="A164" s="12" t="s">
        <v>5613</v>
      </c>
      <c r="B164" s="12" t="s">
        <v>321</v>
      </c>
      <c r="C164" s="12" t="s">
        <v>320</v>
      </c>
      <c r="D164" s="12" t="s">
        <v>1410</v>
      </c>
      <c r="E164" s="12" t="s">
        <v>3448</v>
      </c>
      <c r="F164" s="12" t="s">
        <v>1941</v>
      </c>
      <c r="G164" s="12" t="s">
        <v>3449</v>
      </c>
      <c r="H164" s="12" t="s">
        <v>3439</v>
      </c>
      <c r="I164" s="12" t="s">
        <v>1551</v>
      </c>
      <c r="J164" s="12" t="s">
        <v>2018</v>
      </c>
      <c r="K164" s="12" t="s">
        <v>2018</v>
      </c>
      <c r="L164" s="12" t="s">
        <v>2018</v>
      </c>
      <c r="M164" s="12" t="s">
        <v>2018</v>
      </c>
    </row>
    <row r="165" spans="1:13" ht="14.4" x14ac:dyDescent="0.3">
      <c r="A165" s="12" t="s">
        <v>133</v>
      </c>
      <c r="B165" s="12" t="s">
        <v>327</v>
      </c>
      <c r="C165" s="12" t="s">
        <v>326</v>
      </c>
      <c r="D165" s="12" t="s">
        <v>1410</v>
      </c>
      <c r="E165" s="12" t="s">
        <v>3361</v>
      </c>
      <c r="F165" s="12" t="s">
        <v>3362</v>
      </c>
      <c r="G165" s="12" t="s">
        <v>3363</v>
      </c>
      <c r="H165" s="12" t="s">
        <v>3300</v>
      </c>
      <c r="I165" s="12" t="s">
        <v>2018</v>
      </c>
      <c r="J165" s="12" t="s">
        <v>2018</v>
      </c>
      <c r="K165" s="12" t="s">
        <v>2018</v>
      </c>
      <c r="L165" s="12" t="s">
        <v>2018</v>
      </c>
      <c r="M165" s="12" t="s">
        <v>1414</v>
      </c>
    </row>
    <row r="166" spans="1:13" ht="14.4" x14ac:dyDescent="0.3">
      <c r="A166" s="12" t="s">
        <v>8</v>
      </c>
      <c r="B166" s="12" t="s">
        <v>329</v>
      </c>
      <c r="C166" s="12" t="s">
        <v>328</v>
      </c>
      <c r="D166" s="12" t="s">
        <v>1410</v>
      </c>
      <c r="E166" s="12" t="s">
        <v>1757</v>
      </c>
      <c r="F166" s="12" t="s">
        <v>1816</v>
      </c>
      <c r="G166" s="12" t="s">
        <v>1763</v>
      </c>
      <c r="H166" s="12" t="s">
        <v>3311</v>
      </c>
      <c r="I166" s="12" t="s">
        <v>1551</v>
      </c>
      <c r="J166" s="12" t="s">
        <v>1506</v>
      </c>
      <c r="K166" s="12" t="s">
        <v>3204</v>
      </c>
      <c r="L166" s="12" t="s">
        <v>1551</v>
      </c>
      <c r="M166" s="12" t="s">
        <v>3214</v>
      </c>
    </row>
    <row r="167" spans="1:13" ht="14.4" x14ac:dyDescent="0.3">
      <c r="A167" s="12" t="s">
        <v>280</v>
      </c>
      <c r="B167" s="12" t="s">
        <v>331</v>
      </c>
      <c r="C167" s="12" t="s">
        <v>330</v>
      </c>
      <c r="D167" s="12" t="s">
        <v>1410</v>
      </c>
      <c r="E167" s="12" t="s">
        <v>3335</v>
      </c>
      <c r="F167" s="12" t="s">
        <v>1787</v>
      </c>
      <c r="G167" s="12" t="s">
        <v>3336</v>
      </c>
      <c r="H167" s="12" t="s">
        <v>3264</v>
      </c>
      <c r="I167" s="12" t="s">
        <v>1551</v>
      </c>
      <c r="J167" s="12" t="s">
        <v>1551</v>
      </c>
      <c r="K167" s="12" t="s">
        <v>2018</v>
      </c>
      <c r="L167" s="12" t="s">
        <v>2018</v>
      </c>
      <c r="M167" s="12" t="s">
        <v>2018</v>
      </c>
    </row>
    <row r="168" spans="1:13" ht="14.4" x14ac:dyDescent="0.3">
      <c r="A168" s="12" t="s">
        <v>22</v>
      </c>
      <c r="B168" s="12" t="s">
        <v>100</v>
      </c>
      <c r="C168" s="12" t="s">
        <v>332</v>
      </c>
      <c r="D168" s="12" t="s">
        <v>1410</v>
      </c>
      <c r="E168" s="12" t="s">
        <v>3356</v>
      </c>
      <c r="F168" s="12" t="s">
        <v>3350</v>
      </c>
      <c r="G168" s="12" t="s">
        <v>3357</v>
      </c>
      <c r="H168" s="12" t="s">
        <v>3275</v>
      </c>
      <c r="I168" s="12" t="s">
        <v>1599</v>
      </c>
      <c r="J168" s="12" t="s">
        <v>2018</v>
      </c>
      <c r="K168" s="12" t="s">
        <v>1414</v>
      </c>
      <c r="L168" s="12" t="s">
        <v>2018</v>
      </c>
      <c r="M168" s="12" t="s">
        <v>1414</v>
      </c>
    </row>
    <row r="169" spans="1:13" ht="14.4" x14ac:dyDescent="0.3">
      <c r="A169" s="12" t="s">
        <v>55</v>
      </c>
      <c r="B169" s="12" t="s">
        <v>102</v>
      </c>
      <c r="C169" s="12" t="s">
        <v>333</v>
      </c>
      <c r="D169" s="12" t="s">
        <v>1410</v>
      </c>
      <c r="E169" s="12" t="s">
        <v>1771</v>
      </c>
      <c r="F169" s="12" t="s">
        <v>3328</v>
      </c>
      <c r="G169" s="12" t="s">
        <v>3329</v>
      </c>
      <c r="H169" s="12" t="s">
        <v>3269</v>
      </c>
      <c r="I169" s="12" t="s">
        <v>3204</v>
      </c>
      <c r="J169" s="12" t="s">
        <v>1599</v>
      </c>
      <c r="K169" s="12" t="s">
        <v>1551</v>
      </c>
      <c r="L169" s="12" t="s">
        <v>1551</v>
      </c>
      <c r="M169" s="12" t="s">
        <v>1414</v>
      </c>
    </row>
    <row r="170" spans="1:13" ht="14.4" x14ac:dyDescent="0.3">
      <c r="A170" s="12" t="s">
        <v>28</v>
      </c>
      <c r="B170" s="12" t="s">
        <v>102</v>
      </c>
      <c r="C170" s="12" t="s">
        <v>334</v>
      </c>
      <c r="D170" s="12" t="s">
        <v>1410</v>
      </c>
      <c r="E170" s="12" t="s">
        <v>3376</v>
      </c>
      <c r="F170" s="12" t="s">
        <v>4598</v>
      </c>
      <c r="G170" s="12" t="s">
        <v>3268</v>
      </c>
      <c r="H170" s="12" t="s">
        <v>1414</v>
      </c>
      <c r="I170" s="12" t="s">
        <v>1414</v>
      </c>
      <c r="J170" s="12" t="s">
        <v>1414</v>
      </c>
      <c r="K170" s="12" t="s">
        <v>1414</v>
      </c>
      <c r="L170" s="12" t="s">
        <v>1414</v>
      </c>
      <c r="M170" s="12" t="s">
        <v>1414</v>
      </c>
    </row>
    <row r="171" spans="1:13" ht="14.4" x14ac:dyDescent="0.3">
      <c r="A171" s="12" t="s">
        <v>337</v>
      </c>
      <c r="B171" s="12" t="s">
        <v>336</v>
      </c>
      <c r="C171" s="12" t="s">
        <v>335</v>
      </c>
      <c r="D171" s="12" t="s">
        <v>1410</v>
      </c>
      <c r="E171" s="12" t="s">
        <v>3602</v>
      </c>
      <c r="F171" s="12" t="s">
        <v>3603</v>
      </c>
      <c r="G171" s="12" t="s">
        <v>3604</v>
      </c>
      <c r="H171" s="12" t="s">
        <v>3210</v>
      </c>
      <c r="I171" s="12" t="s">
        <v>1599</v>
      </c>
      <c r="J171" s="12" t="s">
        <v>2062</v>
      </c>
      <c r="K171" s="12" t="s">
        <v>2018</v>
      </c>
      <c r="L171" s="12" t="s">
        <v>2018</v>
      </c>
      <c r="M171" s="12" t="s">
        <v>1551</v>
      </c>
    </row>
    <row r="172" spans="1:13" ht="14.4" x14ac:dyDescent="0.3">
      <c r="A172" s="12" t="s">
        <v>340</v>
      </c>
      <c r="B172" s="12" t="s">
        <v>339</v>
      </c>
      <c r="C172" s="12" t="s">
        <v>338</v>
      </c>
      <c r="D172" s="12" t="s">
        <v>1410</v>
      </c>
      <c r="E172" s="12" t="s">
        <v>3627</v>
      </c>
      <c r="F172" s="12" t="s">
        <v>3628</v>
      </c>
      <c r="G172" s="12" t="s">
        <v>3629</v>
      </c>
      <c r="H172" s="12" t="s">
        <v>1755</v>
      </c>
      <c r="I172" s="12" t="s">
        <v>2018</v>
      </c>
      <c r="J172" s="12" t="s">
        <v>2062</v>
      </c>
      <c r="K172" s="12" t="s">
        <v>1414</v>
      </c>
      <c r="L172" s="12" t="s">
        <v>1414</v>
      </c>
      <c r="M172" s="12" t="s">
        <v>1414</v>
      </c>
    </row>
    <row r="173" spans="1:13" ht="14.4" x14ac:dyDescent="0.3">
      <c r="A173" s="12" t="s">
        <v>11</v>
      </c>
      <c r="B173" s="12" t="s">
        <v>342</v>
      </c>
      <c r="C173" s="12" t="s">
        <v>341</v>
      </c>
      <c r="D173" s="12" t="s">
        <v>1410</v>
      </c>
      <c r="E173" s="12" t="s">
        <v>3333</v>
      </c>
      <c r="F173" s="12" t="s">
        <v>3334</v>
      </c>
      <c r="G173" s="12" t="s">
        <v>3268</v>
      </c>
      <c r="H173" s="12" t="s">
        <v>1414</v>
      </c>
      <c r="I173" s="12" t="s">
        <v>1414</v>
      </c>
      <c r="J173" s="12" t="s">
        <v>1414</v>
      </c>
      <c r="K173" s="12" t="s">
        <v>1414</v>
      </c>
      <c r="L173" s="12" t="s">
        <v>1414</v>
      </c>
      <c r="M173" s="12" t="s">
        <v>1414</v>
      </c>
    </row>
    <row r="174" spans="1:13" ht="14.4" x14ac:dyDescent="0.3">
      <c r="A174" s="12" t="s">
        <v>11</v>
      </c>
      <c r="B174" s="12" t="s">
        <v>342</v>
      </c>
      <c r="C174" s="12" t="s">
        <v>341</v>
      </c>
      <c r="D174" s="12" t="s">
        <v>1410</v>
      </c>
      <c r="E174" s="12" t="s">
        <v>3388</v>
      </c>
      <c r="F174" s="12" t="s">
        <v>3389</v>
      </c>
      <c r="G174" s="12" t="s">
        <v>3390</v>
      </c>
      <c r="H174" s="12" t="s">
        <v>3213</v>
      </c>
      <c r="I174" s="12" t="s">
        <v>1551</v>
      </c>
      <c r="J174" s="12" t="s">
        <v>1551</v>
      </c>
      <c r="K174" s="12" t="s">
        <v>1551</v>
      </c>
      <c r="L174" s="12" t="s">
        <v>2435</v>
      </c>
      <c r="M174" s="12" t="s">
        <v>1506</v>
      </c>
    </row>
    <row r="175" spans="1:13" ht="14.4" x14ac:dyDescent="0.3">
      <c r="A175" s="12" t="s">
        <v>345</v>
      </c>
      <c r="B175" s="12" t="s">
        <v>344</v>
      </c>
      <c r="C175" s="12" t="s">
        <v>343</v>
      </c>
      <c r="D175" s="12" t="s">
        <v>1410</v>
      </c>
      <c r="E175" s="12" t="s">
        <v>1732</v>
      </c>
      <c r="F175" s="12" t="s">
        <v>1760</v>
      </c>
      <c r="G175" s="12" t="s">
        <v>3315</v>
      </c>
      <c r="H175" s="12" t="s">
        <v>3207</v>
      </c>
      <c r="I175" s="12" t="s">
        <v>1551</v>
      </c>
      <c r="J175" s="12" t="s">
        <v>2018</v>
      </c>
      <c r="K175" s="12" t="s">
        <v>1414</v>
      </c>
      <c r="L175" s="12" t="s">
        <v>2018</v>
      </c>
      <c r="M175" s="12" t="s">
        <v>3204</v>
      </c>
    </row>
    <row r="176" spans="1:13" ht="14.4" x14ac:dyDescent="0.3">
      <c r="A176" s="12" t="s">
        <v>55</v>
      </c>
      <c r="B176" s="12" t="s">
        <v>347</v>
      </c>
      <c r="C176" s="12" t="s">
        <v>346</v>
      </c>
      <c r="D176" s="12" t="s">
        <v>1410</v>
      </c>
      <c r="E176" s="12" t="s">
        <v>3352</v>
      </c>
      <c r="F176" s="12" t="s">
        <v>3358</v>
      </c>
      <c r="G176" s="12" t="s">
        <v>2586</v>
      </c>
      <c r="H176" s="12" t="s">
        <v>3207</v>
      </c>
      <c r="I176" s="12" t="s">
        <v>1506</v>
      </c>
      <c r="J176" s="12" t="s">
        <v>1599</v>
      </c>
      <c r="K176" s="12" t="s">
        <v>2018</v>
      </c>
      <c r="L176" s="12" t="s">
        <v>2018</v>
      </c>
      <c r="M176" s="12" t="s">
        <v>1414</v>
      </c>
    </row>
    <row r="177" spans="1:13" ht="14.4" x14ac:dyDescent="0.3">
      <c r="A177" s="12" t="s">
        <v>350</v>
      </c>
      <c r="B177" s="12" t="s">
        <v>349</v>
      </c>
      <c r="C177" s="12" t="s">
        <v>348</v>
      </c>
      <c r="D177" s="12" t="s">
        <v>1410</v>
      </c>
      <c r="E177" s="12" t="s">
        <v>3391</v>
      </c>
      <c r="F177" s="12" t="s">
        <v>3392</v>
      </c>
      <c r="G177" s="12" t="s">
        <v>2561</v>
      </c>
      <c r="H177" s="12" t="s">
        <v>3234</v>
      </c>
      <c r="I177" s="12" t="s">
        <v>2018</v>
      </c>
      <c r="J177" s="12" t="s">
        <v>2018</v>
      </c>
      <c r="K177" s="12" t="s">
        <v>1506</v>
      </c>
      <c r="L177" s="12" t="s">
        <v>1506</v>
      </c>
      <c r="M177" s="12" t="s">
        <v>2018</v>
      </c>
    </row>
    <row r="178" spans="1:13" ht="14.4" x14ac:dyDescent="0.3">
      <c r="A178" s="12" t="s">
        <v>353</v>
      </c>
      <c r="B178" s="12" t="s">
        <v>352</v>
      </c>
      <c r="C178" s="12" t="s">
        <v>351</v>
      </c>
      <c r="D178" s="12" t="s">
        <v>1410</v>
      </c>
      <c r="E178" s="12" t="s">
        <v>3306</v>
      </c>
      <c r="F178" s="12" t="s">
        <v>3307</v>
      </c>
      <c r="G178" s="12" t="s">
        <v>3308</v>
      </c>
      <c r="H178" s="12" t="s">
        <v>3294</v>
      </c>
      <c r="I178" s="12" t="s">
        <v>2018</v>
      </c>
      <c r="J178" s="12" t="s">
        <v>1506</v>
      </c>
      <c r="K178" s="12" t="s">
        <v>1414</v>
      </c>
      <c r="L178" s="12" t="s">
        <v>2018</v>
      </c>
      <c r="M178" s="12" t="s">
        <v>2018</v>
      </c>
    </row>
    <row r="179" spans="1:13" ht="14.4" x14ac:dyDescent="0.3">
      <c r="A179" s="12" t="s">
        <v>8</v>
      </c>
      <c r="B179" s="12" t="s">
        <v>355</v>
      </c>
      <c r="C179" s="12" t="s">
        <v>354</v>
      </c>
      <c r="D179" s="12" t="s">
        <v>1410</v>
      </c>
      <c r="E179" s="12" t="s">
        <v>3316</v>
      </c>
      <c r="F179" s="12" t="s">
        <v>3317</v>
      </c>
      <c r="G179" s="12" t="s">
        <v>3318</v>
      </c>
      <c r="H179" s="12" t="s">
        <v>3240</v>
      </c>
      <c r="I179" s="12" t="s">
        <v>2018</v>
      </c>
      <c r="J179" s="12" t="s">
        <v>3204</v>
      </c>
      <c r="K179" s="12" t="s">
        <v>1551</v>
      </c>
      <c r="L179" s="12" t="s">
        <v>2018</v>
      </c>
      <c r="M179" s="12" t="s">
        <v>2018</v>
      </c>
    </row>
    <row r="180" spans="1:13" ht="14.4" x14ac:dyDescent="0.3">
      <c r="A180" s="12" t="s">
        <v>228</v>
      </c>
      <c r="B180" s="12" t="s">
        <v>357</v>
      </c>
      <c r="C180" s="12" t="s">
        <v>356</v>
      </c>
      <c r="D180" s="12" t="s">
        <v>1410</v>
      </c>
      <c r="E180" s="12" t="s">
        <v>3326</v>
      </c>
      <c r="F180" s="12" t="s">
        <v>3342</v>
      </c>
      <c r="G180" s="12" t="s">
        <v>3343</v>
      </c>
      <c r="H180" s="12" t="s">
        <v>1419</v>
      </c>
      <c r="I180" s="12" t="s">
        <v>3204</v>
      </c>
      <c r="J180" s="12" t="s">
        <v>1506</v>
      </c>
      <c r="K180" s="12" t="s">
        <v>2018</v>
      </c>
      <c r="L180" s="12" t="s">
        <v>1414</v>
      </c>
      <c r="M180" s="12" t="s">
        <v>1414</v>
      </c>
    </row>
    <row r="181" spans="1:13" ht="14.4" x14ac:dyDescent="0.3">
      <c r="A181" s="12" t="s">
        <v>8</v>
      </c>
      <c r="B181" s="12" t="s">
        <v>359</v>
      </c>
      <c r="C181" s="12" t="s">
        <v>358</v>
      </c>
      <c r="D181" s="12" t="s">
        <v>1410</v>
      </c>
      <c r="E181" s="12" t="s">
        <v>3396</v>
      </c>
      <c r="F181" s="12" t="s">
        <v>3397</v>
      </c>
      <c r="G181" s="12" t="s">
        <v>3398</v>
      </c>
      <c r="H181" s="12" t="s">
        <v>3246</v>
      </c>
      <c r="I181" s="12" t="s">
        <v>1599</v>
      </c>
      <c r="J181" s="12" t="s">
        <v>1506</v>
      </c>
      <c r="K181" s="12" t="s">
        <v>1551</v>
      </c>
      <c r="L181" s="12" t="s">
        <v>1551</v>
      </c>
      <c r="M181" s="12" t="s">
        <v>2018</v>
      </c>
    </row>
    <row r="182" spans="1:13" ht="14.4" x14ac:dyDescent="0.3">
      <c r="A182" s="12" t="s">
        <v>31</v>
      </c>
      <c r="B182" s="12" t="s">
        <v>361</v>
      </c>
      <c r="C182" s="12" t="s">
        <v>360</v>
      </c>
      <c r="D182" s="12" t="s">
        <v>1410</v>
      </c>
      <c r="E182" s="12" t="s">
        <v>1728</v>
      </c>
      <c r="F182" s="12" t="s">
        <v>3323</v>
      </c>
      <c r="G182" s="12" t="s">
        <v>3268</v>
      </c>
      <c r="H182" s="12" t="s">
        <v>3213</v>
      </c>
      <c r="I182" s="12" t="s">
        <v>1414</v>
      </c>
      <c r="J182" s="12" t="s">
        <v>1551</v>
      </c>
      <c r="K182" s="12" t="s">
        <v>1599</v>
      </c>
      <c r="L182" s="12" t="s">
        <v>1551</v>
      </c>
      <c r="M182" s="12" t="s">
        <v>2018</v>
      </c>
    </row>
    <row r="183" spans="1:13" ht="14.4" x14ac:dyDescent="0.3">
      <c r="A183" s="12" t="s">
        <v>8</v>
      </c>
      <c r="B183" s="12" t="s">
        <v>363</v>
      </c>
      <c r="C183" s="12" t="s">
        <v>362</v>
      </c>
      <c r="D183" s="12" t="s">
        <v>1410</v>
      </c>
      <c r="E183" s="12" t="s">
        <v>3582</v>
      </c>
      <c r="F183" s="12" t="s">
        <v>2264</v>
      </c>
      <c r="G183" s="12" t="s">
        <v>3268</v>
      </c>
      <c r="H183" s="12" t="s">
        <v>2018</v>
      </c>
      <c r="I183" s="12" t="s">
        <v>2018</v>
      </c>
      <c r="J183" s="12" t="s">
        <v>1414</v>
      </c>
      <c r="K183" s="12" t="s">
        <v>1414</v>
      </c>
      <c r="L183" s="12" t="s">
        <v>1414</v>
      </c>
      <c r="M183" s="12" t="s">
        <v>1414</v>
      </c>
    </row>
    <row r="184" spans="1:13" ht="14.4" x14ac:dyDescent="0.3">
      <c r="A184" s="12" t="s">
        <v>8</v>
      </c>
      <c r="B184" s="12" t="s">
        <v>363</v>
      </c>
      <c r="C184" s="12" t="s">
        <v>362</v>
      </c>
      <c r="D184" s="12" t="s">
        <v>1410</v>
      </c>
      <c r="E184" s="12" t="s">
        <v>3624</v>
      </c>
      <c r="F184" s="12" t="s">
        <v>3625</v>
      </c>
      <c r="G184" s="12" t="s">
        <v>3626</v>
      </c>
      <c r="H184" s="12" t="s">
        <v>3300</v>
      </c>
      <c r="I184" s="12" t="s">
        <v>1551</v>
      </c>
      <c r="J184" s="12" t="s">
        <v>1551</v>
      </c>
      <c r="K184" s="12" t="s">
        <v>2018</v>
      </c>
      <c r="L184" s="12" t="s">
        <v>2062</v>
      </c>
      <c r="M184" s="12" t="s">
        <v>1506</v>
      </c>
    </row>
    <row r="185" spans="1:13" ht="14.4" x14ac:dyDescent="0.3">
      <c r="A185" s="12" t="s">
        <v>366</v>
      </c>
      <c r="B185" s="12" t="s">
        <v>365</v>
      </c>
      <c r="C185" s="12" t="s">
        <v>364</v>
      </c>
      <c r="D185" s="12" t="s">
        <v>1410</v>
      </c>
      <c r="E185" s="12" t="s">
        <v>1767</v>
      </c>
      <c r="F185" s="12" t="s">
        <v>3326</v>
      </c>
      <c r="G185" s="12" t="s">
        <v>3327</v>
      </c>
      <c r="H185" s="12" t="s">
        <v>1606</v>
      </c>
      <c r="I185" s="12" t="s">
        <v>1506</v>
      </c>
      <c r="J185" s="12" t="s">
        <v>3214</v>
      </c>
      <c r="K185" s="12" t="s">
        <v>1506</v>
      </c>
      <c r="L185" s="12" t="s">
        <v>1414</v>
      </c>
      <c r="M185" s="12" t="s">
        <v>1414</v>
      </c>
    </row>
    <row r="186" spans="1:13" ht="14.4" x14ac:dyDescent="0.3">
      <c r="A186" s="12" t="s">
        <v>19</v>
      </c>
      <c r="B186" s="12" t="s">
        <v>368</v>
      </c>
      <c r="C186" s="12" t="s">
        <v>367</v>
      </c>
      <c r="D186" s="12" t="s">
        <v>1410</v>
      </c>
      <c r="E186" s="12" t="s">
        <v>3337</v>
      </c>
      <c r="F186" s="12" t="s">
        <v>1816</v>
      </c>
      <c r="G186" s="12" t="s">
        <v>3341</v>
      </c>
      <c r="H186" s="12" t="s">
        <v>3210</v>
      </c>
      <c r="I186" s="12" t="s">
        <v>2018</v>
      </c>
      <c r="J186" s="12" t="s">
        <v>1599</v>
      </c>
      <c r="K186" s="12" t="s">
        <v>1551</v>
      </c>
      <c r="L186" s="12" t="s">
        <v>2018</v>
      </c>
      <c r="M186" s="12" t="s">
        <v>2062</v>
      </c>
    </row>
    <row r="187" spans="1:13" ht="14.4" x14ac:dyDescent="0.3">
      <c r="A187" s="12" t="s">
        <v>8</v>
      </c>
      <c r="B187" s="12" t="s">
        <v>370</v>
      </c>
      <c r="C187" s="12" t="s">
        <v>369</v>
      </c>
      <c r="D187" s="12" t="s">
        <v>1410</v>
      </c>
      <c r="E187" s="12" t="s">
        <v>3408</v>
      </c>
      <c r="F187" s="12" t="s">
        <v>3409</v>
      </c>
      <c r="G187" s="12" t="s">
        <v>3410</v>
      </c>
      <c r="H187" s="12" t="s">
        <v>3411</v>
      </c>
      <c r="I187" s="12" t="s">
        <v>1414</v>
      </c>
      <c r="J187" s="12" t="s">
        <v>2018</v>
      </c>
      <c r="K187" s="12" t="s">
        <v>1551</v>
      </c>
      <c r="L187" s="12" t="s">
        <v>2018</v>
      </c>
      <c r="M187" s="12" t="s">
        <v>2018</v>
      </c>
    </row>
    <row r="188" spans="1:13" ht="14.4" x14ac:dyDescent="0.3">
      <c r="A188" s="12" t="s">
        <v>19</v>
      </c>
      <c r="B188" s="12" t="s">
        <v>372</v>
      </c>
      <c r="C188" s="12" t="s">
        <v>371</v>
      </c>
      <c r="D188" s="12" t="s">
        <v>1410</v>
      </c>
      <c r="E188" s="12" t="s">
        <v>3349</v>
      </c>
      <c r="F188" s="12" t="s">
        <v>3350</v>
      </c>
      <c r="G188" s="12" t="s">
        <v>3351</v>
      </c>
      <c r="H188" s="12" t="s">
        <v>1424</v>
      </c>
      <c r="I188" s="12" t="s">
        <v>3204</v>
      </c>
      <c r="J188" s="12" t="s">
        <v>1551</v>
      </c>
      <c r="K188" s="12" t="s">
        <v>1506</v>
      </c>
      <c r="L188" s="12" t="s">
        <v>1414</v>
      </c>
      <c r="M188" s="12" t="s">
        <v>1414</v>
      </c>
    </row>
    <row r="189" spans="1:13" ht="14.4" x14ac:dyDescent="0.3">
      <c r="A189" s="12" t="s">
        <v>375</v>
      </c>
      <c r="B189" s="12" t="s">
        <v>374</v>
      </c>
      <c r="C189" s="12" t="s">
        <v>373</v>
      </c>
      <c r="D189" s="12" t="s">
        <v>1410</v>
      </c>
      <c r="E189" s="12" t="s">
        <v>3482</v>
      </c>
      <c r="F189" s="12" t="s">
        <v>3483</v>
      </c>
      <c r="G189" s="12" t="s">
        <v>1691</v>
      </c>
      <c r="H189" s="12" t="s">
        <v>3258</v>
      </c>
      <c r="I189" s="12" t="s">
        <v>2018</v>
      </c>
      <c r="J189" s="12" t="s">
        <v>1551</v>
      </c>
      <c r="K189" s="12" t="s">
        <v>2018</v>
      </c>
      <c r="L189" s="12" t="s">
        <v>1551</v>
      </c>
      <c r="M189" s="12" t="s">
        <v>1551</v>
      </c>
    </row>
    <row r="190" spans="1:13" ht="14.4" x14ac:dyDescent="0.3">
      <c r="A190" s="12" t="s">
        <v>42</v>
      </c>
      <c r="B190" s="12" t="s">
        <v>377</v>
      </c>
      <c r="C190" s="12" t="s">
        <v>376</v>
      </c>
      <c r="D190" s="12" t="s">
        <v>1410</v>
      </c>
      <c r="E190" s="12" t="s">
        <v>1797</v>
      </c>
      <c r="F190" s="12" t="s">
        <v>3339</v>
      </c>
      <c r="G190" s="12" t="s">
        <v>3268</v>
      </c>
      <c r="H190" s="12" t="s">
        <v>3340</v>
      </c>
      <c r="I190" s="12" t="s">
        <v>1506</v>
      </c>
      <c r="J190" s="12" t="s">
        <v>1551</v>
      </c>
      <c r="K190" s="12" t="s">
        <v>1414</v>
      </c>
      <c r="L190" s="12" t="s">
        <v>1551</v>
      </c>
      <c r="M190" s="12" t="s">
        <v>2435</v>
      </c>
    </row>
    <row r="191" spans="1:13" ht="14.4" x14ac:dyDescent="0.3">
      <c r="A191" s="12" t="s">
        <v>55</v>
      </c>
      <c r="B191" s="12" t="s">
        <v>379</v>
      </c>
      <c r="C191" s="12" t="s">
        <v>378</v>
      </c>
      <c r="D191" s="12" t="s">
        <v>1410</v>
      </c>
      <c r="E191" s="12" t="s">
        <v>3324</v>
      </c>
      <c r="F191" s="12" t="s">
        <v>1772</v>
      </c>
      <c r="G191" s="12" t="s">
        <v>3325</v>
      </c>
      <c r="H191" s="12" t="s">
        <v>3264</v>
      </c>
      <c r="I191" s="12" t="s">
        <v>2018</v>
      </c>
      <c r="J191" s="12" t="s">
        <v>2018</v>
      </c>
      <c r="K191" s="12" t="s">
        <v>2018</v>
      </c>
      <c r="L191" s="12" t="s">
        <v>2018</v>
      </c>
      <c r="M191" s="12" t="s">
        <v>1599</v>
      </c>
    </row>
    <row r="192" spans="1:13" ht="14.4" x14ac:dyDescent="0.3">
      <c r="A192" s="12" t="s">
        <v>8</v>
      </c>
      <c r="B192" s="12" t="s">
        <v>381</v>
      </c>
      <c r="C192" s="12" t="s">
        <v>380</v>
      </c>
      <c r="D192" s="12" t="s">
        <v>1410</v>
      </c>
      <c r="E192" s="12" t="s">
        <v>3352</v>
      </c>
      <c r="F192" s="12" t="s">
        <v>3359</v>
      </c>
      <c r="G192" s="12" t="s">
        <v>3360</v>
      </c>
      <c r="H192" s="12" t="s">
        <v>3207</v>
      </c>
      <c r="I192" s="12" t="s">
        <v>3204</v>
      </c>
      <c r="J192" s="12" t="s">
        <v>1749</v>
      </c>
      <c r="K192" s="12" t="s">
        <v>1599</v>
      </c>
      <c r="L192" s="12" t="s">
        <v>1551</v>
      </c>
      <c r="M192" s="12" t="s">
        <v>1599</v>
      </c>
    </row>
    <row r="193" spans="1:13" ht="14.4" x14ac:dyDescent="0.3">
      <c r="A193" s="12" t="s">
        <v>55</v>
      </c>
      <c r="B193" s="12" t="s">
        <v>383</v>
      </c>
      <c r="C193" s="12" t="s">
        <v>382</v>
      </c>
      <c r="D193" s="12" t="s">
        <v>1410</v>
      </c>
      <c r="E193" s="12" t="s">
        <v>1779</v>
      </c>
      <c r="F193" s="12" t="s">
        <v>3337</v>
      </c>
      <c r="G193" s="12" t="s">
        <v>3338</v>
      </c>
      <c r="H193" s="12" t="s">
        <v>3246</v>
      </c>
      <c r="I193" s="12" t="s">
        <v>1599</v>
      </c>
      <c r="J193" s="12" t="s">
        <v>2018</v>
      </c>
      <c r="K193" s="12" t="s">
        <v>2018</v>
      </c>
      <c r="L193" s="12" t="s">
        <v>2018</v>
      </c>
      <c r="M193" s="12" t="s">
        <v>2062</v>
      </c>
    </row>
    <row r="194" spans="1:13" ht="14.4" x14ac:dyDescent="0.3">
      <c r="A194" s="12" t="s">
        <v>8</v>
      </c>
      <c r="B194" s="12" t="s">
        <v>385</v>
      </c>
      <c r="C194" s="12" t="s">
        <v>384</v>
      </c>
      <c r="D194" s="12" t="s">
        <v>1410</v>
      </c>
      <c r="E194" s="12" t="s">
        <v>3466</v>
      </c>
      <c r="F194" s="12" t="s">
        <v>3467</v>
      </c>
      <c r="G194" s="12" t="s">
        <v>3468</v>
      </c>
      <c r="H194" s="12" t="s">
        <v>3368</v>
      </c>
      <c r="I194" s="12" t="s">
        <v>2018</v>
      </c>
      <c r="J194" s="12" t="s">
        <v>2018</v>
      </c>
      <c r="K194" s="12" t="s">
        <v>1414</v>
      </c>
      <c r="L194" s="12" t="s">
        <v>1551</v>
      </c>
      <c r="M194" s="12" t="s">
        <v>1414</v>
      </c>
    </row>
    <row r="195" spans="1:13" ht="14.4" x14ac:dyDescent="0.3">
      <c r="A195" s="12" t="s">
        <v>31</v>
      </c>
      <c r="B195" s="12" t="s">
        <v>387</v>
      </c>
      <c r="C195" s="12" t="s">
        <v>386</v>
      </c>
      <c r="D195" s="12" t="s">
        <v>1410</v>
      </c>
      <c r="E195" s="12" t="s">
        <v>3377</v>
      </c>
      <c r="F195" s="12" t="s">
        <v>3378</v>
      </c>
      <c r="G195" s="12" t="s">
        <v>3379</v>
      </c>
      <c r="H195" s="12" t="s">
        <v>3332</v>
      </c>
      <c r="I195" s="12" t="s">
        <v>1506</v>
      </c>
      <c r="J195" s="12" t="s">
        <v>2018</v>
      </c>
      <c r="K195" s="12" t="s">
        <v>1414</v>
      </c>
      <c r="L195" s="12" t="s">
        <v>3204</v>
      </c>
      <c r="M195" s="12" t="s">
        <v>3214</v>
      </c>
    </row>
    <row r="196" spans="1:13" ht="14.4" x14ac:dyDescent="0.3">
      <c r="A196" s="12" t="s">
        <v>31</v>
      </c>
      <c r="B196" s="12" t="s">
        <v>387</v>
      </c>
      <c r="C196" s="12" t="s">
        <v>386</v>
      </c>
      <c r="D196" s="12" t="s">
        <v>1456</v>
      </c>
      <c r="E196" s="12" t="s">
        <v>3414</v>
      </c>
      <c r="F196" s="12" t="s">
        <v>1415</v>
      </c>
      <c r="G196" s="12" t="s">
        <v>1415</v>
      </c>
      <c r="H196" s="12" t="s">
        <v>1415</v>
      </c>
      <c r="I196" s="12" t="s">
        <v>1415</v>
      </c>
      <c r="J196" s="12" t="s">
        <v>1415</v>
      </c>
      <c r="K196" s="12" t="s">
        <v>1415</v>
      </c>
      <c r="L196" s="12" t="s">
        <v>1415</v>
      </c>
      <c r="M196" s="12" t="s">
        <v>1415</v>
      </c>
    </row>
    <row r="197" spans="1:13" ht="14.4" x14ac:dyDescent="0.3">
      <c r="A197" s="12" t="s">
        <v>170</v>
      </c>
      <c r="B197" s="12" t="s">
        <v>392</v>
      </c>
      <c r="C197" s="12" t="s">
        <v>391</v>
      </c>
      <c r="D197" s="12" t="s">
        <v>1410</v>
      </c>
      <c r="E197" s="12" t="s">
        <v>3393</v>
      </c>
      <c r="F197" s="12" t="s">
        <v>3394</v>
      </c>
      <c r="G197" s="12" t="s">
        <v>3395</v>
      </c>
      <c r="H197" s="12" t="s">
        <v>3258</v>
      </c>
      <c r="I197" s="12" t="s">
        <v>2018</v>
      </c>
      <c r="J197" s="12" t="s">
        <v>1551</v>
      </c>
      <c r="K197" s="12" t="s">
        <v>1551</v>
      </c>
      <c r="L197" s="12" t="s">
        <v>2018</v>
      </c>
      <c r="M197" s="12" t="s">
        <v>1551</v>
      </c>
    </row>
    <row r="198" spans="1:13" ht="14.4" x14ac:dyDescent="0.3">
      <c r="A198" s="12" t="s">
        <v>11</v>
      </c>
      <c r="B198" s="12" t="s">
        <v>394</v>
      </c>
      <c r="C198" s="12" t="s">
        <v>393</v>
      </c>
      <c r="D198" s="12" t="s">
        <v>1410</v>
      </c>
      <c r="E198" s="12" t="s">
        <v>3476</v>
      </c>
      <c r="F198" s="12" t="s">
        <v>3477</v>
      </c>
      <c r="G198" s="12" t="s">
        <v>3478</v>
      </c>
      <c r="H198" s="12" t="s">
        <v>3311</v>
      </c>
      <c r="I198" s="12" t="s">
        <v>1506</v>
      </c>
      <c r="J198" s="12" t="s">
        <v>1599</v>
      </c>
      <c r="K198" s="12" t="s">
        <v>1551</v>
      </c>
      <c r="L198" s="12" t="s">
        <v>2018</v>
      </c>
      <c r="M198" s="12" t="s">
        <v>1414</v>
      </c>
    </row>
    <row r="199" spans="1:13" ht="14.4" x14ac:dyDescent="0.3">
      <c r="A199" s="12" t="s">
        <v>11</v>
      </c>
      <c r="B199" s="12" t="s">
        <v>394</v>
      </c>
      <c r="C199" s="12" t="s">
        <v>393</v>
      </c>
      <c r="D199" s="12" t="s">
        <v>1456</v>
      </c>
      <c r="E199" s="12" t="s">
        <v>2015</v>
      </c>
      <c r="F199" s="12" t="s">
        <v>1415</v>
      </c>
      <c r="G199" s="12" t="s">
        <v>1415</v>
      </c>
      <c r="H199" s="12" t="s">
        <v>1415</v>
      </c>
      <c r="I199" s="12" t="s">
        <v>1415</v>
      </c>
      <c r="J199" s="12" t="s">
        <v>1415</v>
      </c>
      <c r="K199" s="12" t="s">
        <v>1415</v>
      </c>
      <c r="L199" s="12" t="s">
        <v>1415</v>
      </c>
      <c r="M199" s="12" t="s">
        <v>1415</v>
      </c>
    </row>
    <row r="200" spans="1:13" ht="14.4" x14ac:dyDescent="0.3">
      <c r="A200" s="12" t="s">
        <v>397</v>
      </c>
      <c r="B200" s="12" t="s">
        <v>396</v>
      </c>
      <c r="C200" s="12" t="s">
        <v>395</v>
      </c>
      <c r="D200" s="12" t="s">
        <v>1410</v>
      </c>
      <c r="E200" s="12" t="s">
        <v>3401</v>
      </c>
      <c r="F200" s="12" t="s">
        <v>3402</v>
      </c>
      <c r="G200" s="12" t="s">
        <v>3268</v>
      </c>
      <c r="H200" s="12" t="s">
        <v>1414</v>
      </c>
      <c r="I200" s="12" t="s">
        <v>1414</v>
      </c>
      <c r="J200" s="12" t="s">
        <v>1414</v>
      </c>
      <c r="K200" s="12" t="s">
        <v>1414</v>
      </c>
      <c r="L200" s="12" t="s">
        <v>1414</v>
      </c>
      <c r="M200" s="12" t="s">
        <v>1414</v>
      </c>
    </row>
    <row r="201" spans="1:13" ht="14.4" x14ac:dyDescent="0.3">
      <c r="A201" s="12" t="s">
        <v>397</v>
      </c>
      <c r="B201" s="12" t="s">
        <v>396</v>
      </c>
      <c r="C201" s="12" t="s">
        <v>395</v>
      </c>
      <c r="D201" s="12" t="s">
        <v>1456</v>
      </c>
      <c r="E201" s="12" t="s">
        <v>2006</v>
      </c>
      <c r="F201" s="12" t="s">
        <v>1415</v>
      </c>
      <c r="G201" s="12" t="s">
        <v>1415</v>
      </c>
      <c r="H201" s="12" t="s">
        <v>1415</v>
      </c>
      <c r="I201" s="12" t="s">
        <v>1415</v>
      </c>
      <c r="J201" s="12" t="s">
        <v>1415</v>
      </c>
      <c r="K201" s="12" t="s">
        <v>1415</v>
      </c>
      <c r="L201" s="12" t="s">
        <v>1415</v>
      </c>
      <c r="M201" s="12" t="s">
        <v>1415</v>
      </c>
    </row>
    <row r="202" spans="1:13" ht="14.4" x14ac:dyDescent="0.3">
      <c r="A202" s="12" t="s">
        <v>337</v>
      </c>
      <c r="B202" s="12" t="s">
        <v>399</v>
      </c>
      <c r="C202" s="12" t="s">
        <v>398</v>
      </c>
      <c r="D202" s="12" t="s">
        <v>1410</v>
      </c>
      <c r="E202" s="12" t="s">
        <v>3339</v>
      </c>
      <c r="F202" s="12" t="s">
        <v>3354</v>
      </c>
      <c r="G202" s="12" t="s">
        <v>3355</v>
      </c>
      <c r="H202" s="12" t="s">
        <v>3258</v>
      </c>
      <c r="I202" s="12" t="s">
        <v>1599</v>
      </c>
      <c r="J202" s="12" t="s">
        <v>1551</v>
      </c>
      <c r="K202" s="12" t="s">
        <v>2018</v>
      </c>
      <c r="L202" s="12" t="s">
        <v>2018</v>
      </c>
      <c r="M202" s="12" t="s">
        <v>2018</v>
      </c>
    </row>
    <row r="203" spans="1:13" ht="14.4" x14ac:dyDescent="0.3">
      <c r="A203" s="12" t="s">
        <v>19</v>
      </c>
      <c r="B203" s="12" t="s">
        <v>401</v>
      </c>
      <c r="C203" s="12" t="s">
        <v>400</v>
      </c>
      <c r="D203" s="12" t="s">
        <v>1410</v>
      </c>
      <c r="E203" s="12" t="s">
        <v>3484</v>
      </c>
      <c r="F203" s="12" t="s">
        <v>3485</v>
      </c>
      <c r="G203" s="12" t="s">
        <v>3486</v>
      </c>
      <c r="H203" s="12" t="s">
        <v>3246</v>
      </c>
      <c r="I203" s="12" t="s">
        <v>1551</v>
      </c>
      <c r="J203" s="12" t="s">
        <v>1599</v>
      </c>
      <c r="K203" s="12" t="s">
        <v>1599</v>
      </c>
      <c r="L203" s="12" t="s">
        <v>1551</v>
      </c>
      <c r="M203" s="12" t="s">
        <v>1551</v>
      </c>
    </row>
    <row r="204" spans="1:13" ht="14.4" x14ac:dyDescent="0.3">
      <c r="A204" s="12" t="s">
        <v>8</v>
      </c>
      <c r="B204" s="12" t="s">
        <v>403</v>
      </c>
      <c r="C204" s="12" t="s">
        <v>402</v>
      </c>
      <c r="D204" s="12" t="s">
        <v>1410</v>
      </c>
      <c r="E204" s="12" t="s">
        <v>3382</v>
      </c>
      <c r="F204" s="12" t="s">
        <v>3383</v>
      </c>
      <c r="G204" s="12" t="s">
        <v>3384</v>
      </c>
      <c r="H204" s="12" t="s">
        <v>3385</v>
      </c>
      <c r="I204" s="12" t="s">
        <v>1599</v>
      </c>
      <c r="J204" s="12" t="s">
        <v>1551</v>
      </c>
      <c r="K204" s="12" t="s">
        <v>2018</v>
      </c>
      <c r="L204" s="12" t="s">
        <v>1414</v>
      </c>
      <c r="M204" s="12" t="s">
        <v>3204</v>
      </c>
    </row>
    <row r="205" spans="1:13" ht="14.4" x14ac:dyDescent="0.3">
      <c r="A205" s="12" t="s">
        <v>84</v>
      </c>
      <c r="B205" s="12" t="s">
        <v>405</v>
      </c>
      <c r="C205" s="12" t="s">
        <v>404</v>
      </c>
      <c r="D205" s="12" t="s">
        <v>1410</v>
      </c>
      <c r="E205" s="12" t="s">
        <v>1850</v>
      </c>
      <c r="F205" s="12" t="s">
        <v>3386</v>
      </c>
      <c r="G205" s="12" t="s">
        <v>3387</v>
      </c>
      <c r="H205" s="12" t="s">
        <v>3218</v>
      </c>
      <c r="I205" s="12" t="s">
        <v>1506</v>
      </c>
      <c r="J205" s="12" t="s">
        <v>2062</v>
      </c>
      <c r="K205" s="12" t="s">
        <v>1599</v>
      </c>
      <c r="L205" s="12" t="s">
        <v>1599</v>
      </c>
      <c r="M205" s="12" t="s">
        <v>2018</v>
      </c>
    </row>
    <row r="206" spans="1:13" ht="14.4" x14ac:dyDescent="0.3">
      <c r="A206" s="12" t="s">
        <v>8</v>
      </c>
      <c r="B206" s="12" t="s">
        <v>407</v>
      </c>
      <c r="C206" s="12" t="s">
        <v>406</v>
      </c>
      <c r="D206" s="12" t="s">
        <v>1410</v>
      </c>
      <c r="E206" s="12" t="s">
        <v>3479</v>
      </c>
      <c r="F206" s="12" t="s">
        <v>3480</v>
      </c>
      <c r="G206" s="12" t="s">
        <v>3481</v>
      </c>
      <c r="H206" s="12" t="s">
        <v>3258</v>
      </c>
      <c r="I206" s="12" t="s">
        <v>1551</v>
      </c>
      <c r="J206" s="12" t="s">
        <v>2018</v>
      </c>
      <c r="K206" s="12" t="s">
        <v>1551</v>
      </c>
      <c r="L206" s="12" t="s">
        <v>1551</v>
      </c>
      <c r="M206" s="12" t="s">
        <v>2018</v>
      </c>
    </row>
    <row r="207" spans="1:13" ht="14.4" x14ac:dyDescent="0.3">
      <c r="A207" s="12" t="s">
        <v>42</v>
      </c>
      <c r="B207" s="12" t="s">
        <v>409</v>
      </c>
      <c r="C207" s="12" t="s">
        <v>408</v>
      </c>
      <c r="D207" s="12" t="s">
        <v>1410</v>
      </c>
      <c r="E207" s="12" t="s">
        <v>3330</v>
      </c>
      <c r="F207" s="12" t="s">
        <v>1809</v>
      </c>
      <c r="G207" s="12" t="s">
        <v>3331</v>
      </c>
      <c r="H207" s="12" t="s">
        <v>3332</v>
      </c>
      <c r="I207" s="12" t="s">
        <v>1749</v>
      </c>
      <c r="J207" s="12" t="s">
        <v>1506</v>
      </c>
      <c r="K207" s="12" t="s">
        <v>3204</v>
      </c>
      <c r="L207" s="12" t="s">
        <v>1749</v>
      </c>
      <c r="M207" s="12" t="s">
        <v>2062</v>
      </c>
    </row>
    <row r="208" spans="1:13" ht="14.4" x14ac:dyDescent="0.3">
      <c r="A208" s="12" t="s">
        <v>412</v>
      </c>
      <c r="B208" s="12" t="s">
        <v>411</v>
      </c>
      <c r="C208" s="12" t="s">
        <v>410</v>
      </c>
      <c r="D208" s="12" t="s">
        <v>1410</v>
      </c>
      <c r="E208" s="12" t="s">
        <v>3334</v>
      </c>
      <c r="F208" s="12" t="s">
        <v>3346</v>
      </c>
      <c r="G208" s="12" t="s">
        <v>3347</v>
      </c>
      <c r="H208" s="12" t="s">
        <v>3207</v>
      </c>
      <c r="I208" s="12" t="s">
        <v>3204</v>
      </c>
      <c r="J208" s="12" t="s">
        <v>1551</v>
      </c>
      <c r="K208" s="12" t="s">
        <v>1414</v>
      </c>
      <c r="L208" s="12" t="s">
        <v>2018</v>
      </c>
      <c r="M208" s="12" t="s">
        <v>2018</v>
      </c>
    </row>
    <row r="209" spans="1:13" ht="14.4" x14ac:dyDescent="0.3">
      <c r="A209" s="12" t="s">
        <v>19</v>
      </c>
      <c r="B209" s="12" t="s">
        <v>414</v>
      </c>
      <c r="C209" s="12" t="s">
        <v>413</v>
      </c>
      <c r="D209" s="12" t="s">
        <v>1410</v>
      </c>
      <c r="E209" s="12" t="s">
        <v>1977</v>
      </c>
      <c r="F209" s="12" t="s">
        <v>3469</v>
      </c>
      <c r="G209" s="12" t="s">
        <v>3470</v>
      </c>
      <c r="H209" s="12" t="s">
        <v>3213</v>
      </c>
      <c r="I209" s="12" t="s">
        <v>1414</v>
      </c>
      <c r="J209" s="12" t="s">
        <v>3204</v>
      </c>
      <c r="K209" s="12" t="s">
        <v>2018</v>
      </c>
      <c r="L209" s="12" t="s">
        <v>2018</v>
      </c>
      <c r="M209" s="12" t="s">
        <v>2018</v>
      </c>
    </row>
    <row r="210" spans="1:13" ht="14.4" x14ac:dyDescent="0.3">
      <c r="A210" s="12" t="s">
        <v>22</v>
      </c>
      <c r="B210" s="12" t="s">
        <v>416</v>
      </c>
      <c r="C210" s="12" t="s">
        <v>415</v>
      </c>
      <c r="D210" s="12" t="s">
        <v>1410</v>
      </c>
      <c r="E210" s="12" t="s">
        <v>3427</v>
      </c>
      <c r="F210" s="12" t="s">
        <v>1926</v>
      </c>
      <c r="G210" s="12" t="s">
        <v>3428</v>
      </c>
      <c r="H210" s="12" t="s">
        <v>3264</v>
      </c>
      <c r="I210" s="12" t="s">
        <v>2018</v>
      </c>
      <c r="J210" s="12" t="s">
        <v>1551</v>
      </c>
      <c r="K210" s="12" t="s">
        <v>2018</v>
      </c>
      <c r="L210" s="12" t="s">
        <v>1551</v>
      </c>
      <c r="M210" s="12" t="s">
        <v>2018</v>
      </c>
    </row>
    <row r="211" spans="1:13" ht="14.4" x14ac:dyDescent="0.3">
      <c r="A211" s="12" t="s">
        <v>49</v>
      </c>
      <c r="B211" s="12" t="s">
        <v>418</v>
      </c>
      <c r="C211" s="12" t="s">
        <v>417</v>
      </c>
      <c r="D211" s="12" t="s">
        <v>1410</v>
      </c>
      <c r="E211" s="12" t="s">
        <v>1832</v>
      </c>
      <c r="F211" s="12" t="s">
        <v>3366</v>
      </c>
      <c r="G211" s="12" t="s">
        <v>3367</v>
      </c>
      <c r="H211" s="12" t="s">
        <v>3368</v>
      </c>
      <c r="I211" s="12" t="s">
        <v>1414</v>
      </c>
      <c r="J211" s="12" t="s">
        <v>1414</v>
      </c>
      <c r="K211" s="12" t="s">
        <v>1551</v>
      </c>
      <c r="L211" s="12" t="s">
        <v>2018</v>
      </c>
      <c r="M211" s="12" t="s">
        <v>2018</v>
      </c>
    </row>
    <row r="212" spans="1:13" ht="14.4" x14ac:dyDescent="0.3">
      <c r="A212" s="12" t="s">
        <v>55</v>
      </c>
      <c r="B212" s="12" t="s">
        <v>418</v>
      </c>
      <c r="C212" s="12" t="s">
        <v>419</v>
      </c>
      <c r="D212" s="12" t="s">
        <v>1410</v>
      </c>
      <c r="E212" s="12" t="s">
        <v>3371</v>
      </c>
      <c r="F212" s="12" t="s">
        <v>3372</v>
      </c>
      <c r="G212" s="12" t="s">
        <v>3373</v>
      </c>
      <c r="H212" s="12" t="s">
        <v>3368</v>
      </c>
      <c r="I212" s="12" t="s">
        <v>1506</v>
      </c>
      <c r="J212" s="12" t="s">
        <v>2018</v>
      </c>
      <c r="K212" s="12" t="s">
        <v>1749</v>
      </c>
      <c r="L212" s="12" t="s">
        <v>1599</v>
      </c>
      <c r="M212" s="12" t="s">
        <v>1414</v>
      </c>
    </row>
    <row r="213" spans="1:13" ht="14.4" x14ac:dyDescent="0.3">
      <c r="A213" s="12" t="s">
        <v>25</v>
      </c>
      <c r="B213" s="12" t="s">
        <v>421</v>
      </c>
      <c r="C213" s="12" t="s">
        <v>420</v>
      </c>
      <c r="D213" s="12" t="s">
        <v>1410</v>
      </c>
      <c r="E213" s="12" t="s">
        <v>3403</v>
      </c>
      <c r="F213" s="12" t="s">
        <v>3404</v>
      </c>
      <c r="G213" s="12" t="s">
        <v>3122</v>
      </c>
      <c r="H213" s="12" t="s">
        <v>3294</v>
      </c>
      <c r="I213" s="12" t="s">
        <v>2018</v>
      </c>
      <c r="J213" s="12" t="s">
        <v>2018</v>
      </c>
      <c r="K213" s="12" t="s">
        <v>1551</v>
      </c>
      <c r="L213" s="12" t="s">
        <v>1599</v>
      </c>
      <c r="M213" s="12" t="s">
        <v>1414</v>
      </c>
    </row>
    <row r="214" spans="1:13" ht="14.4" x14ac:dyDescent="0.3">
      <c r="A214" s="12" t="s">
        <v>179</v>
      </c>
      <c r="B214" s="12" t="s">
        <v>423</v>
      </c>
      <c r="C214" s="12" t="s">
        <v>422</v>
      </c>
      <c r="D214" s="12" t="s">
        <v>1410</v>
      </c>
      <c r="E214" s="12" t="s">
        <v>3605</v>
      </c>
      <c r="F214" s="12" t="s">
        <v>2269</v>
      </c>
      <c r="G214" s="12" t="s">
        <v>3606</v>
      </c>
      <c r="H214" s="12" t="s">
        <v>1448</v>
      </c>
      <c r="I214" s="12" t="s">
        <v>2018</v>
      </c>
      <c r="J214" s="12" t="s">
        <v>1414</v>
      </c>
      <c r="K214" s="12" t="s">
        <v>1414</v>
      </c>
      <c r="L214" s="12" t="s">
        <v>2018</v>
      </c>
      <c r="M214" s="12" t="s">
        <v>1414</v>
      </c>
    </row>
    <row r="215" spans="1:13" ht="14.4" x14ac:dyDescent="0.3">
      <c r="A215" s="12" t="s">
        <v>19</v>
      </c>
      <c r="B215" s="12" t="s">
        <v>425</v>
      </c>
      <c r="C215" s="12" t="s">
        <v>424</v>
      </c>
      <c r="D215" s="12" t="s">
        <v>1410</v>
      </c>
      <c r="E215" s="12" t="s">
        <v>3400</v>
      </c>
      <c r="F215" s="12" t="s">
        <v>3405</v>
      </c>
      <c r="G215" s="12" t="s">
        <v>3406</v>
      </c>
      <c r="H215" s="12" t="s">
        <v>3271</v>
      </c>
      <c r="I215" s="12" t="s">
        <v>1414</v>
      </c>
      <c r="J215" s="12" t="s">
        <v>3204</v>
      </c>
      <c r="K215" s="12" t="s">
        <v>2062</v>
      </c>
      <c r="L215" s="12" t="s">
        <v>2018</v>
      </c>
      <c r="M215" s="12" t="s">
        <v>1551</v>
      </c>
    </row>
    <row r="216" spans="1:13" ht="14.4" x14ac:dyDescent="0.3">
      <c r="A216" s="12" t="s">
        <v>8</v>
      </c>
      <c r="B216" s="12" t="s">
        <v>427</v>
      </c>
      <c r="C216" s="12" t="s">
        <v>426</v>
      </c>
      <c r="D216" s="12" t="s">
        <v>1410</v>
      </c>
      <c r="E216" s="12" t="s">
        <v>3471</v>
      </c>
      <c r="F216" s="12" t="s">
        <v>3472</v>
      </c>
      <c r="G216" s="12" t="s">
        <v>3473</v>
      </c>
      <c r="H216" s="12" t="s">
        <v>3439</v>
      </c>
      <c r="I216" s="12" t="s">
        <v>1551</v>
      </c>
      <c r="J216" s="12" t="s">
        <v>2018</v>
      </c>
      <c r="K216" s="12" t="s">
        <v>2018</v>
      </c>
      <c r="L216" s="12" t="s">
        <v>2018</v>
      </c>
      <c r="M216" s="12" t="s">
        <v>2018</v>
      </c>
    </row>
    <row r="217" spans="1:13" ht="14.4" x14ac:dyDescent="0.3">
      <c r="A217" s="12" t="s">
        <v>430</v>
      </c>
      <c r="B217" s="12" t="s">
        <v>429</v>
      </c>
      <c r="C217" s="12" t="s">
        <v>428</v>
      </c>
      <c r="D217" s="12" t="s">
        <v>1410</v>
      </c>
      <c r="E217" s="12" t="s">
        <v>3086</v>
      </c>
      <c r="F217" s="12" t="s">
        <v>4308</v>
      </c>
      <c r="G217" s="12" t="s">
        <v>4309</v>
      </c>
      <c r="H217" s="12" t="s">
        <v>3294</v>
      </c>
      <c r="I217" s="12" t="s">
        <v>1506</v>
      </c>
      <c r="J217" s="12" t="s">
        <v>1599</v>
      </c>
      <c r="K217" s="12" t="s">
        <v>2062</v>
      </c>
      <c r="L217" s="12" t="s">
        <v>1551</v>
      </c>
      <c r="M217" s="12" t="s">
        <v>1599</v>
      </c>
    </row>
    <row r="218" spans="1:13" ht="14.4" x14ac:dyDescent="0.3">
      <c r="A218" s="12" t="s">
        <v>71</v>
      </c>
      <c r="B218" s="12" t="s">
        <v>432</v>
      </c>
      <c r="C218" s="12" t="s">
        <v>431</v>
      </c>
      <c r="D218" s="12" t="s">
        <v>1410</v>
      </c>
      <c r="E218" s="12" t="s">
        <v>3829</v>
      </c>
      <c r="F218" s="12" t="s">
        <v>3836</v>
      </c>
      <c r="G218" s="12" t="s">
        <v>3837</v>
      </c>
      <c r="H218" s="12" t="s">
        <v>3464</v>
      </c>
      <c r="I218" s="12" t="s">
        <v>2018</v>
      </c>
      <c r="J218" s="12" t="s">
        <v>2018</v>
      </c>
      <c r="K218" s="12" t="s">
        <v>2018</v>
      </c>
      <c r="L218" s="12" t="s">
        <v>2018</v>
      </c>
      <c r="M218" s="12" t="s">
        <v>2018</v>
      </c>
    </row>
    <row r="219" spans="1:13" ht="14.4" x14ac:dyDescent="0.3">
      <c r="A219" s="12" t="s">
        <v>31</v>
      </c>
      <c r="B219" s="12" t="s">
        <v>434</v>
      </c>
      <c r="C219" s="12" t="s">
        <v>433</v>
      </c>
      <c r="D219" s="12" t="s">
        <v>1410</v>
      </c>
      <c r="E219" s="12" t="s">
        <v>3430</v>
      </c>
      <c r="F219" s="12" t="s">
        <v>3431</v>
      </c>
      <c r="G219" s="12" t="s">
        <v>3432</v>
      </c>
      <c r="H219" s="12" t="s">
        <v>3258</v>
      </c>
      <c r="I219" s="12" t="s">
        <v>2018</v>
      </c>
      <c r="J219" s="12" t="s">
        <v>2018</v>
      </c>
      <c r="K219" s="12" t="s">
        <v>1599</v>
      </c>
      <c r="L219" s="12" t="s">
        <v>1551</v>
      </c>
      <c r="M219" s="12" t="s">
        <v>2018</v>
      </c>
    </row>
    <row r="220" spans="1:13" ht="14.4" x14ac:dyDescent="0.3">
      <c r="A220" s="12" t="s">
        <v>25</v>
      </c>
      <c r="B220" s="12" t="s">
        <v>436</v>
      </c>
      <c r="C220" s="12" t="s">
        <v>435</v>
      </c>
      <c r="D220" s="12" t="s">
        <v>1410</v>
      </c>
      <c r="E220" s="12" t="s">
        <v>3236</v>
      </c>
      <c r="F220" s="12" t="s">
        <v>3241</v>
      </c>
      <c r="G220" s="12" t="s">
        <v>3242</v>
      </c>
      <c r="H220" s="12" t="s">
        <v>3240</v>
      </c>
      <c r="I220" s="12" t="s">
        <v>1551</v>
      </c>
      <c r="J220" s="12" t="s">
        <v>1599</v>
      </c>
      <c r="K220" s="12" t="s">
        <v>2018</v>
      </c>
      <c r="L220" s="12" t="s">
        <v>2018</v>
      </c>
      <c r="M220" s="12" t="s">
        <v>1599</v>
      </c>
    </row>
    <row r="221" spans="1:13" ht="14.4" x14ac:dyDescent="0.3">
      <c r="A221" s="12" t="s">
        <v>170</v>
      </c>
      <c r="B221" s="12" t="s">
        <v>440</v>
      </c>
      <c r="C221" s="12" t="s">
        <v>439</v>
      </c>
      <c r="D221" s="12" t="s">
        <v>1410</v>
      </c>
      <c r="E221" s="12" t="s">
        <v>2714</v>
      </c>
      <c r="F221" s="12" t="s">
        <v>3972</v>
      </c>
      <c r="G221" s="12" t="s">
        <v>3973</v>
      </c>
      <c r="H221" s="12" t="s">
        <v>3234</v>
      </c>
      <c r="I221" s="12" t="s">
        <v>2018</v>
      </c>
      <c r="J221" s="12" t="s">
        <v>1551</v>
      </c>
      <c r="K221" s="12" t="s">
        <v>1599</v>
      </c>
      <c r="L221" s="12" t="s">
        <v>1599</v>
      </c>
      <c r="M221" s="12" t="s">
        <v>1551</v>
      </c>
    </row>
    <row r="222" spans="1:13" ht="14.4" x14ac:dyDescent="0.3">
      <c r="A222" s="12" t="s">
        <v>170</v>
      </c>
      <c r="B222" s="12" t="s">
        <v>442</v>
      </c>
      <c r="C222" s="12" t="s">
        <v>441</v>
      </c>
      <c r="D222" s="12" t="s">
        <v>1410</v>
      </c>
      <c r="E222" s="12" t="s">
        <v>6064</v>
      </c>
      <c r="F222" s="12" t="s">
        <v>6065</v>
      </c>
      <c r="G222" s="12" t="s">
        <v>1593</v>
      </c>
      <c r="H222" s="12" t="s">
        <v>3258</v>
      </c>
      <c r="I222" s="12" t="s">
        <v>1551</v>
      </c>
      <c r="J222" s="12" t="s">
        <v>2018</v>
      </c>
      <c r="K222" s="12" t="s">
        <v>1551</v>
      </c>
      <c r="L222" s="12" t="s">
        <v>1551</v>
      </c>
      <c r="M222" s="12" t="s">
        <v>2018</v>
      </c>
    </row>
    <row r="223" spans="1:13" ht="14.4" x14ac:dyDescent="0.3">
      <c r="A223" s="12" t="s">
        <v>31</v>
      </c>
      <c r="B223" s="12" t="s">
        <v>444</v>
      </c>
      <c r="C223" s="12" t="s">
        <v>443</v>
      </c>
      <c r="D223" s="12" t="s">
        <v>1410</v>
      </c>
      <c r="E223" s="12" t="s">
        <v>3566</v>
      </c>
      <c r="F223" s="12" t="s">
        <v>3567</v>
      </c>
      <c r="G223" s="12" t="s">
        <v>3568</v>
      </c>
      <c r="H223" s="12" t="s">
        <v>3439</v>
      </c>
      <c r="I223" s="12" t="s">
        <v>1551</v>
      </c>
      <c r="J223" s="12" t="s">
        <v>2018</v>
      </c>
      <c r="K223" s="12" t="s">
        <v>2018</v>
      </c>
      <c r="L223" s="12" t="s">
        <v>2018</v>
      </c>
      <c r="M223" s="12" t="s">
        <v>2018</v>
      </c>
    </row>
    <row r="224" spans="1:13" ht="14.4" x14ac:dyDescent="0.3">
      <c r="A224" s="12" t="s">
        <v>25</v>
      </c>
      <c r="B224" s="12" t="s">
        <v>446</v>
      </c>
      <c r="C224" s="12" t="s">
        <v>445</v>
      </c>
      <c r="D224" s="12" t="s">
        <v>1410</v>
      </c>
      <c r="E224" s="12" t="s">
        <v>3123</v>
      </c>
      <c r="F224" s="12" t="s">
        <v>4334</v>
      </c>
      <c r="G224" s="12" t="s">
        <v>2649</v>
      </c>
      <c r="H224" s="12" t="s">
        <v>3223</v>
      </c>
      <c r="I224" s="12" t="s">
        <v>1551</v>
      </c>
      <c r="J224" s="12" t="s">
        <v>1551</v>
      </c>
      <c r="K224" s="12" t="s">
        <v>2018</v>
      </c>
      <c r="L224" s="12" t="s">
        <v>1551</v>
      </c>
      <c r="M224" s="12" t="s">
        <v>1551</v>
      </c>
    </row>
    <row r="225" spans="1:13" ht="14.4" x14ac:dyDescent="0.3">
      <c r="A225" s="12" t="s">
        <v>8</v>
      </c>
      <c r="B225" s="12" t="s">
        <v>448</v>
      </c>
      <c r="C225" s="12" t="s">
        <v>447</v>
      </c>
      <c r="D225" s="12" t="s">
        <v>1410</v>
      </c>
      <c r="E225" s="12" t="s">
        <v>1956</v>
      </c>
      <c r="F225" s="12" t="s">
        <v>3455</v>
      </c>
      <c r="G225" s="12" t="s">
        <v>3456</v>
      </c>
      <c r="H225" s="12" t="s">
        <v>3240</v>
      </c>
      <c r="I225" s="12" t="s">
        <v>1551</v>
      </c>
      <c r="J225" s="12" t="s">
        <v>2018</v>
      </c>
      <c r="K225" s="12" t="s">
        <v>1506</v>
      </c>
      <c r="L225" s="12" t="s">
        <v>2018</v>
      </c>
      <c r="M225" s="12" t="s">
        <v>1551</v>
      </c>
    </row>
    <row r="226" spans="1:13" ht="14.4" x14ac:dyDescent="0.3">
      <c r="A226" s="12" t="s">
        <v>123</v>
      </c>
      <c r="B226" s="12" t="s">
        <v>450</v>
      </c>
      <c r="C226" s="12" t="s">
        <v>449</v>
      </c>
      <c r="D226" s="12" t="s">
        <v>1410</v>
      </c>
      <c r="E226" s="12" t="s">
        <v>6066</v>
      </c>
      <c r="F226" s="12" t="s">
        <v>6067</v>
      </c>
      <c r="G226" s="12" t="s">
        <v>6068</v>
      </c>
      <c r="H226" s="12" t="s">
        <v>3439</v>
      </c>
      <c r="I226" s="12" t="s">
        <v>2018</v>
      </c>
      <c r="J226" s="12" t="s">
        <v>1551</v>
      </c>
      <c r="K226" s="12" t="s">
        <v>2018</v>
      </c>
      <c r="L226" s="12" t="s">
        <v>2018</v>
      </c>
      <c r="M226" s="12" t="s">
        <v>2018</v>
      </c>
    </row>
    <row r="227" spans="1:13" ht="14.4" x14ac:dyDescent="0.3">
      <c r="A227" s="12" t="s">
        <v>1070</v>
      </c>
      <c r="B227" s="12" t="s">
        <v>5505</v>
      </c>
      <c r="C227" s="12" t="s">
        <v>451</v>
      </c>
      <c r="D227" s="12" t="s">
        <v>1410</v>
      </c>
      <c r="E227" s="12" t="s">
        <v>2006</v>
      </c>
      <c r="F227" s="12" t="s">
        <v>3474</v>
      </c>
      <c r="G227" s="12" t="s">
        <v>3475</v>
      </c>
      <c r="H227" s="12" t="s">
        <v>3264</v>
      </c>
      <c r="I227" s="12" t="s">
        <v>2018</v>
      </c>
      <c r="J227" s="12" t="s">
        <v>1551</v>
      </c>
      <c r="K227" s="12" t="s">
        <v>1551</v>
      </c>
      <c r="L227" s="12" t="s">
        <v>2018</v>
      </c>
      <c r="M227" s="12" t="s">
        <v>2018</v>
      </c>
    </row>
    <row r="228" spans="1:13" ht="14.4" x14ac:dyDescent="0.3">
      <c r="A228" s="12" t="s">
        <v>19</v>
      </c>
      <c r="B228" s="12" t="s">
        <v>454</v>
      </c>
      <c r="C228" s="12" t="s">
        <v>453</v>
      </c>
      <c r="D228" s="12" t="s">
        <v>1410</v>
      </c>
      <c r="E228" s="12" t="s">
        <v>3809</v>
      </c>
      <c r="F228" s="12" t="s">
        <v>3810</v>
      </c>
      <c r="G228" s="12" t="s">
        <v>3811</v>
      </c>
      <c r="H228" s="12" t="s">
        <v>3207</v>
      </c>
      <c r="I228" s="12" t="s">
        <v>1506</v>
      </c>
      <c r="J228" s="12" t="s">
        <v>1749</v>
      </c>
      <c r="K228" s="12" t="s">
        <v>1599</v>
      </c>
      <c r="L228" s="12" t="s">
        <v>1599</v>
      </c>
      <c r="M228" s="12" t="s">
        <v>1599</v>
      </c>
    </row>
    <row r="229" spans="1:13" ht="14.4" x14ac:dyDescent="0.3">
      <c r="A229" s="12" t="s">
        <v>8</v>
      </c>
      <c r="B229" s="12" t="s">
        <v>458</v>
      </c>
      <c r="C229" s="12" t="s">
        <v>457</v>
      </c>
      <c r="D229" s="12" t="s">
        <v>1410</v>
      </c>
      <c r="E229" s="12" t="s">
        <v>3440</v>
      </c>
      <c r="F229" s="12" t="s">
        <v>3441</v>
      </c>
      <c r="G229" s="12" t="s">
        <v>3442</v>
      </c>
      <c r="H229" s="12" t="s">
        <v>3246</v>
      </c>
      <c r="I229" s="12" t="s">
        <v>2062</v>
      </c>
      <c r="J229" s="12" t="s">
        <v>2018</v>
      </c>
      <c r="K229" s="12" t="s">
        <v>2018</v>
      </c>
      <c r="L229" s="12" t="s">
        <v>1551</v>
      </c>
      <c r="M229" s="12" t="s">
        <v>1551</v>
      </c>
    </row>
    <row r="230" spans="1:13" ht="14.4" x14ac:dyDescent="0.3">
      <c r="A230" s="12" t="s">
        <v>8</v>
      </c>
      <c r="B230" s="12" t="s">
        <v>5506</v>
      </c>
      <c r="C230" s="12" t="s">
        <v>5507</v>
      </c>
      <c r="D230" s="12" t="s">
        <v>1410</v>
      </c>
      <c r="E230" s="12" t="s">
        <v>6069</v>
      </c>
      <c r="F230" s="12" t="s">
        <v>6070</v>
      </c>
      <c r="G230" s="12" t="s">
        <v>6071</v>
      </c>
      <c r="H230" s="12" t="s">
        <v>3294</v>
      </c>
      <c r="I230" s="12" t="s">
        <v>2062</v>
      </c>
      <c r="J230" s="12" t="s">
        <v>1506</v>
      </c>
      <c r="K230" s="12" t="s">
        <v>1599</v>
      </c>
      <c r="L230" s="12" t="s">
        <v>1599</v>
      </c>
      <c r="M230" s="12" t="s">
        <v>1551</v>
      </c>
    </row>
    <row r="231" spans="1:13" ht="14.4" x14ac:dyDescent="0.3">
      <c r="A231" s="12" t="s">
        <v>11</v>
      </c>
      <c r="B231" s="12" t="s">
        <v>460</v>
      </c>
      <c r="C231" s="12" t="s">
        <v>459</v>
      </c>
      <c r="D231" s="12" t="s">
        <v>1410</v>
      </c>
      <c r="E231" s="12" t="s">
        <v>3219</v>
      </c>
      <c r="F231" s="12" t="s">
        <v>1479</v>
      </c>
      <c r="G231" s="12" t="s">
        <v>3220</v>
      </c>
      <c r="H231" s="12" t="s">
        <v>1414</v>
      </c>
      <c r="I231" s="12" t="s">
        <v>1414</v>
      </c>
      <c r="J231" s="12" t="s">
        <v>1414</v>
      </c>
      <c r="K231" s="12" t="s">
        <v>1414</v>
      </c>
      <c r="L231" s="12" t="s">
        <v>1414</v>
      </c>
      <c r="M231" s="12" t="s">
        <v>1414</v>
      </c>
    </row>
    <row r="232" spans="1:13" ht="14.4" x14ac:dyDescent="0.3">
      <c r="A232" s="12" t="s">
        <v>42</v>
      </c>
      <c r="B232" s="12" t="s">
        <v>462</v>
      </c>
      <c r="C232" s="12" t="s">
        <v>461</v>
      </c>
      <c r="D232" s="12" t="s">
        <v>1410</v>
      </c>
      <c r="E232" s="12" t="s">
        <v>3291</v>
      </c>
      <c r="F232" s="12" t="s">
        <v>3292</v>
      </c>
      <c r="G232" s="12" t="s">
        <v>3293</v>
      </c>
      <c r="H232" s="12" t="s">
        <v>3294</v>
      </c>
      <c r="I232" s="12" t="s">
        <v>1506</v>
      </c>
      <c r="J232" s="12" t="s">
        <v>1506</v>
      </c>
      <c r="K232" s="12" t="s">
        <v>1506</v>
      </c>
      <c r="L232" s="12" t="s">
        <v>1599</v>
      </c>
      <c r="M232" s="12" t="s">
        <v>1599</v>
      </c>
    </row>
    <row r="233" spans="1:13" ht="14.4" x14ac:dyDescent="0.3">
      <c r="A233" s="12" t="s">
        <v>123</v>
      </c>
      <c r="B233" s="12" t="s">
        <v>464</v>
      </c>
      <c r="C233" s="12" t="s">
        <v>463</v>
      </c>
      <c r="D233" s="12" t="s">
        <v>1410</v>
      </c>
      <c r="E233" s="12" t="s">
        <v>3652</v>
      </c>
      <c r="F233" s="12" t="s">
        <v>3653</v>
      </c>
      <c r="G233" s="12" t="s">
        <v>3654</v>
      </c>
      <c r="H233" s="12" t="s">
        <v>3223</v>
      </c>
      <c r="I233" s="12" t="s">
        <v>1599</v>
      </c>
      <c r="J233" s="12" t="s">
        <v>2018</v>
      </c>
      <c r="K233" s="12" t="s">
        <v>1551</v>
      </c>
      <c r="L233" s="12" t="s">
        <v>2018</v>
      </c>
      <c r="M233" s="12" t="s">
        <v>1551</v>
      </c>
    </row>
    <row r="234" spans="1:13" ht="14.4" x14ac:dyDescent="0.3">
      <c r="A234" s="12" t="s">
        <v>170</v>
      </c>
      <c r="B234" s="12" t="s">
        <v>466</v>
      </c>
      <c r="C234" s="12" t="s">
        <v>465</v>
      </c>
      <c r="D234" s="12" t="s">
        <v>1410</v>
      </c>
      <c r="E234" s="12" t="s">
        <v>3594</v>
      </c>
      <c r="F234" s="12" t="s">
        <v>3595</v>
      </c>
      <c r="G234" s="12" t="s">
        <v>3576</v>
      </c>
      <c r="H234" s="12" t="s">
        <v>3294</v>
      </c>
      <c r="I234" s="12" t="s">
        <v>1599</v>
      </c>
      <c r="J234" s="12" t="s">
        <v>1599</v>
      </c>
      <c r="K234" s="12" t="s">
        <v>2018</v>
      </c>
      <c r="L234" s="12" t="s">
        <v>2018</v>
      </c>
      <c r="M234" s="12" t="s">
        <v>1420</v>
      </c>
    </row>
    <row r="235" spans="1:13" ht="14.4" x14ac:dyDescent="0.3">
      <c r="A235" s="12" t="s">
        <v>55</v>
      </c>
      <c r="B235" s="12" t="s">
        <v>468</v>
      </c>
      <c r="C235" s="12" t="s">
        <v>467</v>
      </c>
      <c r="D235" s="12" t="s">
        <v>1410</v>
      </c>
      <c r="E235" s="12" t="s">
        <v>1979</v>
      </c>
      <c r="F235" s="12" t="s">
        <v>3453</v>
      </c>
      <c r="G235" s="12" t="s">
        <v>3454</v>
      </c>
      <c r="H235" s="12" t="s">
        <v>3203</v>
      </c>
      <c r="I235" s="12" t="s">
        <v>1506</v>
      </c>
      <c r="J235" s="12" t="s">
        <v>2018</v>
      </c>
      <c r="K235" s="12" t="s">
        <v>3204</v>
      </c>
      <c r="L235" s="12" t="s">
        <v>1551</v>
      </c>
      <c r="M235" s="12" t="s">
        <v>1551</v>
      </c>
    </row>
    <row r="236" spans="1:13" ht="14.4" x14ac:dyDescent="0.3">
      <c r="A236" s="12" t="s">
        <v>471</v>
      </c>
      <c r="B236" s="12" t="s">
        <v>470</v>
      </c>
      <c r="C236" s="12" t="s">
        <v>469</v>
      </c>
      <c r="D236" s="12" t="s">
        <v>1410</v>
      </c>
      <c r="E236" s="12" t="s">
        <v>3221</v>
      </c>
      <c r="F236" s="12" t="s">
        <v>1486</v>
      </c>
      <c r="G236" s="12" t="s">
        <v>3222</v>
      </c>
      <c r="H236" s="12" t="s">
        <v>3223</v>
      </c>
      <c r="I236" s="12" t="s">
        <v>2018</v>
      </c>
      <c r="J236" s="12" t="s">
        <v>2018</v>
      </c>
      <c r="K236" s="12" t="s">
        <v>1506</v>
      </c>
      <c r="L236" s="12" t="s">
        <v>1551</v>
      </c>
      <c r="M236" s="12" t="s">
        <v>2018</v>
      </c>
    </row>
    <row r="237" spans="1:13" ht="14.4" x14ac:dyDescent="0.3">
      <c r="A237" s="12" t="s">
        <v>25</v>
      </c>
      <c r="B237" s="12" t="s">
        <v>5528</v>
      </c>
      <c r="C237" s="12" t="s">
        <v>5529</v>
      </c>
      <c r="D237" s="12" t="s">
        <v>1410</v>
      </c>
      <c r="E237" s="12" t="s">
        <v>6072</v>
      </c>
      <c r="F237" s="12" t="s">
        <v>6073</v>
      </c>
      <c r="G237" s="12" t="s">
        <v>4301</v>
      </c>
      <c r="H237" s="12" t="s">
        <v>3464</v>
      </c>
      <c r="I237" s="12" t="s">
        <v>2018</v>
      </c>
      <c r="J237" s="12" t="s">
        <v>2018</v>
      </c>
      <c r="K237" s="12" t="s">
        <v>2018</v>
      </c>
      <c r="L237" s="12" t="s">
        <v>2018</v>
      </c>
      <c r="M237" s="12" t="s">
        <v>2018</v>
      </c>
    </row>
    <row r="238" spans="1:13" ht="14.4" x14ac:dyDescent="0.3">
      <c r="A238" s="12" t="s">
        <v>8</v>
      </c>
      <c r="B238" s="12" t="s">
        <v>473</v>
      </c>
      <c r="C238" s="12" t="s">
        <v>472</v>
      </c>
      <c r="D238" s="12" t="s">
        <v>1410</v>
      </c>
      <c r="E238" s="12" t="s">
        <v>3562</v>
      </c>
      <c r="F238" s="12" t="s">
        <v>3580</v>
      </c>
      <c r="G238" s="12" t="s">
        <v>3581</v>
      </c>
      <c r="H238" s="12" t="s">
        <v>3210</v>
      </c>
      <c r="I238" s="12" t="s">
        <v>1551</v>
      </c>
      <c r="J238" s="12" t="s">
        <v>1506</v>
      </c>
      <c r="K238" s="12" t="s">
        <v>2018</v>
      </c>
      <c r="L238" s="12" t="s">
        <v>1551</v>
      </c>
      <c r="M238" s="12" t="s">
        <v>1506</v>
      </c>
    </row>
    <row r="239" spans="1:13" ht="14.4" x14ac:dyDescent="0.3">
      <c r="A239" s="12" t="s">
        <v>42</v>
      </c>
      <c r="B239" s="12" t="s">
        <v>475</v>
      </c>
      <c r="C239" s="12" t="s">
        <v>474</v>
      </c>
      <c r="D239" s="12" t="s">
        <v>1410</v>
      </c>
      <c r="E239" s="12" t="s">
        <v>3487</v>
      </c>
      <c r="F239" s="12" t="s">
        <v>3488</v>
      </c>
      <c r="G239" s="12" t="s">
        <v>1761</v>
      </c>
      <c r="H239" s="12" t="s">
        <v>3258</v>
      </c>
      <c r="I239" s="12" t="s">
        <v>1551</v>
      </c>
      <c r="J239" s="12" t="s">
        <v>1551</v>
      </c>
      <c r="K239" s="12" t="s">
        <v>2018</v>
      </c>
      <c r="L239" s="12" t="s">
        <v>1551</v>
      </c>
      <c r="M239" s="12" t="s">
        <v>2018</v>
      </c>
    </row>
    <row r="240" spans="1:13" ht="14.4" x14ac:dyDescent="0.3">
      <c r="A240" s="12" t="s">
        <v>8</v>
      </c>
      <c r="B240" s="12" t="s">
        <v>477</v>
      </c>
      <c r="C240" s="12" t="s">
        <v>476</v>
      </c>
      <c r="D240" s="12" t="s">
        <v>1410</v>
      </c>
      <c r="E240" s="12" t="s">
        <v>3557</v>
      </c>
      <c r="F240" s="12" t="s">
        <v>2235</v>
      </c>
      <c r="G240" s="12" t="s">
        <v>3558</v>
      </c>
      <c r="H240" s="12" t="s">
        <v>3439</v>
      </c>
      <c r="I240" s="12" t="s">
        <v>1551</v>
      </c>
      <c r="J240" s="12" t="s">
        <v>2018</v>
      </c>
      <c r="K240" s="12" t="s">
        <v>2018</v>
      </c>
      <c r="L240" s="12" t="s">
        <v>2018</v>
      </c>
      <c r="M240" s="12" t="s">
        <v>2018</v>
      </c>
    </row>
    <row r="241" spans="1:13" ht="14.4" x14ac:dyDescent="0.3">
      <c r="A241" s="12" t="s">
        <v>42</v>
      </c>
      <c r="B241" s="12" t="s">
        <v>479</v>
      </c>
      <c r="C241" s="12" t="s">
        <v>478</v>
      </c>
      <c r="D241" s="12" t="s">
        <v>1410</v>
      </c>
      <c r="E241" s="12" t="s">
        <v>3991</v>
      </c>
      <c r="F241" s="12" t="s">
        <v>3992</v>
      </c>
      <c r="G241" s="12" t="s">
        <v>3993</v>
      </c>
      <c r="H241" s="12" t="s">
        <v>3240</v>
      </c>
      <c r="I241" s="12" t="s">
        <v>1599</v>
      </c>
      <c r="J241" s="12" t="s">
        <v>1551</v>
      </c>
      <c r="K241" s="12" t="s">
        <v>2018</v>
      </c>
      <c r="L241" s="12" t="s">
        <v>2018</v>
      </c>
      <c r="M241" s="12" t="s">
        <v>1599</v>
      </c>
    </row>
    <row r="242" spans="1:13" ht="14.4" x14ac:dyDescent="0.3">
      <c r="A242" s="12" t="s">
        <v>55</v>
      </c>
      <c r="B242" s="12" t="s">
        <v>481</v>
      </c>
      <c r="C242" s="12" t="s">
        <v>480</v>
      </c>
      <c r="D242" s="12" t="s">
        <v>1456</v>
      </c>
      <c r="E242" s="12" t="s">
        <v>3489</v>
      </c>
      <c r="F242" s="12" t="s">
        <v>1415</v>
      </c>
      <c r="G242" s="12" t="s">
        <v>1415</v>
      </c>
      <c r="H242" s="12" t="s">
        <v>1415</v>
      </c>
      <c r="I242" s="12" t="s">
        <v>1415</v>
      </c>
      <c r="J242" s="12" t="s">
        <v>1415</v>
      </c>
      <c r="K242" s="12" t="s">
        <v>1415</v>
      </c>
      <c r="L242" s="12" t="s">
        <v>1415</v>
      </c>
      <c r="M242" s="12" t="s">
        <v>1415</v>
      </c>
    </row>
    <row r="243" spans="1:13" ht="14.4" x14ac:dyDescent="0.3">
      <c r="A243" s="12" t="s">
        <v>8</v>
      </c>
      <c r="B243" s="12" t="s">
        <v>5553</v>
      </c>
      <c r="C243" s="12" t="s">
        <v>5554</v>
      </c>
      <c r="D243" s="12" t="s">
        <v>1410</v>
      </c>
      <c r="E243" s="12" t="s">
        <v>6074</v>
      </c>
      <c r="F243" s="12" t="s">
        <v>6075</v>
      </c>
      <c r="G243" s="12" t="s">
        <v>1509</v>
      </c>
      <c r="H243" s="12" t="s">
        <v>3210</v>
      </c>
      <c r="I243" s="12" t="s">
        <v>1551</v>
      </c>
      <c r="J243" s="12" t="s">
        <v>1506</v>
      </c>
      <c r="K243" s="12" t="s">
        <v>1506</v>
      </c>
      <c r="L243" s="12" t="s">
        <v>1551</v>
      </c>
      <c r="M243" s="12" t="s">
        <v>2018</v>
      </c>
    </row>
    <row r="244" spans="1:13" ht="14.4" x14ac:dyDescent="0.3">
      <c r="A244" s="12" t="s">
        <v>31</v>
      </c>
      <c r="B244" s="12" t="s">
        <v>5549</v>
      </c>
      <c r="C244" s="12" t="s">
        <v>5550</v>
      </c>
      <c r="D244" s="12" t="s">
        <v>1410</v>
      </c>
      <c r="E244" s="12" t="s">
        <v>6076</v>
      </c>
      <c r="F244" s="12" t="s">
        <v>6077</v>
      </c>
      <c r="G244" s="12" t="s">
        <v>6078</v>
      </c>
      <c r="H244" s="12" t="s">
        <v>3439</v>
      </c>
      <c r="I244" s="12" t="s">
        <v>1551</v>
      </c>
      <c r="J244" s="12" t="s">
        <v>2018</v>
      </c>
      <c r="K244" s="12" t="s">
        <v>2018</v>
      </c>
      <c r="L244" s="12" t="s">
        <v>2018</v>
      </c>
      <c r="M244" s="12" t="s">
        <v>2018</v>
      </c>
    </row>
    <row r="245" spans="1:13" ht="14.4" x14ac:dyDescent="0.3">
      <c r="A245" s="12" t="s">
        <v>11</v>
      </c>
      <c r="B245" s="12" t="s">
        <v>483</v>
      </c>
      <c r="C245" s="12" t="s">
        <v>482</v>
      </c>
      <c r="D245" s="12" t="s">
        <v>1410</v>
      </c>
      <c r="E245" s="12" t="s">
        <v>3266</v>
      </c>
      <c r="F245" s="12" t="s">
        <v>3267</v>
      </c>
      <c r="G245" s="12" t="s">
        <v>3268</v>
      </c>
      <c r="H245" s="12" t="s">
        <v>3269</v>
      </c>
      <c r="I245" s="12" t="s">
        <v>3204</v>
      </c>
      <c r="J245" s="12" t="s">
        <v>2018</v>
      </c>
      <c r="K245" s="12" t="s">
        <v>3204</v>
      </c>
      <c r="L245" s="12" t="s">
        <v>2018</v>
      </c>
      <c r="M245" s="12" t="s">
        <v>1414</v>
      </c>
    </row>
    <row r="246" spans="1:13" ht="14.4" x14ac:dyDescent="0.3">
      <c r="A246" s="12" t="s">
        <v>11</v>
      </c>
      <c r="B246" s="12" t="s">
        <v>483</v>
      </c>
      <c r="C246" s="12" t="s">
        <v>482</v>
      </c>
      <c r="D246" s="12" t="s">
        <v>1410</v>
      </c>
      <c r="E246" s="12" t="s">
        <v>3285</v>
      </c>
      <c r="F246" s="12" t="s">
        <v>3286</v>
      </c>
      <c r="G246" s="12" t="s">
        <v>3287</v>
      </c>
      <c r="H246" s="12" t="s">
        <v>3223</v>
      </c>
      <c r="I246" s="12" t="s">
        <v>1599</v>
      </c>
      <c r="J246" s="12" t="s">
        <v>1551</v>
      </c>
      <c r="K246" s="12" t="s">
        <v>2018</v>
      </c>
      <c r="L246" s="12" t="s">
        <v>1551</v>
      </c>
      <c r="M246" s="12" t="s">
        <v>2018</v>
      </c>
    </row>
    <row r="247" spans="1:13" ht="14.4" x14ac:dyDescent="0.3">
      <c r="A247" s="12" t="s">
        <v>55</v>
      </c>
      <c r="B247" s="12" t="s">
        <v>5558</v>
      </c>
      <c r="C247" s="12" t="s">
        <v>5559</v>
      </c>
      <c r="D247" s="12" t="s">
        <v>1410</v>
      </c>
      <c r="E247" s="12" t="s">
        <v>6079</v>
      </c>
      <c r="F247" s="12" t="s">
        <v>6080</v>
      </c>
      <c r="G247" s="12" t="s">
        <v>6081</v>
      </c>
      <c r="H247" s="12" t="s">
        <v>3223</v>
      </c>
      <c r="I247" s="12" t="s">
        <v>1551</v>
      </c>
      <c r="J247" s="12" t="s">
        <v>1551</v>
      </c>
      <c r="K247" s="12" t="s">
        <v>2018</v>
      </c>
      <c r="L247" s="12" t="s">
        <v>1599</v>
      </c>
      <c r="M247" s="12" t="s">
        <v>2018</v>
      </c>
    </row>
    <row r="248" spans="1:13" ht="14.4" x14ac:dyDescent="0.3">
      <c r="A248" s="12" t="s">
        <v>31</v>
      </c>
      <c r="B248" s="12" t="s">
        <v>485</v>
      </c>
      <c r="C248" s="12" t="s">
        <v>484</v>
      </c>
      <c r="D248" s="12" t="s">
        <v>1410</v>
      </c>
      <c r="E248" s="12" t="s">
        <v>2356</v>
      </c>
      <c r="F248" s="12" t="s">
        <v>3662</v>
      </c>
      <c r="G248" s="12" t="s">
        <v>3663</v>
      </c>
      <c r="H248" s="12" t="s">
        <v>3223</v>
      </c>
      <c r="I248" s="12" t="s">
        <v>1599</v>
      </c>
      <c r="J248" s="12" t="s">
        <v>2018</v>
      </c>
      <c r="K248" s="12" t="s">
        <v>1599</v>
      </c>
      <c r="L248" s="12" t="s">
        <v>2018</v>
      </c>
      <c r="M248" s="12" t="s">
        <v>2018</v>
      </c>
    </row>
    <row r="249" spans="1:13" ht="14.4" x14ac:dyDescent="0.3">
      <c r="A249" s="12" t="s">
        <v>8</v>
      </c>
      <c r="B249" s="12" t="s">
        <v>487</v>
      </c>
      <c r="C249" s="12" t="s">
        <v>486</v>
      </c>
      <c r="D249" s="12" t="s">
        <v>1410</v>
      </c>
      <c r="E249" s="12" t="s">
        <v>3687</v>
      </c>
      <c r="F249" s="12" t="s">
        <v>3688</v>
      </c>
      <c r="G249" s="12" t="s">
        <v>3689</v>
      </c>
      <c r="H249" s="12" t="s">
        <v>3223</v>
      </c>
      <c r="I249" s="12" t="s">
        <v>2018</v>
      </c>
      <c r="J249" s="12" t="s">
        <v>2018</v>
      </c>
      <c r="K249" s="12" t="s">
        <v>1551</v>
      </c>
      <c r="L249" s="12" t="s">
        <v>1599</v>
      </c>
      <c r="M249" s="12" t="s">
        <v>1551</v>
      </c>
    </row>
    <row r="250" spans="1:13" ht="14.4" x14ac:dyDescent="0.3">
      <c r="A250" s="12" t="s">
        <v>490</v>
      </c>
      <c r="B250" s="12" t="s">
        <v>489</v>
      </c>
      <c r="C250" s="12" t="s">
        <v>488</v>
      </c>
      <c r="D250" s="12" t="s">
        <v>1410</v>
      </c>
      <c r="E250" s="12" t="s">
        <v>2356</v>
      </c>
      <c r="F250" s="12" t="s">
        <v>3660</v>
      </c>
      <c r="G250" s="12" t="s">
        <v>3661</v>
      </c>
      <c r="H250" s="12" t="s">
        <v>3223</v>
      </c>
      <c r="I250" s="12" t="s">
        <v>2018</v>
      </c>
      <c r="J250" s="12" t="s">
        <v>1551</v>
      </c>
      <c r="K250" s="12" t="s">
        <v>1551</v>
      </c>
      <c r="L250" s="12" t="s">
        <v>1551</v>
      </c>
      <c r="M250" s="12" t="s">
        <v>1551</v>
      </c>
    </row>
    <row r="251" spans="1:13" ht="14.4" x14ac:dyDescent="0.3">
      <c r="A251" s="12" t="s">
        <v>31</v>
      </c>
      <c r="B251" s="12" t="s">
        <v>492</v>
      </c>
      <c r="C251" s="12" t="s">
        <v>491</v>
      </c>
      <c r="D251" s="12" t="s">
        <v>1410</v>
      </c>
      <c r="E251" s="12" t="s">
        <v>3243</v>
      </c>
      <c r="F251" s="12" t="s">
        <v>3244</v>
      </c>
      <c r="G251" s="12" t="s">
        <v>3245</v>
      </c>
      <c r="H251" s="12" t="s">
        <v>3246</v>
      </c>
      <c r="I251" s="12" t="s">
        <v>2062</v>
      </c>
      <c r="J251" s="12" t="s">
        <v>1599</v>
      </c>
      <c r="K251" s="12" t="s">
        <v>2018</v>
      </c>
      <c r="L251" s="12" t="s">
        <v>2018</v>
      </c>
      <c r="M251" s="12" t="s">
        <v>2018</v>
      </c>
    </row>
    <row r="252" spans="1:13" ht="14.4" x14ac:dyDescent="0.3">
      <c r="A252" s="12" t="s">
        <v>31</v>
      </c>
      <c r="B252" s="12" t="s">
        <v>5566</v>
      </c>
      <c r="C252" s="12" t="s">
        <v>5567</v>
      </c>
      <c r="D252" s="12" t="s">
        <v>1410</v>
      </c>
      <c r="E252" s="12" t="s">
        <v>6082</v>
      </c>
      <c r="F252" s="12" t="s">
        <v>6083</v>
      </c>
      <c r="G252" s="12" t="s">
        <v>6084</v>
      </c>
      <c r="H252" s="12" t="s">
        <v>3234</v>
      </c>
      <c r="I252" s="12" t="s">
        <v>1599</v>
      </c>
      <c r="J252" s="12" t="s">
        <v>2018</v>
      </c>
      <c r="K252" s="12" t="s">
        <v>1551</v>
      </c>
      <c r="L252" s="12" t="s">
        <v>1506</v>
      </c>
      <c r="M252" s="12" t="s">
        <v>2018</v>
      </c>
    </row>
    <row r="253" spans="1:13" ht="14.4" x14ac:dyDescent="0.3">
      <c r="A253" s="12" t="s">
        <v>22</v>
      </c>
      <c r="B253" s="12" t="s">
        <v>494</v>
      </c>
      <c r="C253" s="12" t="s">
        <v>493</v>
      </c>
      <c r="D253" s="12" t="s">
        <v>1410</v>
      </c>
      <c r="E253" s="12" t="s">
        <v>4284</v>
      </c>
      <c r="F253" s="12" t="s">
        <v>4285</v>
      </c>
      <c r="G253" s="12" t="s">
        <v>3939</v>
      </c>
      <c r="H253" s="12" t="s">
        <v>3271</v>
      </c>
      <c r="I253" s="12" t="s">
        <v>3204</v>
      </c>
      <c r="J253" s="12" t="s">
        <v>2062</v>
      </c>
      <c r="K253" s="12" t="s">
        <v>1599</v>
      </c>
      <c r="L253" s="12" t="s">
        <v>1506</v>
      </c>
      <c r="M253" s="12" t="s">
        <v>1749</v>
      </c>
    </row>
    <row r="254" spans="1:13" ht="14.4" x14ac:dyDescent="0.3">
      <c r="A254" s="12" t="s">
        <v>499</v>
      </c>
      <c r="B254" s="12" t="s">
        <v>498</v>
      </c>
      <c r="C254" s="12" t="s">
        <v>497</v>
      </c>
      <c r="D254" s="12" t="s">
        <v>1410</v>
      </c>
      <c r="E254" s="12" t="s">
        <v>3231</v>
      </c>
      <c r="F254" s="12" t="s">
        <v>3232</v>
      </c>
      <c r="G254" s="12" t="s">
        <v>3233</v>
      </c>
      <c r="H254" s="12" t="s">
        <v>3234</v>
      </c>
      <c r="I254" s="12" t="s">
        <v>2018</v>
      </c>
      <c r="J254" s="12" t="s">
        <v>1599</v>
      </c>
      <c r="K254" s="12" t="s">
        <v>1599</v>
      </c>
      <c r="L254" s="12" t="s">
        <v>1599</v>
      </c>
      <c r="M254" s="12" t="s">
        <v>2018</v>
      </c>
    </row>
    <row r="255" spans="1:13" ht="14.4" x14ac:dyDescent="0.3">
      <c r="A255" s="12" t="s">
        <v>42</v>
      </c>
      <c r="B255" s="12" t="s">
        <v>5578</v>
      </c>
      <c r="C255" s="12" t="s">
        <v>5579</v>
      </c>
      <c r="D255" s="12" t="s">
        <v>1410</v>
      </c>
      <c r="E255" s="12" t="s">
        <v>5784</v>
      </c>
      <c r="F255" s="12" t="s">
        <v>5749</v>
      </c>
      <c r="G255" s="12" t="s">
        <v>2474</v>
      </c>
      <c r="H255" s="12" t="s">
        <v>3246</v>
      </c>
      <c r="I255" s="12" t="s">
        <v>1551</v>
      </c>
      <c r="J255" s="12" t="s">
        <v>1506</v>
      </c>
      <c r="K255" s="12" t="s">
        <v>1599</v>
      </c>
      <c r="L255" s="12" t="s">
        <v>2018</v>
      </c>
      <c r="M255" s="12" t="s">
        <v>1551</v>
      </c>
    </row>
    <row r="256" spans="1:13" ht="14.4" x14ac:dyDescent="0.3">
      <c r="A256" s="12" t="s">
        <v>49</v>
      </c>
      <c r="B256" s="12" t="s">
        <v>501</v>
      </c>
      <c r="C256" s="12" t="s">
        <v>500</v>
      </c>
      <c r="D256" s="12" t="s">
        <v>1410</v>
      </c>
      <c r="E256" s="12" t="s">
        <v>3425</v>
      </c>
      <c r="F256" s="12" t="s">
        <v>3426</v>
      </c>
      <c r="G256" s="12" t="s">
        <v>3268</v>
      </c>
      <c r="H256" s="12" t="s">
        <v>1414</v>
      </c>
      <c r="I256" s="12" t="s">
        <v>1414</v>
      </c>
      <c r="J256" s="12" t="s">
        <v>1414</v>
      </c>
      <c r="K256" s="12" t="s">
        <v>1414</v>
      </c>
      <c r="L256" s="12" t="s">
        <v>1414</v>
      </c>
      <c r="M256" s="12" t="s">
        <v>1414</v>
      </c>
    </row>
    <row r="257" spans="1:13" ht="14.4" x14ac:dyDescent="0.3">
      <c r="A257" s="12" t="s">
        <v>49</v>
      </c>
      <c r="B257" s="12" t="s">
        <v>501</v>
      </c>
      <c r="C257" s="12" t="s">
        <v>500</v>
      </c>
      <c r="D257" s="12" t="s">
        <v>1410</v>
      </c>
      <c r="E257" s="12" t="s">
        <v>2992</v>
      </c>
      <c r="F257" s="12" t="s">
        <v>2988</v>
      </c>
      <c r="G257" s="12" t="s">
        <v>2132</v>
      </c>
      <c r="H257" s="12" t="s">
        <v>3300</v>
      </c>
      <c r="I257" s="12" t="s">
        <v>1551</v>
      </c>
      <c r="J257" s="12" t="s">
        <v>1506</v>
      </c>
      <c r="K257" s="12" t="s">
        <v>1551</v>
      </c>
      <c r="L257" s="12" t="s">
        <v>1506</v>
      </c>
      <c r="M257" s="12" t="s">
        <v>1599</v>
      </c>
    </row>
    <row r="258" spans="1:13" ht="14.4" x14ac:dyDescent="0.3">
      <c r="A258" s="12" t="s">
        <v>31</v>
      </c>
      <c r="B258" s="12" t="s">
        <v>503</v>
      </c>
      <c r="C258" s="12" t="s">
        <v>502</v>
      </c>
      <c r="D258" s="12" t="s">
        <v>1410</v>
      </c>
      <c r="E258" s="12" t="s">
        <v>1575</v>
      </c>
      <c r="F258" s="12" t="s">
        <v>1592</v>
      </c>
      <c r="G258" s="12" t="s">
        <v>3257</v>
      </c>
      <c r="H258" s="12" t="s">
        <v>3258</v>
      </c>
      <c r="I258" s="12" t="s">
        <v>2018</v>
      </c>
      <c r="J258" s="12" t="s">
        <v>2018</v>
      </c>
      <c r="K258" s="12" t="s">
        <v>2018</v>
      </c>
      <c r="L258" s="12" t="s">
        <v>1599</v>
      </c>
      <c r="M258" s="12" t="s">
        <v>1551</v>
      </c>
    </row>
    <row r="259" spans="1:13" ht="14.4" x14ac:dyDescent="0.3">
      <c r="A259" s="12" t="s">
        <v>28</v>
      </c>
      <c r="B259" s="12" t="s">
        <v>505</v>
      </c>
      <c r="C259" s="12" t="s">
        <v>504</v>
      </c>
      <c r="D259" s="12" t="s">
        <v>1410</v>
      </c>
      <c r="E259" s="12" t="s">
        <v>6085</v>
      </c>
      <c r="F259" s="12" t="s">
        <v>6086</v>
      </c>
      <c r="G259" s="12" t="s">
        <v>6087</v>
      </c>
      <c r="H259" s="12" t="s">
        <v>3264</v>
      </c>
      <c r="I259" s="12" t="s">
        <v>2018</v>
      </c>
      <c r="J259" s="12" t="s">
        <v>1599</v>
      </c>
      <c r="K259" s="12" t="s">
        <v>2018</v>
      </c>
      <c r="L259" s="12" t="s">
        <v>2018</v>
      </c>
      <c r="M259" s="12" t="s">
        <v>2018</v>
      </c>
    </row>
    <row r="260" spans="1:13" ht="14.4" x14ac:dyDescent="0.3">
      <c r="A260" s="12" t="s">
        <v>49</v>
      </c>
      <c r="B260" s="12" t="s">
        <v>507</v>
      </c>
      <c r="C260" s="12" t="s">
        <v>506</v>
      </c>
      <c r="D260" s="12" t="s">
        <v>1410</v>
      </c>
      <c r="E260" s="12" t="s">
        <v>6088</v>
      </c>
      <c r="F260" s="12" t="s">
        <v>6089</v>
      </c>
      <c r="G260" s="12" t="s">
        <v>4954</v>
      </c>
      <c r="H260" s="12" t="s">
        <v>3264</v>
      </c>
      <c r="I260" s="12" t="s">
        <v>1599</v>
      </c>
      <c r="J260" s="12" t="s">
        <v>2018</v>
      </c>
      <c r="K260" s="12" t="s">
        <v>2018</v>
      </c>
      <c r="L260" s="12" t="s">
        <v>2018</v>
      </c>
      <c r="M260" s="12" t="s">
        <v>2018</v>
      </c>
    </row>
    <row r="261" spans="1:13" ht="14.4" x14ac:dyDescent="0.3">
      <c r="A261" s="12" t="s">
        <v>8</v>
      </c>
      <c r="B261" s="12" t="s">
        <v>511</v>
      </c>
      <c r="C261" s="12" t="s">
        <v>510</v>
      </c>
      <c r="D261" s="12" t="s">
        <v>1410</v>
      </c>
      <c r="E261" s="12" t="s">
        <v>4271</v>
      </c>
      <c r="F261" s="12" t="s">
        <v>4272</v>
      </c>
      <c r="G261" s="12" t="s">
        <v>4273</v>
      </c>
      <c r="H261" s="12" t="s">
        <v>3240</v>
      </c>
      <c r="I261" s="12" t="s">
        <v>1551</v>
      </c>
      <c r="J261" s="12" t="s">
        <v>2018</v>
      </c>
      <c r="K261" s="12" t="s">
        <v>2018</v>
      </c>
      <c r="L261" s="12" t="s">
        <v>3204</v>
      </c>
      <c r="M261" s="12" t="s">
        <v>2018</v>
      </c>
    </row>
    <row r="262" spans="1:13" ht="14.4" x14ac:dyDescent="0.3">
      <c r="A262" s="12" t="s">
        <v>8</v>
      </c>
      <c r="B262" s="12" t="s">
        <v>513</v>
      </c>
      <c r="C262" s="12" t="s">
        <v>512</v>
      </c>
      <c r="D262" s="12" t="s">
        <v>1410</v>
      </c>
      <c r="E262" s="12" t="s">
        <v>4202</v>
      </c>
      <c r="F262" s="12" t="s">
        <v>6090</v>
      </c>
      <c r="G262" s="12" t="s">
        <v>3268</v>
      </c>
      <c r="H262" s="12" t="s">
        <v>1414</v>
      </c>
      <c r="I262" s="12" t="s">
        <v>1414</v>
      </c>
      <c r="J262" s="12" t="s">
        <v>1414</v>
      </c>
      <c r="K262" s="12" t="s">
        <v>1414</v>
      </c>
      <c r="L262" s="12" t="s">
        <v>1414</v>
      </c>
      <c r="M262" s="12" t="s">
        <v>1414</v>
      </c>
    </row>
    <row r="263" spans="1:13" ht="14.4" x14ac:dyDescent="0.3">
      <c r="A263" s="12" t="s">
        <v>170</v>
      </c>
      <c r="B263" s="12" t="s">
        <v>515</v>
      </c>
      <c r="C263" s="12" t="s">
        <v>514</v>
      </c>
      <c r="D263" s="12" t="s">
        <v>1410</v>
      </c>
      <c r="E263" s="12" t="s">
        <v>3457</v>
      </c>
      <c r="F263" s="12" t="s">
        <v>3458</v>
      </c>
      <c r="G263" s="12" t="s">
        <v>2014</v>
      </c>
      <c r="H263" s="12" t="s">
        <v>3234</v>
      </c>
      <c r="I263" s="12" t="s">
        <v>3204</v>
      </c>
      <c r="J263" s="12" t="s">
        <v>1599</v>
      </c>
      <c r="K263" s="12" t="s">
        <v>2018</v>
      </c>
      <c r="L263" s="12" t="s">
        <v>2018</v>
      </c>
      <c r="M263" s="12" t="s">
        <v>2018</v>
      </c>
    </row>
    <row r="264" spans="1:13" ht="14.4" x14ac:dyDescent="0.3">
      <c r="A264" s="12" t="s">
        <v>42</v>
      </c>
      <c r="B264" s="12" t="s">
        <v>517</v>
      </c>
      <c r="C264" s="12" t="s">
        <v>516</v>
      </c>
      <c r="D264" s="12" t="s">
        <v>1410</v>
      </c>
      <c r="E264" s="12" t="s">
        <v>3459</v>
      </c>
      <c r="F264" s="12" t="s">
        <v>3462</v>
      </c>
      <c r="G264" s="12" t="s">
        <v>3463</v>
      </c>
      <c r="H264" s="12" t="s">
        <v>3464</v>
      </c>
      <c r="I264" s="12" t="s">
        <v>2018</v>
      </c>
      <c r="J264" s="12" t="s">
        <v>2018</v>
      </c>
      <c r="K264" s="12" t="s">
        <v>2018</v>
      </c>
      <c r="L264" s="12" t="s">
        <v>2018</v>
      </c>
      <c r="M264" s="12" t="s">
        <v>2018</v>
      </c>
    </row>
    <row r="265" spans="1:13" ht="14.4" x14ac:dyDescent="0.3">
      <c r="A265" s="12" t="s">
        <v>8</v>
      </c>
      <c r="B265" s="12" t="s">
        <v>519</v>
      </c>
      <c r="C265" s="12" t="s">
        <v>518</v>
      </c>
      <c r="D265" s="12" t="s">
        <v>1410</v>
      </c>
      <c r="E265" s="12" t="s">
        <v>3288</v>
      </c>
      <c r="F265" s="12" t="s">
        <v>3289</v>
      </c>
      <c r="G265" s="12" t="s">
        <v>3290</v>
      </c>
      <c r="H265" s="12" t="s">
        <v>3234</v>
      </c>
      <c r="I265" s="12" t="s">
        <v>2018</v>
      </c>
      <c r="J265" s="12" t="s">
        <v>1599</v>
      </c>
      <c r="K265" s="12" t="s">
        <v>2018</v>
      </c>
      <c r="L265" s="12" t="s">
        <v>1551</v>
      </c>
      <c r="M265" s="12" t="s">
        <v>1506</v>
      </c>
    </row>
    <row r="266" spans="1:13" ht="14.4" x14ac:dyDescent="0.3">
      <c r="A266" s="12" t="s">
        <v>5622</v>
      </c>
      <c r="B266" s="12" t="s">
        <v>5623</v>
      </c>
      <c r="C266" s="12" t="s">
        <v>5624</v>
      </c>
      <c r="D266" s="12" t="s">
        <v>1410</v>
      </c>
      <c r="E266" s="12" t="s">
        <v>6091</v>
      </c>
      <c r="F266" s="12" t="s">
        <v>6092</v>
      </c>
      <c r="G266" s="12" t="s">
        <v>6093</v>
      </c>
      <c r="H266" s="12" t="s">
        <v>3439</v>
      </c>
      <c r="I266" s="12" t="s">
        <v>2018</v>
      </c>
      <c r="J266" s="12" t="s">
        <v>1551</v>
      </c>
      <c r="K266" s="12" t="s">
        <v>2018</v>
      </c>
      <c r="L266" s="12" t="s">
        <v>2018</v>
      </c>
      <c r="M266" s="12" t="s">
        <v>2018</v>
      </c>
    </row>
    <row r="267" spans="1:13" ht="14.4" x14ac:dyDescent="0.3">
      <c r="A267" s="12" t="s">
        <v>8</v>
      </c>
      <c r="B267" s="12" t="s">
        <v>5623</v>
      </c>
      <c r="C267" s="12" t="s">
        <v>5628</v>
      </c>
      <c r="D267" s="12" t="s">
        <v>1410</v>
      </c>
      <c r="E267" s="12" t="s">
        <v>6094</v>
      </c>
      <c r="F267" s="12" t="s">
        <v>6095</v>
      </c>
      <c r="G267" s="12" t="s">
        <v>1725</v>
      </c>
      <c r="H267" s="12" t="s">
        <v>1606</v>
      </c>
      <c r="I267" s="12" t="s">
        <v>1506</v>
      </c>
      <c r="J267" s="12" t="s">
        <v>2018</v>
      </c>
      <c r="K267" s="12" t="s">
        <v>1414</v>
      </c>
      <c r="L267" s="12" t="s">
        <v>1414</v>
      </c>
      <c r="M267" s="12" t="s">
        <v>1414</v>
      </c>
    </row>
    <row r="268" spans="1:13" ht="14.4" x14ac:dyDescent="0.3">
      <c r="A268" s="12" t="s">
        <v>8</v>
      </c>
      <c r="B268" s="12" t="s">
        <v>521</v>
      </c>
      <c r="C268" s="12" t="s">
        <v>520</v>
      </c>
      <c r="D268" s="12" t="s">
        <v>1410</v>
      </c>
      <c r="E268" s="12" t="s">
        <v>1696</v>
      </c>
      <c r="F268" s="12" t="s">
        <v>3312</v>
      </c>
      <c r="G268" s="12" t="s">
        <v>3313</v>
      </c>
      <c r="H268" s="12" t="s">
        <v>3203</v>
      </c>
      <c r="I268" s="12" t="s">
        <v>1551</v>
      </c>
      <c r="J268" s="12" t="s">
        <v>1551</v>
      </c>
      <c r="K268" s="12" t="s">
        <v>1551</v>
      </c>
      <c r="L268" s="12" t="s">
        <v>1749</v>
      </c>
      <c r="M268" s="12" t="s">
        <v>2018</v>
      </c>
    </row>
    <row r="269" spans="1:13" ht="14.4" x14ac:dyDescent="0.3">
      <c r="A269" s="12" t="s">
        <v>80</v>
      </c>
      <c r="B269" s="12" t="s">
        <v>523</v>
      </c>
      <c r="C269" s="12" t="s">
        <v>522</v>
      </c>
      <c r="D269" s="12" t="s">
        <v>1410</v>
      </c>
      <c r="E269" s="12" t="s">
        <v>4221</v>
      </c>
      <c r="F269" s="12" t="s">
        <v>4222</v>
      </c>
      <c r="G269" s="12" t="s">
        <v>3341</v>
      </c>
      <c r="H269" s="12" t="s">
        <v>3223</v>
      </c>
      <c r="I269" s="12" t="s">
        <v>2018</v>
      </c>
      <c r="J269" s="12" t="s">
        <v>1599</v>
      </c>
      <c r="K269" s="12" t="s">
        <v>1551</v>
      </c>
      <c r="L269" s="12" t="s">
        <v>1551</v>
      </c>
      <c r="M269" s="12" t="s">
        <v>2018</v>
      </c>
    </row>
    <row r="270" spans="1:13" ht="14.4" x14ac:dyDescent="0.3">
      <c r="A270" s="12" t="s">
        <v>31</v>
      </c>
      <c r="B270" s="12" t="s">
        <v>79</v>
      </c>
      <c r="C270" s="12" t="s">
        <v>524</v>
      </c>
      <c r="D270" s="12" t="s">
        <v>1410</v>
      </c>
      <c r="E270" s="12" t="s">
        <v>3412</v>
      </c>
      <c r="F270" s="12" t="s">
        <v>3413</v>
      </c>
      <c r="G270" s="12" t="s">
        <v>3156</v>
      </c>
      <c r="H270" s="12" t="s">
        <v>3258</v>
      </c>
      <c r="I270" s="12" t="s">
        <v>2018</v>
      </c>
      <c r="J270" s="12" t="s">
        <v>2018</v>
      </c>
      <c r="K270" s="12" t="s">
        <v>2018</v>
      </c>
      <c r="L270" s="12" t="s">
        <v>1551</v>
      </c>
      <c r="M270" s="12" t="s">
        <v>1599</v>
      </c>
    </row>
    <row r="271" spans="1:13" ht="14.4" x14ac:dyDescent="0.3">
      <c r="A271" s="12" t="s">
        <v>526</v>
      </c>
      <c r="B271" s="12" t="s">
        <v>79</v>
      </c>
      <c r="C271" s="12" t="s">
        <v>525</v>
      </c>
      <c r="D271" s="12" t="s">
        <v>1410</v>
      </c>
      <c r="E271" s="12" t="s">
        <v>3407</v>
      </c>
      <c r="F271" s="12" t="s">
        <v>3408</v>
      </c>
      <c r="G271" s="12" t="s">
        <v>3067</v>
      </c>
      <c r="H271" s="12" t="s">
        <v>3234</v>
      </c>
      <c r="I271" s="12" t="s">
        <v>1599</v>
      </c>
      <c r="J271" s="12" t="s">
        <v>2018</v>
      </c>
      <c r="K271" s="12" t="s">
        <v>1506</v>
      </c>
      <c r="L271" s="12" t="s">
        <v>1551</v>
      </c>
      <c r="M271" s="12" t="s">
        <v>2018</v>
      </c>
    </row>
    <row r="272" spans="1:13" ht="14.4" x14ac:dyDescent="0.3">
      <c r="A272" s="12" t="s">
        <v>528</v>
      </c>
      <c r="B272" s="12" t="s">
        <v>79</v>
      </c>
      <c r="C272" s="12" t="s">
        <v>527</v>
      </c>
      <c r="D272" s="12" t="s">
        <v>1410</v>
      </c>
      <c r="E272" s="12" t="s">
        <v>2985</v>
      </c>
      <c r="F272" s="12" t="s">
        <v>3000</v>
      </c>
      <c r="G272" s="12" t="s">
        <v>1839</v>
      </c>
      <c r="H272" s="12" t="s">
        <v>3223</v>
      </c>
      <c r="I272" s="12" t="s">
        <v>2018</v>
      </c>
      <c r="J272" s="12" t="s">
        <v>2018</v>
      </c>
      <c r="K272" s="12" t="s">
        <v>1599</v>
      </c>
      <c r="L272" s="12" t="s">
        <v>2018</v>
      </c>
      <c r="M272" s="12" t="s">
        <v>1599</v>
      </c>
    </row>
    <row r="273" spans="1:13" ht="14.4" x14ac:dyDescent="0.3">
      <c r="A273" s="12" t="s">
        <v>42</v>
      </c>
      <c r="B273" s="12" t="s">
        <v>530</v>
      </c>
      <c r="C273" s="12" t="s">
        <v>529</v>
      </c>
      <c r="D273" s="12" t="s">
        <v>1456</v>
      </c>
      <c r="E273" s="12" t="s">
        <v>6096</v>
      </c>
      <c r="F273" s="12" t="s">
        <v>1415</v>
      </c>
      <c r="G273" s="12" t="s">
        <v>1415</v>
      </c>
      <c r="H273" s="12" t="s">
        <v>1415</v>
      </c>
      <c r="I273" s="12" t="s">
        <v>1415</v>
      </c>
      <c r="J273" s="12" t="s">
        <v>1415</v>
      </c>
      <c r="K273" s="12" t="s">
        <v>1415</v>
      </c>
      <c r="L273" s="12" t="s">
        <v>1415</v>
      </c>
      <c r="M273" s="12" t="s">
        <v>1415</v>
      </c>
    </row>
    <row r="274" spans="1:13" ht="14.4" x14ac:dyDescent="0.3">
      <c r="A274" s="12" t="s">
        <v>11</v>
      </c>
      <c r="B274" s="12" t="s">
        <v>5636</v>
      </c>
      <c r="C274" s="12" t="s">
        <v>5637</v>
      </c>
      <c r="D274" s="12" t="s">
        <v>1410</v>
      </c>
      <c r="E274" s="12" t="s">
        <v>6097</v>
      </c>
      <c r="F274" s="12" t="s">
        <v>6098</v>
      </c>
      <c r="G274" s="12" t="s">
        <v>1978</v>
      </c>
      <c r="H274" s="12" t="s">
        <v>3439</v>
      </c>
      <c r="I274" s="12" t="s">
        <v>1551</v>
      </c>
      <c r="J274" s="12" t="s">
        <v>2018</v>
      </c>
      <c r="K274" s="12" t="s">
        <v>2018</v>
      </c>
      <c r="L274" s="12" t="s">
        <v>2018</v>
      </c>
      <c r="M274" s="12" t="s">
        <v>2018</v>
      </c>
    </row>
    <row r="275" spans="1:13" ht="14.4" x14ac:dyDescent="0.3">
      <c r="A275" s="12" t="s">
        <v>19</v>
      </c>
      <c r="B275" s="12" t="s">
        <v>532</v>
      </c>
      <c r="C275" s="12" t="s">
        <v>531</v>
      </c>
      <c r="D275" s="12" t="s">
        <v>1410</v>
      </c>
      <c r="E275" s="12" t="s">
        <v>4271</v>
      </c>
      <c r="F275" s="12" t="s">
        <v>2995</v>
      </c>
      <c r="G275" s="12" t="s">
        <v>4274</v>
      </c>
      <c r="H275" s="12" t="s">
        <v>3264</v>
      </c>
      <c r="I275" s="12" t="s">
        <v>2018</v>
      </c>
      <c r="J275" s="12" t="s">
        <v>2018</v>
      </c>
      <c r="K275" s="12" t="s">
        <v>1551</v>
      </c>
      <c r="L275" s="12" t="s">
        <v>2018</v>
      </c>
      <c r="M275" s="12" t="s">
        <v>1551</v>
      </c>
    </row>
    <row r="276" spans="1:13" ht="14.4" x14ac:dyDescent="0.3">
      <c r="A276" s="12" t="s">
        <v>22</v>
      </c>
      <c r="B276" s="12" t="s">
        <v>5648</v>
      </c>
      <c r="C276" s="12" t="s">
        <v>5649</v>
      </c>
      <c r="D276" s="12" t="s">
        <v>1410</v>
      </c>
      <c r="E276" s="12" t="s">
        <v>6099</v>
      </c>
      <c r="F276" s="12" t="s">
        <v>6100</v>
      </c>
      <c r="G276" s="12" t="s">
        <v>2029</v>
      </c>
      <c r="H276" s="12" t="s">
        <v>3234</v>
      </c>
      <c r="I276" s="12" t="s">
        <v>1599</v>
      </c>
      <c r="J276" s="12" t="s">
        <v>1551</v>
      </c>
      <c r="K276" s="12" t="s">
        <v>2018</v>
      </c>
      <c r="L276" s="12" t="s">
        <v>1506</v>
      </c>
      <c r="M276" s="12" t="s">
        <v>2018</v>
      </c>
    </row>
    <row r="277" spans="1:13" ht="14.4" x14ac:dyDescent="0.3">
      <c r="A277" s="12" t="s">
        <v>28</v>
      </c>
      <c r="B277" s="12" t="s">
        <v>534</v>
      </c>
      <c r="C277" s="12" t="s">
        <v>533</v>
      </c>
      <c r="D277" s="12" t="s">
        <v>1410</v>
      </c>
      <c r="E277" s="12" t="s">
        <v>4315</v>
      </c>
      <c r="F277" s="12" t="s">
        <v>6101</v>
      </c>
      <c r="G277" s="12" t="s">
        <v>3268</v>
      </c>
      <c r="H277" s="12" t="s">
        <v>1755</v>
      </c>
      <c r="I277" s="12" t="s">
        <v>1599</v>
      </c>
      <c r="J277" s="12" t="s">
        <v>1506</v>
      </c>
      <c r="K277" s="12" t="s">
        <v>1414</v>
      </c>
      <c r="L277" s="12" t="s">
        <v>1414</v>
      </c>
      <c r="M277" s="12" t="s">
        <v>1414</v>
      </c>
    </row>
    <row r="278" spans="1:13" ht="14.4" x14ac:dyDescent="0.3">
      <c r="A278" s="12" t="s">
        <v>28</v>
      </c>
      <c r="B278" s="12" t="s">
        <v>534</v>
      </c>
      <c r="C278" s="12" t="s">
        <v>533</v>
      </c>
      <c r="D278" s="12" t="s">
        <v>1410</v>
      </c>
      <c r="E278" s="12" t="s">
        <v>6102</v>
      </c>
      <c r="F278" s="12" t="s">
        <v>6103</v>
      </c>
      <c r="G278" s="12" t="s">
        <v>6104</v>
      </c>
      <c r="H278" s="12" t="s">
        <v>3300</v>
      </c>
      <c r="I278" s="12" t="s">
        <v>3204</v>
      </c>
      <c r="J278" s="12" t="s">
        <v>1551</v>
      </c>
      <c r="K278" s="12" t="s">
        <v>1506</v>
      </c>
      <c r="L278" s="12" t="s">
        <v>1551</v>
      </c>
      <c r="M278" s="12" t="s">
        <v>1551</v>
      </c>
    </row>
    <row r="279" spans="1:13" ht="14.4" x14ac:dyDescent="0.3">
      <c r="A279" s="12" t="s">
        <v>28</v>
      </c>
      <c r="B279" s="12" t="s">
        <v>534</v>
      </c>
      <c r="C279" s="12" t="s">
        <v>533</v>
      </c>
      <c r="D279" s="12" t="s">
        <v>1410</v>
      </c>
      <c r="E279" s="12" t="s">
        <v>6105</v>
      </c>
      <c r="F279" s="12" t="s">
        <v>6106</v>
      </c>
      <c r="G279" s="12" t="s">
        <v>5372</v>
      </c>
      <c r="H279" s="12" t="s">
        <v>1414</v>
      </c>
      <c r="I279" s="12" t="s">
        <v>1414</v>
      </c>
      <c r="J279" s="12" t="s">
        <v>1414</v>
      </c>
      <c r="K279" s="12" t="s">
        <v>1414</v>
      </c>
      <c r="L279" s="12" t="s">
        <v>1414</v>
      </c>
      <c r="M279" s="12" t="s">
        <v>1414</v>
      </c>
    </row>
    <row r="280" spans="1:13" ht="14.4" x14ac:dyDescent="0.3">
      <c r="A280" s="12" t="s">
        <v>28</v>
      </c>
      <c r="B280" s="12" t="s">
        <v>534</v>
      </c>
      <c r="C280" s="12" t="s">
        <v>533</v>
      </c>
      <c r="D280" s="12" t="s">
        <v>1410</v>
      </c>
      <c r="E280" s="12" t="s">
        <v>6106</v>
      </c>
      <c r="F280" s="12" t="s">
        <v>6107</v>
      </c>
      <c r="G280" s="12" t="s">
        <v>2413</v>
      </c>
      <c r="H280" s="12" t="s">
        <v>3439</v>
      </c>
      <c r="I280" s="12" t="s">
        <v>1551</v>
      </c>
      <c r="J280" s="12" t="s">
        <v>2018</v>
      </c>
      <c r="K280" s="12" t="s">
        <v>2018</v>
      </c>
      <c r="L280" s="12" t="s">
        <v>2018</v>
      </c>
      <c r="M280" s="12" t="s">
        <v>2018</v>
      </c>
    </row>
    <row r="281" spans="1:13" ht="14.4" x14ac:dyDescent="0.3">
      <c r="A281" s="12" t="s">
        <v>25</v>
      </c>
      <c r="B281" s="12" t="s">
        <v>329</v>
      </c>
      <c r="C281" s="12" t="s">
        <v>535</v>
      </c>
      <c r="D281" s="12" t="s">
        <v>1410</v>
      </c>
      <c r="E281" s="12" t="s">
        <v>5515</v>
      </c>
      <c r="F281" s="12" t="s">
        <v>5742</v>
      </c>
      <c r="G281" s="12" t="s">
        <v>6108</v>
      </c>
      <c r="H281" s="12" t="s">
        <v>3294</v>
      </c>
      <c r="I281" s="12" t="s">
        <v>2062</v>
      </c>
      <c r="J281" s="12" t="s">
        <v>1506</v>
      </c>
      <c r="K281" s="12" t="s">
        <v>2018</v>
      </c>
      <c r="L281" s="12" t="s">
        <v>1551</v>
      </c>
      <c r="M281" s="12" t="s">
        <v>3204</v>
      </c>
    </row>
    <row r="282" spans="1:13" ht="14.4" x14ac:dyDescent="0.3">
      <c r="A282" s="12" t="s">
        <v>5658</v>
      </c>
      <c r="B282" s="12" t="s">
        <v>5659</v>
      </c>
      <c r="C282" s="12" t="s">
        <v>5660</v>
      </c>
      <c r="D282" s="12" t="s">
        <v>1410</v>
      </c>
      <c r="E282" s="12" t="s">
        <v>6109</v>
      </c>
      <c r="F282" s="12" t="s">
        <v>6110</v>
      </c>
      <c r="G282" s="12" t="s">
        <v>3268</v>
      </c>
      <c r="H282" s="12" t="s">
        <v>1414</v>
      </c>
      <c r="I282" s="12" t="s">
        <v>1414</v>
      </c>
      <c r="J282" s="12" t="s">
        <v>1414</v>
      </c>
      <c r="K282" s="12" t="s">
        <v>1414</v>
      </c>
      <c r="L282" s="12" t="s">
        <v>1414</v>
      </c>
      <c r="M282" s="12" t="s">
        <v>1414</v>
      </c>
    </row>
    <row r="283" spans="1:13" ht="14.4" x14ac:dyDescent="0.3">
      <c r="A283" s="12" t="s">
        <v>5658</v>
      </c>
      <c r="B283" s="12" t="s">
        <v>5659</v>
      </c>
      <c r="C283" s="12" t="s">
        <v>5660</v>
      </c>
      <c r="D283" s="12" t="s">
        <v>1410</v>
      </c>
      <c r="E283" s="12" t="s">
        <v>6111</v>
      </c>
      <c r="F283" s="12" t="s">
        <v>6112</v>
      </c>
      <c r="G283" s="12" t="s">
        <v>6113</v>
      </c>
      <c r="H283" s="12" t="s">
        <v>3368</v>
      </c>
      <c r="I283" s="12" t="s">
        <v>2435</v>
      </c>
      <c r="J283" s="12" t="s">
        <v>1551</v>
      </c>
      <c r="K283" s="12" t="s">
        <v>1414</v>
      </c>
      <c r="L283" s="12" t="s">
        <v>1599</v>
      </c>
      <c r="M283" s="12" t="s">
        <v>2018</v>
      </c>
    </row>
    <row r="284" spans="1:13" ht="14.4" x14ac:dyDescent="0.3">
      <c r="A284" s="12" t="s">
        <v>8</v>
      </c>
      <c r="B284" s="12" t="s">
        <v>537</v>
      </c>
      <c r="C284" s="12" t="s">
        <v>536</v>
      </c>
      <c r="D284" s="12" t="s">
        <v>1410</v>
      </c>
      <c r="E284" s="12" t="s">
        <v>1753</v>
      </c>
      <c r="F284" s="12" t="s">
        <v>1786</v>
      </c>
      <c r="G284" s="12" t="s">
        <v>3007</v>
      </c>
      <c r="H284" s="12" t="s">
        <v>1414</v>
      </c>
      <c r="I284" s="12" t="s">
        <v>1414</v>
      </c>
      <c r="J284" s="12" t="s">
        <v>1414</v>
      </c>
      <c r="K284" s="12" t="s">
        <v>1414</v>
      </c>
      <c r="L284" s="12" t="s">
        <v>1414</v>
      </c>
      <c r="M284" s="12" t="s">
        <v>1414</v>
      </c>
    </row>
    <row r="285" spans="1:13" ht="14.4" x14ac:dyDescent="0.3">
      <c r="A285" s="12" t="s">
        <v>8</v>
      </c>
      <c r="B285" s="12" t="s">
        <v>537</v>
      </c>
      <c r="C285" s="12" t="s">
        <v>536</v>
      </c>
      <c r="D285" s="12" t="s">
        <v>1410</v>
      </c>
      <c r="E285" s="12" t="s">
        <v>6114</v>
      </c>
      <c r="F285" s="12" t="s">
        <v>6067</v>
      </c>
      <c r="G285" s="12" t="s">
        <v>6115</v>
      </c>
      <c r="H285" s="12" t="s">
        <v>3269</v>
      </c>
      <c r="I285" s="12" t="s">
        <v>1749</v>
      </c>
      <c r="J285" s="12" t="s">
        <v>2062</v>
      </c>
      <c r="K285" s="12" t="s">
        <v>2018</v>
      </c>
      <c r="L285" s="12" t="s">
        <v>1506</v>
      </c>
      <c r="M285" s="12" t="s">
        <v>3204</v>
      </c>
    </row>
    <row r="286" spans="1:13" ht="14.4" x14ac:dyDescent="0.3">
      <c r="A286" s="12" t="s">
        <v>540</v>
      </c>
      <c r="B286" s="12" t="s">
        <v>539</v>
      </c>
      <c r="C286" s="12" t="s">
        <v>538</v>
      </c>
      <c r="D286" s="12" t="s">
        <v>1410</v>
      </c>
      <c r="E286" s="12" t="s">
        <v>5753</v>
      </c>
      <c r="F286" s="12" t="s">
        <v>6116</v>
      </c>
      <c r="G286" s="12" t="s">
        <v>6117</v>
      </c>
      <c r="H286" s="12" t="s">
        <v>3246</v>
      </c>
      <c r="I286" s="12" t="s">
        <v>1599</v>
      </c>
      <c r="J286" s="12" t="s">
        <v>1599</v>
      </c>
      <c r="K286" s="12" t="s">
        <v>1599</v>
      </c>
      <c r="L286" s="12" t="s">
        <v>1551</v>
      </c>
      <c r="M286" s="12" t="s">
        <v>2018</v>
      </c>
    </row>
    <row r="287" spans="1:13" ht="14.4" x14ac:dyDescent="0.3">
      <c r="A287" s="12" t="s">
        <v>25</v>
      </c>
      <c r="B287" s="12" t="s">
        <v>5668</v>
      </c>
      <c r="C287" s="12" t="s">
        <v>5669</v>
      </c>
      <c r="D287" s="12" t="s">
        <v>1410</v>
      </c>
      <c r="E287" s="12" t="s">
        <v>5629</v>
      </c>
      <c r="F287" s="12" t="s">
        <v>5560</v>
      </c>
      <c r="G287" s="12" t="s">
        <v>1752</v>
      </c>
      <c r="H287" s="12" t="s">
        <v>3210</v>
      </c>
      <c r="I287" s="12" t="s">
        <v>2018</v>
      </c>
      <c r="J287" s="12" t="s">
        <v>1551</v>
      </c>
      <c r="K287" s="12" t="s">
        <v>1599</v>
      </c>
      <c r="L287" s="12" t="s">
        <v>3204</v>
      </c>
      <c r="M287" s="12" t="s">
        <v>1551</v>
      </c>
    </row>
    <row r="288" spans="1:13" ht="14.4" x14ac:dyDescent="0.3">
      <c r="A288" s="12" t="s">
        <v>28</v>
      </c>
      <c r="B288" s="12" t="s">
        <v>542</v>
      </c>
      <c r="C288" s="12" t="s">
        <v>541</v>
      </c>
      <c r="D288" s="12" t="s">
        <v>1410</v>
      </c>
      <c r="E288" s="12" t="s">
        <v>6118</v>
      </c>
      <c r="F288" s="12" t="s">
        <v>6119</v>
      </c>
      <c r="G288" s="12" t="s">
        <v>5172</v>
      </c>
      <c r="H288" s="12" t="s">
        <v>3213</v>
      </c>
      <c r="I288" s="12" t="s">
        <v>1749</v>
      </c>
      <c r="J288" s="12" t="s">
        <v>1551</v>
      </c>
      <c r="K288" s="12" t="s">
        <v>1506</v>
      </c>
      <c r="L288" s="12" t="s">
        <v>1599</v>
      </c>
      <c r="M288" s="12" t="s">
        <v>1599</v>
      </c>
    </row>
    <row r="289" spans="1:13" ht="14.4" x14ac:dyDescent="0.3">
      <c r="A289" s="12" t="s">
        <v>55</v>
      </c>
      <c r="B289" s="12" t="s">
        <v>544</v>
      </c>
      <c r="C289" s="12" t="s">
        <v>543</v>
      </c>
      <c r="D289" s="12" t="s">
        <v>1410</v>
      </c>
      <c r="E289" s="12" t="s">
        <v>5718</v>
      </c>
      <c r="F289" s="12" t="s">
        <v>6120</v>
      </c>
      <c r="G289" s="12" t="s">
        <v>2291</v>
      </c>
      <c r="H289" s="12" t="s">
        <v>2744</v>
      </c>
      <c r="I289" s="12" t="s">
        <v>2435</v>
      </c>
      <c r="J289" s="12" t="s">
        <v>1551</v>
      </c>
      <c r="K289" s="12" t="s">
        <v>1414</v>
      </c>
      <c r="L289" s="12" t="s">
        <v>1414</v>
      </c>
      <c r="M289" s="12" t="s">
        <v>1414</v>
      </c>
    </row>
    <row r="290" spans="1:13" ht="14.4" x14ac:dyDescent="0.3">
      <c r="A290" s="12" t="s">
        <v>55</v>
      </c>
      <c r="B290" s="12" t="s">
        <v>544</v>
      </c>
      <c r="C290" s="12" t="s">
        <v>543</v>
      </c>
      <c r="D290" s="12" t="s">
        <v>1410</v>
      </c>
      <c r="E290" s="12" t="s">
        <v>5580</v>
      </c>
      <c r="F290" s="12" t="s">
        <v>6121</v>
      </c>
      <c r="G290" s="12" t="s">
        <v>3095</v>
      </c>
      <c r="H290" s="12" t="s">
        <v>3223</v>
      </c>
      <c r="I290" s="12" t="s">
        <v>1551</v>
      </c>
      <c r="J290" s="12" t="s">
        <v>1551</v>
      </c>
      <c r="K290" s="12" t="s">
        <v>2018</v>
      </c>
      <c r="L290" s="12" t="s">
        <v>1599</v>
      </c>
      <c r="M290" s="12" t="s">
        <v>2018</v>
      </c>
    </row>
    <row r="291" spans="1:13" ht="14.4" x14ac:dyDescent="0.3">
      <c r="A291" s="12" t="s">
        <v>547</v>
      </c>
      <c r="B291" s="12" t="s">
        <v>546</v>
      </c>
      <c r="C291" s="12" t="s">
        <v>545</v>
      </c>
      <c r="D291" s="12" t="s">
        <v>1410</v>
      </c>
      <c r="E291" s="12" t="s">
        <v>3297</v>
      </c>
      <c r="F291" s="12" t="s">
        <v>3298</v>
      </c>
      <c r="G291" s="12" t="s">
        <v>3299</v>
      </c>
      <c r="H291" s="12" t="s">
        <v>3300</v>
      </c>
      <c r="I291" s="12" t="s">
        <v>2018</v>
      </c>
      <c r="J291" s="12" t="s">
        <v>1599</v>
      </c>
      <c r="K291" s="12" t="s">
        <v>1551</v>
      </c>
      <c r="L291" s="12" t="s">
        <v>1749</v>
      </c>
      <c r="M291" s="12" t="s">
        <v>1551</v>
      </c>
    </row>
    <row r="292" spans="1:13" ht="14.4" x14ac:dyDescent="0.3">
      <c r="A292" s="12" t="s">
        <v>42</v>
      </c>
      <c r="B292" s="12" t="s">
        <v>5672</v>
      </c>
      <c r="C292" s="12" t="s">
        <v>5673</v>
      </c>
      <c r="D292" s="12" t="s">
        <v>1410</v>
      </c>
      <c r="E292" s="12" t="s">
        <v>5556</v>
      </c>
      <c r="F292" s="12" t="s">
        <v>6122</v>
      </c>
      <c r="G292" s="12" t="s">
        <v>3929</v>
      </c>
      <c r="H292" s="12" t="s">
        <v>3234</v>
      </c>
      <c r="I292" s="12" t="s">
        <v>2018</v>
      </c>
      <c r="J292" s="12" t="s">
        <v>1506</v>
      </c>
      <c r="K292" s="12" t="s">
        <v>1551</v>
      </c>
      <c r="L292" s="12" t="s">
        <v>1551</v>
      </c>
      <c r="M292" s="12" t="s">
        <v>1551</v>
      </c>
    </row>
    <row r="293" spans="1:13" ht="14.4" x14ac:dyDescent="0.3">
      <c r="A293" s="12" t="s">
        <v>293</v>
      </c>
      <c r="B293" s="12" t="s">
        <v>551</v>
      </c>
      <c r="C293" s="12" t="s">
        <v>550</v>
      </c>
      <c r="D293" s="12" t="s">
        <v>1410</v>
      </c>
      <c r="E293" s="12" t="s">
        <v>4316</v>
      </c>
      <c r="F293" s="12" t="s">
        <v>4317</v>
      </c>
      <c r="G293" s="12" t="s">
        <v>4318</v>
      </c>
      <c r="H293" s="12" t="s">
        <v>3264</v>
      </c>
      <c r="I293" s="12" t="s">
        <v>2018</v>
      </c>
      <c r="J293" s="12" t="s">
        <v>1551</v>
      </c>
      <c r="K293" s="12" t="s">
        <v>1551</v>
      </c>
      <c r="L293" s="12" t="s">
        <v>2018</v>
      </c>
      <c r="M293" s="12" t="s">
        <v>2018</v>
      </c>
    </row>
    <row r="294" spans="1:13" ht="14.4" x14ac:dyDescent="0.3">
      <c r="A294" s="12" t="s">
        <v>170</v>
      </c>
      <c r="B294" s="12" t="s">
        <v>553</v>
      </c>
      <c r="C294" s="12" t="s">
        <v>552</v>
      </c>
      <c r="D294" s="12" t="s">
        <v>1410</v>
      </c>
      <c r="E294" s="12" t="s">
        <v>6123</v>
      </c>
      <c r="F294" s="12" t="s">
        <v>6124</v>
      </c>
      <c r="G294" s="12" t="s">
        <v>5402</v>
      </c>
      <c r="H294" s="12" t="s">
        <v>3340</v>
      </c>
      <c r="I294" s="12" t="s">
        <v>2018</v>
      </c>
      <c r="J294" s="12" t="s">
        <v>1599</v>
      </c>
      <c r="K294" s="12" t="s">
        <v>1551</v>
      </c>
      <c r="L294" s="12" t="s">
        <v>1414</v>
      </c>
      <c r="M294" s="12" t="s">
        <v>1414</v>
      </c>
    </row>
    <row r="295" spans="1:13" ht="14.4" x14ac:dyDescent="0.3">
      <c r="A295" s="12" t="s">
        <v>71</v>
      </c>
      <c r="B295" s="12" t="s">
        <v>555</v>
      </c>
      <c r="C295" s="12" t="s">
        <v>554</v>
      </c>
      <c r="D295" s="12" t="s">
        <v>1410</v>
      </c>
      <c r="E295" s="12" t="s">
        <v>6125</v>
      </c>
      <c r="F295" s="12" t="s">
        <v>6126</v>
      </c>
      <c r="G295" s="12" t="s">
        <v>6127</v>
      </c>
      <c r="H295" s="12" t="s">
        <v>3258</v>
      </c>
      <c r="I295" s="12" t="s">
        <v>1551</v>
      </c>
      <c r="J295" s="12" t="s">
        <v>1599</v>
      </c>
      <c r="K295" s="12" t="s">
        <v>2018</v>
      </c>
      <c r="L295" s="12" t="s">
        <v>2018</v>
      </c>
      <c r="M295" s="12" t="s">
        <v>2018</v>
      </c>
    </row>
    <row r="296" spans="1:13" ht="14.4" x14ac:dyDescent="0.3">
      <c r="A296" s="12" t="s">
        <v>8</v>
      </c>
      <c r="B296" s="12" t="s">
        <v>5690</v>
      </c>
      <c r="C296" s="12" t="s">
        <v>5691</v>
      </c>
      <c r="D296" s="12" t="s">
        <v>1410</v>
      </c>
      <c r="E296" s="12" t="s">
        <v>6128</v>
      </c>
      <c r="F296" s="12" t="s">
        <v>6129</v>
      </c>
      <c r="G296" s="12" t="s">
        <v>6130</v>
      </c>
      <c r="H296" s="12" t="s">
        <v>3213</v>
      </c>
      <c r="I296" s="12" t="s">
        <v>2435</v>
      </c>
      <c r="J296" s="12" t="s">
        <v>1506</v>
      </c>
      <c r="K296" s="12" t="s">
        <v>2018</v>
      </c>
      <c r="L296" s="12" t="s">
        <v>2018</v>
      </c>
      <c r="M296" s="12" t="s">
        <v>1506</v>
      </c>
    </row>
    <row r="297" spans="1:13" ht="14.4" x14ac:dyDescent="0.3">
      <c r="A297" s="12" t="s">
        <v>28</v>
      </c>
      <c r="B297" s="12" t="s">
        <v>271</v>
      </c>
      <c r="C297" s="12" t="s">
        <v>556</v>
      </c>
      <c r="D297" s="12" t="s">
        <v>1410</v>
      </c>
      <c r="E297" s="12" t="s">
        <v>3586</v>
      </c>
      <c r="F297" s="12" t="s">
        <v>2255</v>
      </c>
      <c r="G297" s="12" t="s">
        <v>3589</v>
      </c>
      <c r="H297" s="12" t="s">
        <v>3439</v>
      </c>
      <c r="I297" s="12" t="s">
        <v>2018</v>
      </c>
      <c r="J297" s="12" t="s">
        <v>2018</v>
      </c>
      <c r="K297" s="12" t="s">
        <v>1551</v>
      </c>
      <c r="L297" s="12" t="s">
        <v>2018</v>
      </c>
      <c r="M297" s="12" t="s">
        <v>2018</v>
      </c>
    </row>
    <row r="298" spans="1:13" ht="14.4" x14ac:dyDescent="0.3">
      <c r="A298" s="12" t="s">
        <v>19</v>
      </c>
      <c r="B298" s="12" t="s">
        <v>102</v>
      </c>
      <c r="C298" s="12" t="s">
        <v>5703</v>
      </c>
      <c r="D298" s="12" t="s">
        <v>1410</v>
      </c>
      <c r="E298" s="12" t="s">
        <v>6131</v>
      </c>
      <c r="F298" s="12" t="s">
        <v>6132</v>
      </c>
      <c r="G298" s="12" t="s">
        <v>2346</v>
      </c>
      <c r="H298" s="12" t="s">
        <v>1414</v>
      </c>
      <c r="I298" s="12" t="s">
        <v>1414</v>
      </c>
      <c r="J298" s="12" t="s">
        <v>1414</v>
      </c>
      <c r="K298" s="12" t="s">
        <v>1414</v>
      </c>
      <c r="L298" s="12" t="s">
        <v>1414</v>
      </c>
      <c r="M298" s="12" t="s">
        <v>1414</v>
      </c>
    </row>
    <row r="299" spans="1:13" ht="14.4" x14ac:dyDescent="0.3">
      <c r="A299" s="12" t="s">
        <v>31</v>
      </c>
      <c r="B299" s="12" t="s">
        <v>5707</v>
      </c>
      <c r="C299" s="12" t="s">
        <v>5708</v>
      </c>
      <c r="D299" s="12" t="s">
        <v>1410</v>
      </c>
      <c r="E299" s="12" t="s">
        <v>6133</v>
      </c>
      <c r="F299" s="12" t="s">
        <v>6134</v>
      </c>
      <c r="G299" s="12" t="s">
        <v>2919</v>
      </c>
      <c r="H299" s="12" t="s">
        <v>3300</v>
      </c>
      <c r="I299" s="12" t="s">
        <v>2062</v>
      </c>
      <c r="J299" s="12" t="s">
        <v>1551</v>
      </c>
      <c r="K299" s="12" t="s">
        <v>1599</v>
      </c>
      <c r="L299" s="12" t="s">
        <v>1599</v>
      </c>
      <c r="M299" s="12" t="s">
        <v>2018</v>
      </c>
    </row>
    <row r="300" spans="1:13" ht="14.4" x14ac:dyDescent="0.3">
      <c r="A300" s="12" t="s">
        <v>8</v>
      </c>
      <c r="B300" s="12" t="s">
        <v>558</v>
      </c>
      <c r="C300" s="12" t="s">
        <v>557</v>
      </c>
      <c r="D300" s="12" t="s">
        <v>1410</v>
      </c>
      <c r="E300" s="12" t="s">
        <v>2659</v>
      </c>
      <c r="F300" s="12" t="s">
        <v>3925</v>
      </c>
      <c r="G300" s="12" t="s">
        <v>3926</v>
      </c>
      <c r="H300" s="12" t="s">
        <v>3210</v>
      </c>
      <c r="I300" s="12" t="s">
        <v>1599</v>
      </c>
      <c r="J300" s="12" t="s">
        <v>1506</v>
      </c>
      <c r="K300" s="12" t="s">
        <v>2018</v>
      </c>
      <c r="L300" s="12" t="s">
        <v>1599</v>
      </c>
      <c r="M300" s="12" t="s">
        <v>1551</v>
      </c>
    </row>
    <row r="301" spans="1:13" ht="14.4" x14ac:dyDescent="0.3">
      <c r="A301" s="12" t="s">
        <v>8</v>
      </c>
      <c r="B301" s="12" t="s">
        <v>558</v>
      </c>
      <c r="C301" s="12" t="s">
        <v>557</v>
      </c>
      <c r="D301" s="12" t="s">
        <v>1410</v>
      </c>
      <c r="E301" s="12" t="s">
        <v>3932</v>
      </c>
      <c r="F301" s="12" t="s">
        <v>3933</v>
      </c>
      <c r="G301" s="12" t="s">
        <v>3934</v>
      </c>
      <c r="H301" s="12" t="s">
        <v>3464</v>
      </c>
      <c r="I301" s="12" t="s">
        <v>2018</v>
      </c>
      <c r="J301" s="12" t="s">
        <v>2018</v>
      </c>
      <c r="K301" s="12" t="s">
        <v>2018</v>
      </c>
      <c r="L301" s="12" t="s">
        <v>2018</v>
      </c>
      <c r="M301" s="12" t="s">
        <v>2018</v>
      </c>
    </row>
    <row r="302" spans="1:13" ht="14.4" x14ac:dyDescent="0.3">
      <c r="A302" s="12" t="s">
        <v>8</v>
      </c>
      <c r="B302" s="12" t="s">
        <v>560</v>
      </c>
      <c r="C302" s="12" t="s">
        <v>559</v>
      </c>
      <c r="D302" s="12" t="s">
        <v>1410</v>
      </c>
      <c r="E302" s="12" t="s">
        <v>2658</v>
      </c>
      <c r="F302" s="12" t="s">
        <v>2660</v>
      </c>
      <c r="G302" s="12" t="s">
        <v>3922</v>
      </c>
      <c r="H302" s="12" t="s">
        <v>3223</v>
      </c>
      <c r="I302" s="12" t="s">
        <v>1551</v>
      </c>
      <c r="J302" s="12" t="s">
        <v>1599</v>
      </c>
      <c r="K302" s="12" t="s">
        <v>2018</v>
      </c>
      <c r="L302" s="12" t="s">
        <v>2018</v>
      </c>
      <c r="M302" s="12" t="s">
        <v>1551</v>
      </c>
    </row>
    <row r="303" spans="1:13" ht="14.4" x14ac:dyDescent="0.3">
      <c r="A303" s="12" t="s">
        <v>563</v>
      </c>
      <c r="B303" s="12" t="s">
        <v>562</v>
      </c>
      <c r="C303" s="12" t="s">
        <v>561</v>
      </c>
      <c r="D303" s="12" t="s">
        <v>1410</v>
      </c>
      <c r="E303" s="12" t="s">
        <v>1723</v>
      </c>
      <c r="F303" s="12" t="s">
        <v>1730</v>
      </c>
      <c r="G303" s="12" t="s">
        <v>3314</v>
      </c>
      <c r="H303" s="12" t="s">
        <v>3294</v>
      </c>
      <c r="I303" s="12" t="s">
        <v>3204</v>
      </c>
      <c r="J303" s="12" t="s">
        <v>1551</v>
      </c>
      <c r="K303" s="12" t="s">
        <v>1551</v>
      </c>
      <c r="L303" s="12" t="s">
        <v>1599</v>
      </c>
      <c r="M303" s="12" t="s">
        <v>2062</v>
      </c>
    </row>
    <row r="304" spans="1:13" ht="14.4" x14ac:dyDescent="0.3">
      <c r="A304" s="12" t="s">
        <v>31</v>
      </c>
      <c r="B304" s="12" t="s">
        <v>5725</v>
      </c>
      <c r="C304" s="12" t="s">
        <v>5726</v>
      </c>
      <c r="D304" s="12" t="s">
        <v>1410</v>
      </c>
      <c r="E304" s="12" t="s">
        <v>6135</v>
      </c>
      <c r="F304" s="12" t="s">
        <v>6136</v>
      </c>
      <c r="G304" s="12" t="s">
        <v>5325</v>
      </c>
      <c r="H304" s="12" t="s">
        <v>3207</v>
      </c>
      <c r="I304" s="12" t="s">
        <v>3204</v>
      </c>
      <c r="J304" s="12" t="s">
        <v>3204</v>
      </c>
      <c r="K304" s="12" t="s">
        <v>1551</v>
      </c>
      <c r="L304" s="12" t="s">
        <v>3204</v>
      </c>
      <c r="M304" s="12" t="s">
        <v>1599</v>
      </c>
    </row>
    <row r="305" spans="1:13" ht="14.4" x14ac:dyDescent="0.3">
      <c r="A305" s="12" t="s">
        <v>42</v>
      </c>
      <c r="B305" s="12" t="s">
        <v>565</v>
      </c>
      <c r="C305" s="12" t="s">
        <v>564</v>
      </c>
      <c r="D305" s="12" t="s">
        <v>1410</v>
      </c>
      <c r="E305" s="12" t="s">
        <v>3433</v>
      </c>
      <c r="F305" s="12" t="s">
        <v>3434</v>
      </c>
      <c r="G305" s="12" t="s">
        <v>3435</v>
      </c>
      <c r="H305" s="12" t="s">
        <v>3223</v>
      </c>
      <c r="I305" s="12" t="s">
        <v>1506</v>
      </c>
      <c r="J305" s="12" t="s">
        <v>2018</v>
      </c>
      <c r="K305" s="12" t="s">
        <v>2018</v>
      </c>
      <c r="L305" s="12" t="s">
        <v>2018</v>
      </c>
      <c r="M305" s="12" t="s">
        <v>1551</v>
      </c>
    </row>
    <row r="306" spans="1:13" ht="14.4" x14ac:dyDescent="0.3">
      <c r="A306" s="12" t="s">
        <v>49</v>
      </c>
      <c r="B306" s="12" t="s">
        <v>567</v>
      </c>
      <c r="C306" s="12" t="s">
        <v>566</v>
      </c>
      <c r="D306" s="12" t="s">
        <v>1410</v>
      </c>
      <c r="E306" s="12" t="s">
        <v>6137</v>
      </c>
      <c r="F306" s="12" t="s">
        <v>6138</v>
      </c>
      <c r="G306" s="12" t="s">
        <v>3929</v>
      </c>
      <c r="H306" s="12" t="s">
        <v>3240</v>
      </c>
      <c r="I306" s="12" t="s">
        <v>2018</v>
      </c>
      <c r="J306" s="12" t="s">
        <v>1599</v>
      </c>
      <c r="K306" s="12" t="s">
        <v>2018</v>
      </c>
      <c r="L306" s="12" t="s">
        <v>1551</v>
      </c>
      <c r="M306" s="12" t="s">
        <v>1599</v>
      </c>
    </row>
    <row r="307" spans="1:13" ht="14.4" x14ac:dyDescent="0.3">
      <c r="A307" s="12" t="s">
        <v>11</v>
      </c>
      <c r="B307" s="12" t="s">
        <v>569</v>
      </c>
      <c r="C307" s="12" t="s">
        <v>568</v>
      </c>
      <c r="D307" s="12" t="s">
        <v>1410</v>
      </c>
      <c r="E307" s="12" t="s">
        <v>3923</v>
      </c>
      <c r="F307" s="12" t="s">
        <v>3924</v>
      </c>
      <c r="G307" s="12" t="s">
        <v>2173</v>
      </c>
      <c r="H307" s="12" t="s">
        <v>3246</v>
      </c>
      <c r="I307" s="12" t="s">
        <v>2018</v>
      </c>
      <c r="J307" s="12" t="s">
        <v>1551</v>
      </c>
      <c r="K307" s="12" t="s">
        <v>3204</v>
      </c>
      <c r="L307" s="12" t="s">
        <v>1551</v>
      </c>
      <c r="M307" s="12" t="s">
        <v>1551</v>
      </c>
    </row>
    <row r="308" spans="1:13" ht="14.4" x14ac:dyDescent="0.3">
      <c r="A308" s="12" t="s">
        <v>55</v>
      </c>
      <c r="B308" s="12" t="s">
        <v>569</v>
      </c>
      <c r="C308" s="12" t="s">
        <v>570</v>
      </c>
      <c r="D308" s="12" t="s">
        <v>1410</v>
      </c>
      <c r="E308" s="12" t="s">
        <v>3910</v>
      </c>
      <c r="F308" s="12" t="s">
        <v>3911</v>
      </c>
      <c r="G308" s="12" t="s">
        <v>2162</v>
      </c>
      <c r="H308" s="12" t="s">
        <v>3210</v>
      </c>
      <c r="I308" s="12" t="s">
        <v>1551</v>
      </c>
      <c r="J308" s="12" t="s">
        <v>2018</v>
      </c>
      <c r="K308" s="12" t="s">
        <v>2018</v>
      </c>
      <c r="L308" s="12" t="s">
        <v>1551</v>
      </c>
      <c r="M308" s="12" t="s">
        <v>1749</v>
      </c>
    </row>
    <row r="309" spans="1:13" ht="14.4" x14ac:dyDescent="0.3">
      <c r="A309" s="12" t="s">
        <v>25</v>
      </c>
      <c r="B309" s="12" t="s">
        <v>569</v>
      </c>
      <c r="C309" s="12" t="s">
        <v>5744</v>
      </c>
      <c r="D309" s="12" t="s">
        <v>1410</v>
      </c>
      <c r="E309" s="12" t="s">
        <v>6139</v>
      </c>
      <c r="F309" s="12" t="s">
        <v>6140</v>
      </c>
      <c r="G309" s="12" t="s">
        <v>6141</v>
      </c>
      <c r="H309" s="12" t="s">
        <v>3240</v>
      </c>
      <c r="I309" s="12" t="s">
        <v>2018</v>
      </c>
      <c r="J309" s="12" t="s">
        <v>1551</v>
      </c>
      <c r="K309" s="12" t="s">
        <v>1551</v>
      </c>
      <c r="L309" s="12" t="s">
        <v>1599</v>
      </c>
      <c r="M309" s="12" t="s">
        <v>1551</v>
      </c>
    </row>
    <row r="310" spans="1:13" ht="14.4" x14ac:dyDescent="0.3">
      <c r="A310" s="12" t="s">
        <v>19</v>
      </c>
      <c r="B310" s="12" t="s">
        <v>5754</v>
      </c>
      <c r="C310" s="12" t="s">
        <v>5755</v>
      </c>
      <c r="D310" s="12" t="s">
        <v>1410</v>
      </c>
      <c r="E310" s="12" t="s">
        <v>6142</v>
      </c>
      <c r="F310" s="12" t="s">
        <v>6143</v>
      </c>
      <c r="G310" s="12" t="s">
        <v>6144</v>
      </c>
      <c r="H310" s="12" t="s">
        <v>3340</v>
      </c>
      <c r="I310" s="12" t="s">
        <v>2018</v>
      </c>
      <c r="J310" s="12" t="s">
        <v>2018</v>
      </c>
      <c r="K310" s="12" t="s">
        <v>1506</v>
      </c>
      <c r="L310" s="12" t="s">
        <v>1414</v>
      </c>
      <c r="M310" s="12" t="s">
        <v>1414</v>
      </c>
    </row>
    <row r="311" spans="1:13" ht="14.4" x14ac:dyDescent="0.3">
      <c r="A311" s="12" t="s">
        <v>8</v>
      </c>
      <c r="B311" s="12" t="s">
        <v>5758</v>
      </c>
      <c r="C311" s="12" t="s">
        <v>5759</v>
      </c>
      <c r="D311" s="12" t="s">
        <v>1410</v>
      </c>
      <c r="E311" s="12" t="s">
        <v>6145</v>
      </c>
      <c r="F311" s="12" t="s">
        <v>5709</v>
      </c>
      <c r="G311" s="12" t="s">
        <v>4541</v>
      </c>
      <c r="H311" s="12" t="s">
        <v>3258</v>
      </c>
      <c r="I311" s="12" t="s">
        <v>1551</v>
      </c>
      <c r="J311" s="12" t="s">
        <v>1599</v>
      </c>
      <c r="K311" s="12" t="s">
        <v>2018</v>
      </c>
      <c r="L311" s="12" t="s">
        <v>2018</v>
      </c>
      <c r="M311" s="12" t="s">
        <v>2018</v>
      </c>
    </row>
    <row r="312" spans="1:13" ht="14.4" x14ac:dyDescent="0.3">
      <c r="A312" s="12" t="s">
        <v>71</v>
      </c>
      <c r="B312" s="12" t="s">
        <v>5762</v>
      </c>
      <c r="C312" s="12" t="s">
        <v>5763</v>
      </c>
      <c r="D312" s="12" t="s">
        <v>1410</v>
      </c>
      <c r="E312" s="12" t="s">
        <v>6131</v>
      </c>
      <c r="F312" s="12" t="s">
        <v>6146</v>
      </c>
      <c r="G312" s="12" t="s">
        <v>1945</v>
      </c>
      <c r="H312" s="12" t="s">
        <v>3322</v>
      </c>
      <c r="I312" s="12" t="s">
        <v>3214</v>
      </c>
      <c r="J312" s="12" t="s">
        <v>1506</v>
      </c>
      <c r="K312" s="12" t="s">
        <v>1506</v>
      </c>
      <c r="L312" s="12" t="s">
        <v>1506</v>
      </c>
      <c r="M312" s="12" t="s">
        <v>1506</v>
      </c>
    </row>
    <row r="313" spans="1:13" ht="14.4" x14ac:dyDescent="0.3">
      <c r="A313" s="12" t="s">
        <v>120</v>
      </c>
      <c r="B313" s="12" t="s">
        <v>5769</v>
      </c>
      <c r="C313" s="12" t="s">
        <v>5770</v>
      </c>
      <c r="D313" s="12" t="s">
        <v>1410</v>
      </c>
      <c r="E313" s="12" t="s">
        <v>5868</v>
      </c>
      <c r="F313" s="12" t="s">
        <v>6147</v>
      </c>
      <c r="G313" s="12" t="s">
        <v>6148</v>
      </c>
      <c r="H313" s="12" t="s">
        <v>3234</v>
      </c>
      <c r="I313" s="12" t="s">
        <v>1551</v>
      </c>
      <c r="J313" s="12" t="s">
        <v>1599</v>
      </c>
      <c r="K313" s="12" t="s">
        <v>1506</v>
      </c>
      <c r="L313" s="12" t="s">
        <v>2018</v>
      </c>
      <c r="M313" s="12" t="s">
        <v>2018</v>
      </c>
    </row>
    <row r="314" spans="1:13" ht="14.4" x14ac:dyDescent="0.3">
      <c r="A314" s="12" t="s">
        <v>55</v>
      </c>
      <c r="B314" s="12" t="s">
        <v>5774</v>
      </c>
      <c r="C314" s="12" t="s">
        <v>5775</v>
      </c>
      <c r="D314" s="12" t="s">
        <v>1410</v>
      </c>
      <c r="E314" s="12" t="s">
        <v>6065</v>
      </c>
      <c r="F314" s="12" t="s">
        <v>6149</v>
      </c>
      <c r="G314" s="12" t="s">
        <v>3321</v>
      </c>
      <c r="H314" s="12" t="s">
        <v>3207</v>
      </c>
      <c r="I314" s="12" t="s">
        <v>2062</v>
      </c>
      <c r="J314" s="12" t="s">
        <v>3214</v>
      </c>
      <c r="K314" s="12" t="s">
        <v>1551</v>
      </c>
      <c r="L314" s="12" t="s">
        <v>1551</v>
      </c>
      <c r="M314" s="12" t="s">
        <v>1551</v>
      </c>
    </row>
    <row r="315" spans="1:13" ht="14.4" x14ac:dyDescent="0.3">
      <c r="A315" s="12" t="s">
        <v>126</v>
      </c>
      <c r="B315" s="12" t="s">
        <v>5779</v>
      </c>
      <c r="C315" s="12" t="s">
        <v>5780</v>
      </c>
      <c r="D315" s="12" t="s">
        <v>1410</v>
      </c>
      <c r="E315" s="12" t="s">
        <v>6150</v>
      </c>
      <c r="F315" s="12" t="s">
        <v>6151</v>
      </c>
      <c r="G315" s="12" t="s">
        <v>6152</v>
      </c>
      <c r="H315" s="12" t="s">
        <v>3332</v>
      </c>
      <c r="I315" s="12" t="s">
        <v>3204</v>
      </c>
      <c r="J315" s="12" t="s">
        <v>1420</v>
      </c>
      <c r="K315" s="12" t="s">
        <v>2435</v>
      </c>
      <c r="L315" s="12" t="s">
        <v>1506</v>
      </c>
      <c r="M315" s="12" t="s">
        <v>2018</v>
      </c>
    </row>
    <row r="316" spans="1:13" ht="14.4" x14ac:dyDescent="0.3">
      <c r="A316" s="12" t="s">
        <v>55</v>
      </c>
      <c r="B316" s="12" t="s">
        <v>5786</v>
      </c>
      <c r="C316" s="12" t="s">
        <v>5787</v>
      </c>
      <c r="D316" s="12" t="s">
        <v>1410</v>
      </c>
      <c r="E316" s="12" t="s">
        <v>6153</v>
      </c>
      <c r="F316" s="12" t="s">
        <v>6154</v>
      </c>
      <c r="G316" s="12" t="s">
        <v>4592</v>
      </c>
      <c r="H316" s="12" t="s">
        <v>3439</v>
      </c>
      <c r="I316" s="12" t="s">
        <v>2018</v>
      </c>
      <c r="J316" s="12" t="s">
        <v>2018</v>
      </c>
      <c r="K316" s="12" t="s">
        <v>2018</v>
      </c>
      <c r="L316" s="12" t="s">
        <v>1551</v>
      </c>
      <c r="M316" s="12" t="s">
        <v>2018</v>
      </c>
    </row>
    <row r="317" spans="1:13" ht="14.4" x14ac:dyDescent="0.3">
      <c r="A317" s="12" t="s">
        <v>31</v>
      </c>
      <c r="B317" s="12" t="s">
        <v>5795</v>
      </c>
      <c r="C317" s="12" t="s">
        <v>5796</v>
      </c>
      <c r="D317" s="12" t="s">
        <v>1456</v>
      </c>
      <c r="E317" s="12" t="s">
        <v>6155</v>
      </c>
      <c r="F317" s="12" t="s">
        <v>1415</v>
      </c>
      <c r="G317" s="12" t="s">
        <v>1415</v>
      </c>
      <c r="H317" s="12" t="s">
        <v>1415</v>
      </c>
      <c r="I317" s="12" t="s">
        <v>1414</v>
      </c>
      <c r="J317" s="12" t="s">
        <v>3204</v>
      </c>
      <c r="K317" s="12" t="s">
        <v>2018</v>
      </c>
      <c r="L317" s="12" t="s">
        <v>1415</v>
      </c>
      <c r="M317" s="12" t="s">
        <v>1415</v>
      </c>
    </row>
    <row r="318" spans="1:13" ht="14.4" x14ac:dyDescent="0.3">
      <c r="A318" s="12" t="s">
        <v>42</v>
      </c>
      <c r="B318" s="12" t="s">
        <v>572</v>
      </c>
      <c r="C318" s="12" t="s">
        <v>571</v>
      </c>
      <c r="D318" s="12" t="s">
        <v>1410</v>
      </c>
      <c r="E318" s="12" t="s">
        <v>4314</v>
      </c>
      <c r="F318" s="12" t="s">
        <v>4315</v>
      </c>
      <c r="G318" s="12" t="s">
        <v>3373</v>
      </c>
      <c r="H318" s="12" t="s">
        <v>3218</v>
      </c>
      <c r="I318" s="12" t="s">
        <v>2062</v>
      </c>
      <c r="J318" s="12" t="s">
        <v>1506</v>
      </c>
      <c r="K318" s="12" t="s">
        <v>2018</v>
      </c>
      <c r="L318" s="12" t="s">
        <v>1599</v>
      </c>
      <c r="M318" s="12" t="s">
        <v>1599</v>
      </c>
    </row>
    <row r="319" spans="1:13" ht="14.4" x14ac:dyDescent="0.3">
      <c r="A319" s="12" t="s">
        <v>575</v>
      </c>
      <c r="B319" s="12" t="s">
        <v>574</v>
      </c>
      <c r="C319" s="12" t="s">
        <v>573</v>
      </c>
      <c r="D319" s="12" t="s">
        <v>1410</v>
      </c>
      <c r="E319" s="12" t="s">
        <v>4076</v>
      </c>
      <c r="F319" s="12" t="s">
        <v>2841</v>
      </c>
      <c r="G319" s="12" t="s">
        <v>4077</v>
      </c>
      <c r="H319" s="12" t="s">
        <v>1419</v>
      </c>
      <c r="I319" s="12" t="s">
        <v>3214</v>
      </c>
      <c r="J319" s="12" t="s">
        <v>1749</v>
      </c>
      <c r="K319" s="12" t="s">
        <v>1414</v>
      </c>
      <c r="L319" s="12" t="s">
        <v>1599</v>
      </c>
      <c r="M319" s="12" t="s">
        <v>1599</v>
      </c>
    </row>
    <row r="320" spans="1:13" ht="14.4" x14ac:dyDescent="0.3">
      <c r="A320" s="12" t="s">
        <v>11</v>
      </c>
      <c r="B320" s="12" t="s">
        <v>359</v>
      </c>
      <c r="C320" s="12" t="s">
        <v>576</v>
      </c>
      <c r="D320" s="12" t="s">
        <v>1410</v>
      </c>
      <c r="E320" s="12" t="s">
        <v>3358</v>
      </c>
      <c r="F320" s="12" t="s">
        <v>3364</v>
      </c>
      <c r="G320" s="12" t="s">
        <v>3365</v>
      </c>
      <c r="H320" s="12" t="s">
        <v>3246</v>
      </c>
      <c r="I320" s="12" t="s">
        <v>1551</v>
      </c>
      <c r="J320" s="12" t="s">
        <v>1599</v>
      </c>
      <c r="K320" s="12" t="s">
        <v>2018</v>
      </c>
      <c r="L320" s="12" t="s">
        <v>1551</v>
      </c>
      <c r="M320" s="12" t="s">
        <v>1506</v>
      </c>
    </row>
    <row r="321" spans="1:13" ht="14.4" x14ac:dyDescent="0.3">
      <c r="A321" s="12" t="s">
        <v>31</v>
      </c>
      <c r="B321" s="12" t="s">
        <v>359</v>
      </c>
      <c r="C321" s="12" t="s">
        <v>577</v>
      </c>
      <c r="D321" s="12" t="s">
        <v>1410</v>
      </c>
      <c r="E321" s="12" t="s">
        <v>1591</v>
      </c>
      <c r="F321" s="12" t="s">
        <v>3265</v>
      </c>
      <c r="G321" s="12" t="s">
        <v>1895</v>
      </c>
      <c r="H321" s="12" t="s">
        <v>3240</v>
      </c>
      <c r="I321" s="12" t="s">
        <v>1599</v>
      </c>
      <c r="J321" s="12" t="s">
        <v>1551</v>
      </c>
      <c r="K321" s="12" t="s">
        <v>1599</v>
      </c>
      <c r="L321" s="12" t="s">
        <v>2018</v>
      </c>
      <c r="M321" s="12" t="s">
        <v>2018</v>
      </c>
    </row>
    <row r="322" spans="1:13" ht="14.4" x14ac:dyDescent="0.3">
      <c r="A322" s="12" t="s">
        <v>16</v>
      </c>
      <c r="B322" s="12" t="s">
        <v>579</v>
      </c>
      <c r="C322" s="12" t="s">
        <v>578</v>
      </c>
      <c r="D322" s="12" t="s">
        <v>1410</v>
      </c>
      <c r="E322" s="12" t="s">
        <v>3309</v>
      </c>
      <c r="F322" s="12" t="s">
        <v>1713</v>
      </c>
      <c r="G322" s="12" t="s">
        <v>3310</v>
      </c>
      <c r="H322" s="12" t="s">
        <v>3311</v>
      </c>
      <c r="I322" s="12" t="s">
        <v>1414</v>
      </c>
      <c r="J322" s="12" t="s">
        <v>1599</v>
      </c>
      <c r="K322" s="12" t="s">
        <v>1551</v>
      </c>
      <c r="L322" s="12" t="s">
        <v>1551</v>
      </c>
      <c r="M322" s="12" t="s">
        <v>1599</v>
      </c>
    </row>
    <row r="323" spans="1:13" ht="14.4" x14ac:dyDescent="0.3">
      <c r="A323" s="12" t="s">
        <v>8</v>
      </c>
      <c r="B323" s="12" t="s">
        <v>579</v>
      </c>
      <c r="C323" s="12" t="s">
        <v>580</v>
      </c>
      <c r="D323" s="12" t="s">
        <v>1410</v>
      </c>
      <c r="E323" s="12" t="s">
        <v>4276</v>
      </c>
      <c r="F323" s="12" t="s">
        <v>4277</v>
      </c>
      <c r="G323" s="12" t="s">
        <v>4278</v>
      </c>
      <c r="H323" s="12" t="s">
        <v>3234</v>
      </c>
      <c r="I323" s="12" t="s">
        <v>1506</v>
      </c>
      <c r="J323" s="12" t="s">
        <v>1551</v>
      </c>
      <c r="K323" s="12" t="s">
        <v>1599</v>
      </c>
      <c r="L323" s="12" t="s">
        <v>2018</v>
      </c>
      <c r="M323" s="12" t="s">
        <v>2018</v>
      </c>
    </row>
    <row r="324" spans="1:13" ht="14.4" x14ac:dyDescent="0.3">
      <c r="A324" s="12" t="s">
        <v>71</v>
      </c>
      <c r="B324" s="12" t="s">
        <v>582</v>
      </c>
      <c r="C324" s="12" t="s">
        <v>581</v>
      </c>
      <c r="D324" s="12" t="s">
        <v>1410</v>
      </c>
      <c r="E324" s="12" t="s">
        <v>6156</v>
      </c>
      <c r="F324" s="12" t="s">
        <v>6157</v>
      </c>
      <c r="G324" s="12" t="s">
        <v>6158</v>
      </c>
      <c r="H324" s="12" t="s">
        <v>3207</v>
      </c>
      <c r="I324" s="12" t="s">
        <v>1414</v>
      </c>
      <c r="J324" s="12" t="s">
        <v>2018</v>
      </c>
      <c r="K324" s="12" t="s">
        <v>1551</v>
      </c>
      <c r="L324" s="12" t="s">
        <v>3204</v>
      </c>
      <c r="M324" s="12" t="s">
        <v>2018</v>
      </c>
    </row>
    <row r="325" spans="1:13" ht="14.4" x14ac:dyDescent="0.3">
      <c r="A325" s="12" t="s">
        <v>585</v>
      </c>
      <c r="B325" s="12" t="s">
        <v>584</v>
      </c>
      <c r="C325" s="12" t="s">
        <v>583</v>
      </c>
      <c r="D325" s="12" t="s">
        <v>1410</v>
      </c>
      <c r="E325" s="12" t="s">
        <v>6159</v>
      </c>
      <c r="F325" s="12" t="s">
        <v>6160</v>
      </c>
      <c r="G325" s="12" t="s">
        <v>6161</v>
      </c>
      <c r="H325" s="12" t="s">
        <v>3246</v>
      </c>
      <c r="I325" s="12" t="s">
        <v>1506</v>
      </c>
      <c r="J325" s="12" t="s">
        <v>1551</v>
      </c>
      <c r="K325" s="12" t="s">
        <v>2018</v>
      </c>
      <c r="L325" s="12" t="s">
        <v>1599</v>
      </c>
      <c r="M325" s="12" t="s">
        <v>1551</v>
      </c>
    </row>
    <row r="326" spans="1:13" ht="14.4" x14ac:dyDescent="0.3">
      <c r="A326" s="12" t="s">
        <v>8</v>
      </c>
      <c r="B326" s="12" t="s">
        <v>587</v>
      </c>
      <c r="C326" s="12" t="s">
        <v>586</v>
      </c>
      <c r="D326" s="12" t="s">
        <v>1410</v>
      </c>
      <c r="E326" s="12" t="s">
        <v>6162</v>
      </c>
      <c r="F326" s="12" t="s">
        <v>6163</v>
      </c>
      <c r="G326" s="12" t="s">
        <v>3212</v>
      </c>
      <c r="H326" s="12" t="s">
        <v>3246</v>
      </c>
      <c r="I326" s="12" t="s">
        <v>1551</v>
      </c>
      <c r="J326" s="12" t="s">
        <v>1551</v>
      </c>
      <c r="K326" s="12" t="s">
        <v>1599</v>
      </c>
      <c r="L326" s="12" t="s">
        <v>2018</v>
      </c>
      <c r="M326" s="12" t="s">
        <v>1506</v>
      </c>
    </row>
    <row r="327" spans="1:13" ht="14.4" x14ac:dyDescent="0.3">
      <c r="A327" s="12" t="s">
        <v>71</v>
      </c>
      <c r="B327" s="12" t="s">
        <v>592</v>
      </c>
      <c r="C327" s="12" t="s">
        <v>591</v>
      </c>
      <c r="D327" s="12" t="s">
        <v>1410</v>
      </c>
      <c r="E327" s="12" t="s">
        <v>3681</v>
      </c>
      <c r="F327" s="12" t="s">
        <v>3682</v>
      </c>
      <c r="G327" s="12" t="s">
        <v>3683</v>
      </c>
      <c r="H327" s="12" t="s">
        <v>3203</v>
      </c>
      <c r="I327" s="12" t="s">
        <v>1599</v>
      </c>
      <c r="J327" s="12" t="s">
        <v>2018</v>
      </c>
      <c r="K327" s="12" t="s">
        <v>1506</v>
      </c>
      <c r="L327" s="12" t="s">
        <v>1599</v>
      </c>
      <c r="M327" s="12" t="s">
        <v>1599</v>
      </c>
    </row>
    <row r="328" spans="1:13" ht="14.4" x14ac:dyDescent="0.3">
      <c r="A328" s="12" t="s">
        <v>31</v>
      </c>
      <c r="B328" s="12" t="s">
        <v>594</v>
      </c>
      <c r="C328" s="12" t="s">
        <v>593</v>
      </c>
      <c r="D328" s="12" t="s">
        <v>1410</v>
      </c>
      <c r="E328" s="12" t="s">
        <v>6164</v>
      </c>
      <c r="F328" s="12" t="s">
        <v>6165</v>
      </c>
      <c r="G328" s="12" t="s">
        <v>6166</v>
      </c>
      <c r="H328" s="12" t="s">
        <v>3322</v>
      </c>
      <c r="I328" s="12" t="s">
        <v>1551</v>
      </c>
      <c r="J328" s="12" t="s">
        <v>1414</v>
      </c>
      <c r="K328" s="12" t="s">
        <v>3204</v>
      </c>
      <c r="L328" s="12" t="s">
        <v>1551</v>
      </c>
      <c r="M328" s="12" t="s">
        <v>1506</v>
      </c>
    </row>
    <row r="329" spans="1:13" ht="14.4" x14ac:dyDescent="0.3">
      <c r="A329" s="12" t="s">
        <v>8</v>
      </c>
      <c r="B329" s="12" t="s">
        <v>5826</v>
      </c>
      <c r="C329" s="12" t="s">
        <v>5827</v>
      </c>
      <c r="D329" s="12" t="s">
        <v>1410</v>
      </c>
      <c r="E329" s="12" t="s">
        <v>6042</v>
      </c>
      <c r="F329" s="12" t="s">
        <v>6103</v>
      </c>
      <c r="G329" s="12" t="s">
        <v>6167</v>
      </c>
      <c r="H329" s="12" t="s">
        <v>3218</v>
      </c>
      <c r="I329" s="12" t="s">
        <v>1599</v>
      </c>
      <c r="J329" s="12" t="s">
        <v>2062</v>
      </c>
      <c r="K329" s="12" t="s">
        <v>1506</v>
      </c>
      <c r="L329" s="12" t="s">
        <v>1551</v>
      </c>
      <c r="M329" s="12" t="s">
        <v>1551</v>
      </c>
    </row>
    <row r="330" spans="1:13" ht="14.4" x14ac:dyDescent="0.3">
      <c r="A330" s="12" t="s">
        <v>31</v>
      </c>
      <c r="B330" s="12" t="s">
        <v>148</v>
      </c>
      <c r="C330" s="12" t="s">
        <v>597</v>
      </c>
      <c r="D330" s="12" t="s">
        <v>1410</v>
      </c>
      <c r="E330" s="12" t="s">
        <v>2746</v>
      </c>
      <c r="F330" s="12" t="s">
        <v>4011</v>
      </c>
      <c r="G330" s="12" t="s">
        <v>3548</v>
      </c>
      <c r="H330" s="12" t="s">
        <v>3311</v>
      </c>
      <c r="I330" s="12" t="s">
        <v>1414</v>
      </c>
      <c r="J330" s="12" t="s">
        <v>2018</v>
      </c>
      <c r="K330" s="12" t="s">
        <v>2062</v>
      </c>
      <c r="L330" s="12" t="s">
        <v>2018</v>
      </c>
      <c r="M330" s="12" t="s">
        <v>1551</v>
      </c>
    </row>
    <row r="331" spans="1:13" ht="14.4" x14ac:dyDescent="0.3">
      <c r="A331" s="12" t="s">
        <v>8</v>
      </c>
      <c r="B331" s="12" t="s">
        <v>599</v>
      </c>
      <c r="C331" s="12" t="s">
        <v>598</v>
      </c>
      <c r="D331" s="12" t="s">
        <v>1410</v>
      </c>
      <c r="E331" s="12" t="s">
        <v>4059</v>
      </c>
      <c r="F331" s="12" t="s">
        <v>4060</v>
      </c>
      <c r="G331" s="12" t="s">
        <v>3781</v>
      </c>
      <c r="H331" s="12" t="s">
        <v>3234</v>
      </c>
      <c r="I331" s="12" t="s">
        <v>1551</v>
      </c>
      <c r="J331" s="12" t="s">
        <v>1551</v>
      </c>
      <c r="K331" s="12" t="s">
        <v>2018</v>
      </c>
      <c r="L331" s="12" t="s">
        <v>1599</v>
      </c>
      <c r="M331" s="12" t="s">
        <v>1599</v>
      </c>
    </row>
    <row r="332" spans="1:13" ht="14.4" x14ac:dyDescent="0.3">
      <c r="A332" s="12" t="s">
        <v>31</v>
      </c>
      <c r="B332" s="12" t="s">
        <v>601</v>
      </c>
      <c r="C332" s="12" t="s">
        <v>600</v>
      </c>
      <c r="D332" s="12" t="s">
        <v>1410</v>
      </c>
      <c r="E332" s="12" t="s">
        <v>3824</v>
      </c>
      <c r="F332" s="12" t="s">
        <v>3825</v>
      </c>
      <c r="G332" s="12" t="s">
        <v>2561</v>
      </c>
      <c r="H332" s="12" t="s">
        <v>3203</v>
      </c>
      <c r="I332" s="12" t="s">
        <v>1599</v>
      </c>
      <c r="J332" s="12" t="s">
        <v>1551</v>
      </c>
      <c r="K332" s="12" t="s">
        <v>1551</v>
      </c>
      <c r="L332" s="12" t="s">
        <v>2018</v>
      </c>
      <c r="M332" s="12" t="s">
        <v>2062</v>
      </c>
    </row>
    <row r="333" spans="1:13" ht="14.4" x14ac:dyDescent="0.3">
      <c r="A333" s="12" t="s">
        <v>8</v>
      </c>
      <c r="B333" s="12" t="s">
        <v>603</v>
      </c>
      <c r="C333" s="12" t="s">
        <v>602</v>
      </c>
      <c r="D333" s="12" t="s">
        <v>1410</v>
      </c>
      <c r="E333" s="12" t="s">
        <v>3891</v>
      </c>
      <c r="F333" s="12" t="s">
        <v>3892</v>
      </c>
      <c r="G333" s="12" t="s">
        <v>3893</v>
      </c>
      <c r="H333" s="12" t="s">
        <v>3210</v>
      </c>
      <c r="I333" s="12" t="s">
        <v>1599</v>
      </c>
      <c r="J333" s="12" t="s">
        <v>1599</v>
      </c>
      <c r="K333" s="12" t="s">
        <v>1506</v>
      </c>
      <c r="L333" s="12" t="s">
        <v>2018</v>
      </c>
      <c r="M333" s="12" t="s">
        <v>1551</v>
      </c>
    </row>
    <row r="334" spans="1:13" ht="14.4" x14ac:dyDescent="0.3">
      <c r="A334" s="12" t="s">
        <v>11</v>
      </c>
      <c r="B334" s="12" t="s">
        <v>605</v>
      </c>
      <c r="C334" s="12" t="s">
        <v>604</v>
      </c>
      <c r="D334" s="12" t="s">
        <v>1410</v>
      </c>
      <c r="E334" s="12" t="s">
        <v>3669</v>
      </c>
      <c r="F334" s="12" t="s">
        <v>3670</v>
      </c>
      <c r="G334" s="12" t="s">
        <v>3671</v>
      </c>
      <c r="H334" s="12" t="s">
        <v>3464</v>
      </c>
      <c r="I334" s="12" t="s">
        <v>2018</v>
      </c>
      <c r="J334" s="12" t="s">
        <v>2018</v>
      </c>
      <c r="K334" s="12" t="s">
        <v>2018</v>
      </c>
      <c r="L334" s="12" t="s">
        <v>2018</v>
      </c>
      <c r="M334" s="12" t="s">
        <v>2018</v>
      </c>
    </row>
    <row r="335" spans="1:13" ht="14.4" x14ac:dyDescent="0.3">
      <c r="A335" s="12" t="s">
        <v>8</v>
      </c>
      <c r="B335" s="12" t="s">
        <v>172</v>
      </c>
      <c r="C335" s="12" t="s">
        <v>606</v>
      </c>
      <c r="D335" s="12" t="s">
        <v>1410</v>
      </c>
      <c r="E335" s="12" t="s">
        <v>3678</v>
      </c>
      <c r="F335" s="12" t="s">
        <v>3679</v>
      </c>
      <c r="G335" s="12" t="s">
        <v>3680</v>
      </c>
      <c r="H335" s="12" t="s">
        <v>3385</v>
      </c>
      <c r="I335" s="12" t="s">
        <v>3214</v>
      </c>
      <c r="J335" s="12" t="s">
        <v>1551</v>
      </c>
      <c r="K335" s="12" t="s">
        <v>2062</v>
      </c>
      <c r="L335" s="12" t="s">
        <v>1506</v>
      </c>
      <c r="M335" s="12" t="s">
        <v>1551</v>
      </c>
    </row>
    <row r="336" spans="1:13" ht="14.4" x14ac:dyDescent="0.3">
      <c r="A336" s="12" t="s">
        <v>55</v>
      </c>
      <c r="B336" s="12" t="s">
        <v>608</v>
      </c>
      <c r="C336" s="12" t="s">
        <v>607</v>
      </c>
      <c r="D336" s="12" t="s">
        <v>1410</v>
      </c>
      <c r="E336" s="12" t="s">
        <v>2342</v>
      </c>
      <c r="F336" s="12" t="s">
        <v>2356</v>
      </c>
      <c r="G336" s="12" t="s">
        <v>3655</v>
      </c>
      <c r="H336" s="12" t="s">
        <v>1438</v>
      </c>
      <c r="I336" s="12" t="s">
        <v>3214</v>
      </c>
      <c r="J336" s="12" t="s">
        <v>1551</v>
      </c>
      <c r="K336" s="12" t="s">
        <v>2435</v>
      </c>
      <c r="L336" s="12" t="s">
        <v>2062</v>
      </c>
      <c r="M336" s="12" t="s">
        <v>1414</v>
      </c>
    </row>
    <row r="337" spans="1:13" ht="14.4" x14ac:dyDescent="0.3">
      <c r="A337" s="12" t="s">
        <v>55</v>
      </c>
      <c r="B337" s="12" t="s">
        <v>608</v>
      </c>
      <c r="C337" s="12" t="s">
        <v>607</v>
      </c>
      <c r="D337" s="12" t="s">
        <v>1410</v>
      </c>
      <c r="E337" s="12" t="s">
        <v>2359</v>
      </c>
      <c r="F337" s="12" t="s">
        <v>3664</v>
      </c>
      <c r="G337" s="12" t="s">
        <v>2155</v>
      </c>
      <c r="H337" s="12" t="s">
        <v>3258</v>
      </c>
      <c r="I337" s="12" t="s">
        <v>2018</v>
      </c>
      <c r="J337" s="12" t="s">
        <v>1551</v>
      </c>
      <c r="K337" s="12" t="s">
        <v>1599</v>
      </c>
      <c r="L337" s="12" t="s">
        <v>2018</v>
      </c>
      <c r="M337" s="12" t="s">
        <v>2018</v>
      </c>
    </row>
    <row r="338" spans="1:13" ht="14.4" x14ac:dyDescent="0.3">
      <c r="A338" s="12" t="s">
        <v>28</v>
      </c>
      <c r="B338" s="12" t="s">
        <v>5869</v>
      </c>
      <c r="C338" s="12" t="s">
        <v>5870</v>
      </c>
      <c r="D338" s="12" t="s">
        <v>1456</v>
      </c>
      <c r="E338" s="12" t="s">
        <v>5575</v>
      </c>
      <c r="F338" s="12" t="s">
        <v>1415</v>
      </c>
      <c r="G338" s="12" t="s">
        <v>1415</v>
      </c>
      <c r="H338" s="12" t="s">
        <v>1415</v>
      </c>
      <c r="I338" s="12" t="s">
        <v>1415</v>
      </c>
      <c r="J338" s="12" t="s">
        <v>1415</v>
      </c>
      <c r="K338" s="12" t="s">
        <v>1415</v>
      </c>
      <c r="L338" s="12" t="s">
        <v>1415</v>
      </c>
      <c r="M338" s="12" t="s">
        <v>1415</v>
      </c>
    </row>
    <row r="339" spans="1:13" ht="14.4" x14ac:dyDescent="0.3">
      <c r="A339" s="12" t="s">
        <v>133</v>
      </c>
      <c r="B339" s="12" t="s">
        <v>610</v>
      </c>
      <c r="C339" s="12" t="s">
        <v>609</v>
      </c>
      <c r="D339" s="12" t="s">
        <v>1410</v>
      </c>
      <c r="E339" s="12" t="s">
        <v>6168</v>
      </c>
      <c r="F339" s="12" t="s">
        <v>6169</v>
      </c>
      <c r="G339" s="12" t="s">
        <v>6170</v>
      </c>
      <c r="H339" s="12" t="s">
        <v>3322</v>
      </c>
      <c r="I339" s="12" t="s">
        <v>1414</v>
      </c>
      <c r="J339" s="12" t="s">
        <v>1506</v>
      </c>
      <c r="K339" s="12" t="s">
        <v>3204</v>
      </c>
      <c r="L339" s="12" t="s">
        <v>1551</v>
      </c>
      <c r="M339" s="12" t="s">
        <v>1551</v>
      </c>
    </row>
    <row r="340" spans="1:13" ht="14.4" x14ac:dyDescent="0.3">
      <c r="A340" s="12" t="s">
        <v>8</v>
      </c>
      <c r="B340" s="12" t="s">
        <v>612</v>
      </c>
      <c r="C340" s="12" t="s">
        <v>611</v>
      </c>
      <c r="D340" s="12" t="s">
        <v>1410</v>
      </c>
      <c r="E340" s="12" t="s">
        <v>2779</v>
      </c>
      <c r="F340" s="12" t="s">
        <v>4023</v>
      </c>
      <c r="G340" s="12" t="s">
        <v>4024</v>
      </c>
      <c r="H340" s="12" t="s">
        <v>3264</v>
      </c>
      <c r="I340" s="12" t="s">
        <v>2018</v>
      </c>
      <c r="J340" s="12" t="s">
        <v>1551</v>
      </c>
      <c r="K340" s="12" t="s">
        <v>2018</v>
      </c>
      <c r="L340" s="12" t="s">
        <v>1551</v>
      </c>
      <c r="M340" s="12" t="s">
        <v>2018</v>
      </c>
    </row>
    <row r="341" spans="1:13" ht="14.4" x14ac:dyDescent="0.3">
      <c r="A341" s="12" t="s">
        <v>585</v>
      </c>
      <c r="B341" s="12" t="s">
        <v>616</v>
      </c>
      <c r="C341" s="12" t="s">
        <v>615</v>
      </c>
      <c r="D341" s="12" t="s">
        <v>1410</v>
      </c>
      <c r="E341" s="12" t="s">
        <v>4353</v>
      </c>
      <c r="F341" s="12" t="s">
        <v>4354</v>
      </c>
      <c r="G341" s="12" t="s">
        <v>4355</v>
      </c>
      <c r="H341" s="12" t="s">
        <v>1464</v>
      </c>
      <c r="I341" s="12" t="s">
        <v>1420</v>
      </c>
      <c r="J341" s="12" t="s">
        <v>2062</v>
      </c>
      <c r="K341" s="12" t="s">
        <v>1599</v>
      </c>
      <c r="L341" s="12" t="s">
        <v>1506</v>
      </c>
      <c r="M341" s="12" t="s">
        <v>1749</v>
      </c>
    </row>
    <row r="342" spans="1:13" ht="14.4" x14ac:dyDescent="0.3">
      <c r="A342" s="12" t="s">
        <v>123</v>
      </c>
      <c r="B342" s="12" t="s">
        <v>618</v>
      </c>
      <c r="C342" s="12" t="s">
        <v>617</v>
      </c>
      <c r="D342" s="12" t="s">
        <v>1410</v>
      </c>
      <c r="E342" s="12" t="s">
        <v>3259</v>
      </c>
      <c r="F342" s="12" t="s">
        <v>3260</v>
      </c>
      <c r="G342" s="12" t="s">
        <v>3261</v>
      </c>
      <c r="H342" s="12" t="s">
        <v>3203</v>
      </c>
      <c r="I342" s="12" t="s">
        <v>1551</v>
      </c>
      <c r="J342" s="12" t="s">
        <v>1551</v>
      </c>
      <c r="K342" s="12" t="s">
        <v>3204</v>
      </c>
      <c r="L342" s="12" t="s">
        <v>1551</v>
      </c>
      <c r="M342" s="12" t="s">
        <v>1599</v>
      </c>
    </row>
    <row r="343" spans="1:13" ht="14.4" x14ac:dyDescent="0.3">
      <c r="A343" s="12" t="s">
        <v>31</v>
      </c>
      <c r="B343" s="12" t="s">
        <v>5892</v>
      </c>
      <c r="C343" s="12" t="s">
        <v>5893</v>
      </c>
      <c r="D343" s="12" t="s">
        <v>1410</v>
      </c>
      <c r="E343" s="12" t="s">
        <v>6171</v>
      </c>
      <c r="F343" s="12" t="s">
        <v>6172</v>
      </c>
      <c r="G343" s="12" t="s">
        <v>6173</v>
      </c>
      <c r="H343" s="12" t="s">
        <v>3210</v>
      </c>
      <c r="I343" s="12" t="s">
        <v>1506</v>
      </c>
      <c r="J343" s="12" t="s">
        <v>2018</v>
      </c>
      <c r="K343" s="12" t="s">
        <v>1551</v>
      </c>
      <c r="L343" s="12" t="s">
        <v>2018</v>
      </c>
      <c r="M343" s="12" t="s">
        <v>3204</v>
      </c>
    </row>
    <row r="344" spans="1:13" ht="14.4" x14ac:dyDescent="0.3">
      <c r="A344" s="12" t="s">
        <v>71</v>
      </c>
      <c r="B344" s="12" t="s">
        <v>620</v>
      </c>
      <c r="C344" s="12" t="s">
        <v>619</v>
      </c>
      <c r="D344" s="12" t="s">
        <v>1410</v>
      </c>
      <c r="E344" s="12" t="s">
        <v>3690</v>
      </c>
      <c r="F344" s="12" t="s">
        <v>3691</v>
      </c>
      <c r="G344" s="12" t="s">
        <v>3692</v>
      </c>
      <c r="H344" s="12" t="s">
        <v>3210</v>
      </c>
      <c r="I344" s="12" t="s">
        <v>1599</v>
      </c>
      <c r="J344" s="12" t="s">
        <v>1551</v>
      </c>
      <c r="K344" s="12" t="s">
        <v>1599</v>
      </c>
      <c r="L344" s="12" t="s">
        <v>1551</v>
      </c>
      <c r="M344" s="12" t="s">
        <v>1599</v>
      </c>
    </row>
    <row r="345" spans="1:13" ht="14.4" x14ac:dyDescent="0.3">
      <c r="A345" s="12" t="s">
        <v>623</v>
      </c>
      <c r="B345" s="12" t="s">
        <v>622</v>
      </c>
      <c r="C345" s="12" t="s">
        <v>621</v>
      </c>
      <c r="D345" s="12" t="s">
        <v>1410</v>
      </c>
      <c r="E345" s="12" t="s">
        <v>3611</v>
      </c>
      <c r="F345" s="12" t="s">
        <v>3612</v>
      </c>
      <c r="G345" s="12" t="s">
        <v>3062</v>
      </c>
      <c r="H345" s="12" t="s">
        <v>3234</v>
      </c>
      <c r="I345" s="12" t="s">
        <v>3204</v>
      </c>
      <c r="J345" s="12" t="s">
        <v>1551</v>
      </c>
      <c r="K345" s="12" t="s">
        <v>2018</v>
      </c>
      <c r="L345" s="12" t="s">
        <v>1551</v>
      </c>
      <c r="M345" s="12" t="s">
        <v>2018</v>
      </c>
    </row>
    <row r="346" spans="1:13" ht="14.4" x14ac:dyDescent="0.3">
      <c r="A346" s="12" t="s">
        <v>28</v>
      </c>
      <c r="B346" s="12" t="s">
        <v>625</v>
      </c>
      <c r="C346" s="12" t="s">
        <v>624</v>
      </c>
      <c r="D346" s="12" t="s">
        <v>1410</v>
      </c>
      <c r="E346" s="12" t="s">
        <v>3736</v>
      </c>
      <c r="F346" s="12" t="s">
        <v>3737</v>
      </c>
      <c r="G346" s="12" t="s">
        <v>3245</v>
      </c>
      <c r="H346" s="12" t="s">
        <v>3411</v>
      </c>
      <c r="I346" s="12" t="s">
        <v>1506</v>
      </c>
      <c r="J346" s="12" t="s">
        <v>1599</v>
      </c>
      <c r="K346" s="12" t="s">
        <v>3204</v>
      </c>
      <c r="L346" s="12" t="s">
        <v>1599</v>
      </c>
      <c r="M346" s="12" t="s">
        <v>2018</v>
      </c>
    </row>
    <row r="347" spans="1:13" ht="14.4" x14ac:dyDescent="0.3">
      <c r="A347" s="12" t="s">
        <v>55</v>
      </c>
      <c r="B347" s="12" t="s">
        <v>627</v>
      </c>
      <c r="C347" s="12" t="s">
        <v>626</v>
      </c>
      <c r="D347" s="12" t="s">
        <v>1410</v>
      </c>
      <c r="E347" s="12" t="s">
        <v>1589</v>
      </c>
      <c r="F347" s="12" t="s">
        <v>3270</v>
      </c>
      <c r="G347" s="12" t="s">
        <v>2070</v>
      </c>
      <c r="H347" s="12" t="s">
        <v>3271</v>
      </c>
      <c r="I347" s="12" t="s">
        <v>2018</v>
      </c>
      <c r="J347" s="12" t="s">
        <v>2018</v>
      </c>
      <c r="K347" s="12" t="s">
        <v>2018</v>
      </c>
      <c r="L347" s="12" t="s">
        <v>1414</v>
      </c>
      <c r="M347" s="12" t="s">
        <v>1414</v>
      </c>
    </row>
    <row r="348" spans="1:13" ht="14.4" x14ac:dyDescent="0.3">
      <c r="A348" s="12" t="s">
        <v>42</v>
      </c>
      <c r="B348" s="12" t="s">
        <v>629</v>
      </c>
      <c r="C348" s="12" t="s">
        <v>628</v>
      </c>
      <c r="D348" s="12" t="s">
        <v>1410</v>
      </c>
      <c r="E348" s="12" t="s">
        <v>3914</v>
      </c>
      <c r="F348" s="12" t="s">
        <v>3915</v>
      </c>
      <c r="G348" s="12" t="s">
        <v>3916</v>
      </c>
      <c r="H348" s="12" t="s">
        <v>3300</v>
      </c>
      <c r="I348" s="12" t="s">
        <v>2062</v>
      </c>
      <c r="J348" s="12" t="s">
        <v>2018</v>
      </c>
      <c r="K348" s="12" t="s">
        <v>1506</v>
      </c>
      <c r="L348" s="12" t="s">
        <v>1551</v>
      </c>
      <c r="M348" s="12" t="s">
        <v>1551</v>
      </c>
    </row>
    <row r="349" spans="1:13" ht="14.4" x14ac:dyDescent="0.3">
      <c r="A349" s="12" t="s">
        <v>8</v>
      </c>
      <c r="B349" s="12" t="s">
        <v>631</v>
      </c>
      <c r="C349" s="12" t="s">
        <v>630</v>
      </c>
      <c r="D349" s="12" t="s">
        <v>1410</v>
      </c>
      <c r="E349" s="12" t="s">
        <v>3599</v>
      </c>
      <c r="F349" s="12" t="s">
        <v>3600</v>
      </c>
      <c r="G349" s="12" t="s">
        <v>3601</v>
      </c>
      <c r="H349" s="12" t="s">
        <v>3240</v>
      </c>
      <c r="I349" s="12" t="s">
        <v>1551</v>
      </c>
      <c r="J349" s="12" t="s">
        <v>1599</v>
      </c>
      <c r="K349" s="12" t="s">
        <v>1551</v>
      </c>
      <c r="L349" s="12" t="s">
        <v>1551</v>
      </c>
      <c r="M349" s="12" t="s">
        <v>2018</v>
      </c>
    </row>
    <row r="350" spans="1:13" ht="14.4" x14ac:dyDescent="0.3">
      <c r="A350" s="12" t="s">
        <v>634</v>
      </c>
      <c r="B350" s="12" t="s">
        <v>633</v>
      </c>
      <c r="C350" s="12" t="s">
        <v>632</v>
      </c>
      <c r="D350" s="12" t="s">
        <v>1410</v>
      </c>
      <c r="E350" s="12" t="s">
        <v>3912</v>
      </c>
      <c r="F350" s="12" t="s">
        <v>3913</v>
      </c>
      <c r="G350" s="12" t="s">
        <v>1463</v>
      </c>
      <c r="H350" s="12" t="s">
        <v>3210</v>
      </c>
      <c r="I350" s="12" t="s">
        <v>1599</v>
      </c>
      <c r="J350" s="12" t="s">
        <v>1551</v>
      </c>
      <c r="K350" s="12" t="s">
        <v>1551</v>
      </c>
      <c r="L350" s="12" t="s">
        <v>3204</v>
      </c>
      <c r="M350" s="12" t="s">
        <v>2018</v>
      </c>
    </row>
    <row r="351" spans="1:13" ht="14.4" x14ac:dyDescent="0.3">
      <c r="A351" s="12" t="s">
        <v>31</v>
      </c>
      <c r="B351" s="12" t="s">
        <v>636</v>
      </c>
      <c r="C351" s="12" t="s">
        <v>635</v>
      </c>
      <c r="D351" s="12" t="s">
        <v>1410</v>
      </c>
      <c r="E351" s="12" t="s">
        <v>4234</v>
      </c>
      <c r="F351" s="12" t="s">
        <v>4235</v>
      </c>
      <c r="G351" s="12" t="s">
        <v>4236</v>
      </c>
      <c r="H351" s="12" t="s">
        <v>3300</v>
      </c>
      <c r="I351" s="12" t="s">
        <v>2018</v>
      </c>
      <c r="J351" s="12" t="s">
        <v>2062</v>
      </c>
      <c r="K351" s="12" t="s">
        <v>1551</v>
      </c>
      <c r="L351" s="12" t="s">
        <v>1506</v>
      </c>
      <c r="M351" s="12" t="s">
        <v>1551</v>
      </c>
    </row>
    <row r="352" spans="1:13" ht="14.4" x14ac:dyDescent="0.3">
      <c r="A352" s="12" t="s">
        <v>42</v>
      </c>
      <c r="B352" s="12" t="s">
        <v>638</v>
      </c>
      <c r="C352" s="12" t="s">
        <v>637</v>
      </c>
      <c r="D352" s="12" t="s">
        <v>1410</v>
      </c>
      <c r="E352" s="12" t="s">
        <v>3657</v>
      </c>
      <c r="F352" s="12" t="s">
        <v>3658</v>
      </c>
      <c r="G352" s="12" t="s">
        <v>3659</v>
      </c>
      <c r="H352" s="12" t="s">
        <v>1749</v>
      </c>
      <c r="I352" s="12" t="s">
        <v>1420</v>
      </c>
      <c r="J352" s="12" t="s">
        <v>1414</v>
      </c>
      <c r="K352" s="12" t="s">
        <v>3214</v>
      </c>
      <c r="L352" s="12" t="s">
        <v>1414</v>
      </c>
      <c r="M352" s="12" t="s">
        <v>1414</v>
      </c>
    </row>
    <row r="353" spans="1:13" ht="14.4" x14ac:dyDescent="0.3">
      <c r="A353" s="12" t="s">
        <v>42</v>
      </c>
      <c r="B353" s="12" t="s">
        <v>640</v>
      </c>
      <c r="C353" s="12" t="s">
        <v>639</v>
      </c>
      <c r="D353" s="12" t="s">
        <v>1410</v>
      </c>
      <c r="E353" s="12" t="s">
        <v>6174</v>
      </c>
      <c r="F353" s="12" t="s">
        <v>6175</v>
      </c>
      <c r="G353" s="12" t="s">
        <v>3853</v>
      </c>
      <c r="H353" s="12" t="s">
        <v>3464</v>
      </c>
      <c r="I353" s="12" t="s">
        <v>2018</v>
      </c>
      <c r="J353" s="12" t="s">
        <v>2018</v>
      </c>
      <c r="K353" s="12" t="s">
        <v>2018</v>
      </c>
      <c r="L353" s="12" t="s">
        <v>2018</v>
      </c>
      <c r="M353" s="12" t="s">
        <v>2018</v>
      </c>
    </row>
    <row r="354" spans="1:13" ht="14.4" x14ac:dyDescent="0.3">
      <c r="A354" s="12" t="s">
        <v>8</v>
      </c>
      <c r="B354" s="12" t="s">
        <v>204</v>
      </c>
      <c r="C354" s="12" t="s">
        <v>5943</v>
      </c>
      <c r="D354" s="12" t="s">
        <v>1410</v>
      </c>
      <c r="E354" s="12" t="s">
        <v>6176</v>
      </c>
      <c r="F354" s="12" t="s">
        <v>6177</v>
      </c>
      <c r="G354" s="12" t="s">
        <v>6178</v>
      </c>
      <c r="H354" s="12" t="s">
        <v>3203</v>
      </c>
      <c r="I354" s="12" t="s">
        <v>3204</v>
      </c>
      <c r="J354" s="12" t="s">
        <v>1551</v>
      </c>
      <c r="K354" s="12" t="s">
        <v>2018</v>
      </c>
      <c r="L354" s="12" t="s">
        <v>1506</v>
      </c>
      <c r="M354" s="12" t="s">
        <v>1551</v>
      </c>
    </row>
    <row r="355" spans="1:13" ht="14.4" x14ac:dyDescent="0.3">
      <c r="A355" s="12" t="s">
        <v>55</v>
      </c>
      <c r="B355" s="12" t="s">
        <v>649</v>
      </c>
      <c r="C355" s="12" t="s">
        <v>648</v>
      </c>
      <c r="D355" s="12" t="s">
        <v>1456</v>
      </c>
      <c r="E355" s="12" t="s">
        <v>1586</v>
      </c>
      <c r="F355" s="12" t="s">
        <v>1415</v>
      </c>
      <c r="G355" s="12" t="s">
        <v>1415</v>
      </c>
      <c r="H355" s="12" t="s">
        <v>1415</v>
      </c>
      <c r="I355" s="12" t="s">
        <v>1415</v>
      </c>
      <c r="J355" s="12" t="s">
        <v>1415</v>
      </c>
      <c r="K355" s="12" t="s">
        <v>1415</v>
      </c>
      <c r="L355" s="12" t="s">
        <v>1415</v>
      </c>
      <c r="M355" s="12" t="s">
        <v>1415</v>
      </c>
    </row>
    <row r="356" spans="1:13" ht="14.4" x14ac:dyDescent="0.3">
      <c r="A356" s="12" t="s">
        <v>652</v>
      </c>
      <c r="B356" s="12" t="s">
        <v>651</v>
      </c>
      <c r="C356" s="12" t="s">
        <v>650</v>
      </c>
      <c r="D356" s="12" t="s">
        <v>1410</v>
      </c>
      <c r="E356" s="12" t="s">
        <v>3276</v>
      </c>
      <c r="F356" s="12" t="s">
        <v>3277</v>
      </c>
      <c r="G356" s="12" t="s">
        <v>3278</v>
      </c>
      <c r="H356" s="12" t="s">
        <v>1755</v>
      </c>
      <c r="I356" s="12" t="s">
        <v>3204</v>
      </c>
      <c r="J356" s="12" t="s">
        <v>1551</v>
      </c>
      <c r="K356" s="12" t="s">
        <v>1414</v>
      </c>
      <c r="L356" s="12" t="s">
        <v>1414</v>
      </c>
      <c r="M356" s="12" t="s">
        <v>1414</v>
      </c>
    </row>
    <row r="357" spans="1:13" ht="14.4" x14ac:dyDescent="0.3">
      <c r="A357" s="12" t="s">
        <v>123</v>
      </c>
      <c r="B357" s="12" t="s">
        <v>656</v>
      </c>
      <c r="C357" s="12" t="s">
        <v>655</v>
      </c>
      <c r="D357" s="12" t="s">
        <v>1410</v>
      </c>
      <c r="E357" s="12" t="s">
        <v>3279</v>
      </c>
      <c r="F357" s="12" t="s">
        <v>3280</v>
      </c>
      <c r="G357" s="12" t="s">
        <v>3281</v>
      </c>
      <c r="H357" s="12" t="s">
        <v>3258</v>
      </c>
      <c r="I357" s="12" t="s">
        <v>2018</v>
      </c>
      <c r="J357" s="12" t="s">
        <v>2018</v>
      </c>
      <c r="K357" s="12" t="s">
        <v>1551</v>
      </c>
      <c r="L357" s="12" t="s">
        <v>1599</v>
      </c>
      <c r="M357" s="12" t="s">
        <v>2018</v>
      </c>
    </row>
    <row r="358" spans="1:13" ht="14.4" x14ac:dyDescent="0.3">
      <c r="A358" s="12" t="s">
        <v>8</v>
      </c>
      <c r="B358" s="12" t="s">
        <v>658</v>
      </c>
      <c r="C358" s="12" t="s">
        <v>657</v>
      </c>
      <c r="D358" s="12" t="s">
        <v>1410</v>
      </c>
      <c r="E358" s="12" t="s">
        <v>3831</v>
      </c>
      <c r="F358" s="12" t="s">
        <v>3832</v>
      </c>
      <c r="G358" s="12" t="s">
        <v>1780</v>
      </c>
      <c r="H358" s="12" t="s">
        <v>3411</v>
      </c>
      <c r="I358" s="12" t="s">
        <v>1749</v>
      </c>
      <c r="J358" s="12" t="s">
        <v>1506</v>
      </c>
      <c r="K358" s="12" t="s">
        <v>2018</v>
      </c>
      <c r="L358" s="12" t="s">
        <v>1599</v>
      </c>
      <c r="M358" s="12" t="s">
        <v>2018</v>
      </c>
    </row>
    <row r="359" spans="1:13" ht="14.4" x14ac:dyDescent="0.3">
      <c r="A359" s="12" t="s">
        <v>8</v>
      </c>
      <c r="B359" s="12" t="s">
        <v>658</v>
      </c>
      <c r="C359" s="12" t="s">
        <v>657</v>
      </c>
      <c r="D359" s="12" t="s">
        <v>1410</v>
      </c>
      <c r="E359" s="12" t="s">
        <v>3838</v>
      </c>
      <c r="F359" s="12" t="s">
        <v>3839</v>
      </c>
      <c r="G359" s="12" t="s">
        <v>1868</v>
      </c>
      <c r="H359" s="12" t="s">
        <v>3439</v>
      </c>
      <c r="I359" s="12" t="s">
        <v>1551</v>
      </c>
      <c r="J359" s="12" t="s">
        <v>2018</v>
      </c>
      <c r="K359" s="12" t="s">
        <v>2018</v>
      </c>
      <c r="L359" s="12" t="s">
        <v>2018</v>
      </c>
      <c r="M359" s="12" t="s">
        <v>2018</v>
      </c>
    </row>
    <row r="360" spans="1:13" ht="14.4" x14ac:dyDescent="0.3">
      <c r="A360" s="12" t="s">
        <v>31</v>
      </c>
      <c r="B360" s="12" t="s">
        <v>662</v>
      </c>
      <c r="C360" s="12" t="s">
        <v>661</v>
      </c>
      <c r="D360" s="12" t="s">
        <v>1410</v>
      </c>
      <c r="E360" s="12" t="s">
        <v>2303</v>
      </c>
      <c r="F360" s="12" t="s">
        <v>3639</v>
      </c>
      <c r="G360" s="12" t="s">
        <v>3640</v>
      </c>
      <c r="H360" s="12" t="s">
        <v>3246</v>
      </c>
      <c r="I360" s="12" t="s">
        <v>1506</v>
      </c>
      <c r="J360" s="12" t="s">
        <v>2018</v>
      </c>
      <c r="K360" s="12" t="s">
        <v>1551</v>
      </c>
      <c r="L360" s="12" t="s">
        <v>2018</v>
      </c>
      <c r="M360" s="12" t="s">
        <v>1506</v>
      </c>
    </row>
    <row r="361" spans="1:13" ht="14.4" x14ac:dyDescent="0.3">
      <c r="A361" s="12" t="s">
        <v>42</v>
      </c>
      <c r="B361" s="12" t="s">
        <v>664</v>
      </c>
      <c r="C361" s="12" t="s">
        <v>663</v>
      </c>
      <c r="D361" s="12" t="s">
        <v>1410</v>
      </c>
      <c r="E361" s="12" t="s">
        <v>3252</v>
      </c>
      <c r="F361" s="12" t="s">
        <v>1591</v>
      </c>
      <c r="G361" s="12" t="s">
        <v>3253</v>
      </c>
      <c r="H361" s="12" t="s">
        <v>3223</v>
      </c>
      <c r="I361" s="12" t="s">
        <v>1506</v>
      </c>
      <c r="J361" s="12" t="s">
        <v>2018</v>
      </c>
      <c r="K361" s="12" t="s">
        <v>2018</v>
      </c>
      <c r="L361" s="12" t="s">
        <v>1551</v>
      </c>
      <c r="M361" s="12" t="s">
        <v>2018</v>
      </c>
    </row>
    <row r="362" spans="1:13" ht="14.4" x14ac:dyDescent="0.3">
      <c r="A362" s="12" t="s">
        <v>22</v>
      </c>
      <c r="B362" s="12" t="s">
        <v>666</v>
      </c>
      <c r="C362" s="12" t="s">
        <v>665</v>
      </c>
      <c r="D362" s="12" t="s">
        <v>1410</v>
      </c>
      <c r="E362" s="12" t="s">
        <v>1900</v>
      </c>
      <c r="F362" s="12" t="s">
        <v>3423</v>
      </c>
      <c r="G362" s="12" t="s">
        <v>3424</v>
      </c>
      <c r="H362" s="12" t="s">
        <v>3210</v>
      </c>
      <c r="I362" s="12" t="s">
        <v>2062</v>
      </c>
      <c r="J362" s="12" t="s">
        <v>1551</v>
      </c>
      <c r="K362" s="12" t="s">
        <v>1551</v>
      </c>
      <c r="L362" s="12" t="s">
        <v>2018</v>
      </c>
      <c r="M362" s="12" t="s">
        <v>1551</v>
      </c>
    </row>
    <row r="363" spans="1:13" ht="14.4" x14ac:dyDescent="0.3">
      <c r="A363" s="12" t="s">
        <v>8</v>
      </c>
      <c r="B363" s="12" t="s">
        <v>668</v>
      </c>
      <c r="C363" s="12" t="s">
        <v>667</v>
      </c>
      <c r="D363" s="12" t="s">
        <v>1410</v>
      </c>
      <c r="E363" s="12" t="s">
        <v>3282</v>
      </c>
      <c r="F363" s="12" t="s">
        <v>3283</v>
      </c>
      <c r="G363" s="12" t="s">
        <v>3284</v>
      </c>
      <c r="H363" s="12" t="s">
        <v>3234</v>
      </c>
      <c r="I363" s="12" t="s">
        <v>2018</v>
      </c>
      <c r="J363" s="12" t="s">
        <v>1551</v>
      </c>
      <c r="K363" s="12" t="s">
        <v>1551</v>
      </c>
      <c r="L363" s="12" t="s">
        <v>3204</v>
      </c>
      <c r="M363" s="12" t="s">
        <v>2018</v>
      </c>
    </row>
    <row r="364" spans="1:13" ht="14.4" x14ac:dyDescent="0.3">
      <c r="A364" s="12" t="s">
        <v>11</v>
      </c>
      <c r="B364" s="12" t="s">
        <v>672</v>
      </c>
      <c r="C364" s="12" t="s">
        <v>671</v>
      </c>
      <c r="D364" s="12" t="s">
        <v>1410</v>
      </c>
      <c r="E364" s="12" t="s">
        <v>3369</v>
      </c>
      <c r="F364" s="12" t="s">
        <v>3362</v>
      </c>
      <c r="G364" s="12" t="s">
        <v>3370</v>
      </c>
      <c r="H364" s="12" t="s">
        <v>3322</v>
      </c>
      <c r="I364" s="12" t="s">
        <v>1551</v>
      </c>
      <c r="J364" s="12" t="s">
        <v>2062</v>
      </c>
      <c r="K364" s="12" t="s">
        <v>1551</v>
      </c>
      <c r="L364" s="12" t="s">
        <v>1749</v>
      </c>
      <c r="M364" s="12" t="s">
        <v>1749</v>
      </c>
    </row>
    <row r="365" spans="1:13" ht="14.4" x14ac:dyDescent="0.3">
      <c r="A365" s="12" t="s">
        <v>228</v>
      </c>
      <c r="B365" s="12" t="s">
        <v>674</v>
      </c>
      <c r="C365" s="12" t="s">
        <v>673</v>
      </c>
      <c r="D365" s="12" t="s">
        <v>1410</v>
      </c>
      <c r="E365" s="12" t="s">
        <v>3301</v>
      </c>
      <c r="F365" s="12" t="s">
        <v>3302</v>
      </c>
      <c r="G365" s="12" t="s">
        <v>2720</v>
      </c>
      <c r="H365" s="12" t="s">
        <v>3210</v>
      </c>
      <c r="I365" s="12" t="s">
        <v>1599</v>
      </c>
      <c r="J365" s="12" t="s">
        <v>1599</v>
      </c>
      <c r="K365" s="12" t="s">
        <v>1599</v>
      </c>
      <c r="L365" s="12" t="s">
        <v>1551</v>
      </c>
      <c r="M365" s="12" t="s">
        <v>1551</v>
      </c>
    </row>
    <row r="366" spans="1:13" ht="14.4" x14ac:dyDescent="0.3">
      <c r="A366" s="12" t="s">
        <v>19</v>
      </c>
      <c r="B366" s="12" t="s">
        <v>680</v>
      </c>
      <c r="C366" s="12" t="s">
        <v>679</v>
      </c>
      <c r="D366" s="12" t="s">
        <v>1410</v>
      </c>
      <c r="E366" s="12" t="s">
        <v>1591</v>
      </c>
      <c r="F366" s="12" t="s">
        <v>3262</v>
      </c>
      <c r="G366" s="12" t="s">
        <v>3263</v>
      </c>
      <c r="H366" s="12" t="s">
        <v>3264</v>
      </c>
      <c r="I366" s="12" t="s">
        <v>1551</v>
      </c>
      <c r="J366" s="12" t="s">
        <v>1551</v>
      </c>
      <c r="K366" s="12" t="s">
        <v>2018</v>
      </c>
      <c r="L366" s="12" t="s">
        <v>2018</v>
      </c>
      <c r="M366" s="12" t="s">
        <v>2018</v>
      </c>
    </row>
    <row r="367" spans="1:13" ht="14.4" x14ac:dyDescent="0.3">
      <c r="A367" s="12" t="s">
        <v>28</v>
      </c>
      <c r="B367" s="12" t="s">
        <v>684</v>
      </c>
      <c r="C367" s="12" t="s">
        <v>683</v>
      </c>
      <c r="D367" s="12" t="s">
        <v>1410</v>
      </c>
      <c r="E367" s="12" t="s">
        <v>1591</v>
      </c>
      <c r="F367" s="12" t="s">
        <v>3262</v>
      </c>
      <c r="G367" s="12" t="s">
        <v>2110</v>
      </c>
      <c r="H367" s="12" t="s">
        <v>3258</v>
      </c>
      <c r="I367" s="12" t="s">
        <v>2018</v>
      </c>
      <c r="J367" s="12" t="s">
        <v>2018</v>
      </c>
      <c r="K367" s="12" t="s">
        <v>2018</v>
      </c>
      <c r="L367" s="12" t="s">
        <v>1599</v>
      </c>
      <c r="M367" s="12" t="s">
        <v>1551</v>
      </c>
    </row>
    <row r="368" spans="1:13" ht="14.4" x14ac:dyDescent="0.3">
      <c r="A368" s="12" t="s">
        <v>42</v>
      </c>
      <c r="B368" s="12" t="s">
        <v>686</v>
      </c>
      <c r="C368" s="12" t="s">
        <v>685</v>
      </c>
      <c r="D368" s="12" t="s">
        <v>1410</v>
      </c>
      <c r="E368" s="12" t="s">
        <v>1553</v>
      </c>
      <c r="F368" s="12" t="s">
        <v>3254</v>
      </c>
      <c r="G368" s="12" t="s">
        <v>3255</v>
      </c>
      <c r="H368" s="12" t="s">
        <v>3240</v>
      </c>
      <c r="I368" s="12" t="s">
        <v>1599</v>
      </c>
      <c r="J368" s="12" t="s">
        <v>1551</v>
      </c>
      <c r="K368" s="12" t="s">
        <v>2018</v>
      </c>
      <c r="L368" s="12" t="s">
        <v>1599</v>
      </c>
      <c r="M368" s="12" t="s">
        <v>2018</v>
      </c>
    </row>
    <row r="369" spans="1:13" ht="14.4" x14ac:dyDescent="0.3">
      <c r="A369" s="12" t="s">
        <v>123</v>
      </c>
      <c r="B369" s="12" t="s">
        <v>690</v>
      </c>
      <c r="C369" s="12" t="s">
        <v>689</v>
      </c>
      <c r="D369" s="12" t="s">
        <v>1410</v>
      </c>
      <c r="E369" s="12" t="s">
        <v>3295</v>
      </c>
      <c r="F369" s="12" t="s">
        <v>3296</v>
      </c>
      <c r="G369" s="12" t="s">
        <v>2817</v>
      </c>
      <c r="H369" s="12" t="s">
        <v>3269</v>
      </c>
      <c r="I369" s="12" t="s">
        <v>3204</v>
      </c>
      <c r="J369" s="12" t="s">
        <v>2062</v>
      </c>
      <c r="K369" s="12" t="s">
        <v>1599</v>
      </c>
      <c r="L369" s="12" t="s">
        <v>1506</v>
      </c>
      <c r="M369" s="12" t="s">
        <v>3204</v>
      </c>
    </row>
    <row r="370" spans="1:13" ht="14.4" x14ac:dyDescent="0.3">
      <c r="A370" s="12" t="s">
        <v>1020</v>
      </c>
      <c r="B370" s="12" t="s">
        <v>6009</v>
      </c>
      <c r="C370" s="12" t="s">
        <v>691</v>
      </c>
      <c r="D370" s="12" t="s">
        <v>1410</v>
      </c>
      <c r="E370" s="12" t="s">
        <v>6179</v>
      </c>
      <c r="F370" s="12" t="s">
        <v>6180</v>
      </c>
      <c r="G370" s="12" t="s">
        <v>6068</v>
      </c>
      <c r="H370" s="12" t="s">
        <v>3207</v>
      </c>
      <c r="I370" s="12" t="s">
        <v>3204</v>
      </c>
      <c r="J370" s="12" t="s">
        <v>1599</v>
      </c>
      <c r="K370" s="12" t="s">
        <v>1599</v>
      </c>
      <c r="L370" s="12" t="s">
        <v>1749</v>
      </c>
      <c r="M370" s="12" t="s">
        <v>1551</v>
      </c>
    </row>
    <row r="371" spans="1:13" ht="14.4" x14ac:dyDescent="0.3">
      <c r="A371" s="12" t="s">
        <v>8</v>
      </c>
      <c r="B371" s="12" t="s">
        <v>693</v>
      </c>
      <c r="C371" s="12" t="s">
        <v>692</v>
      </c>
      <c r="D371" s="12" t="s">
        <v>1410</v>
      </c>
      <c r="E371" s="12" t="s">
        <v>6181</v>
      </c>
      <c r="F371" s="12" t="s">
        <v>6182</v>
      </c>
      <c r="G371" s="12" t="s">
        <v>6183</v>
      </c>
      <c r="H371" s="12" t="s">
        <v>3203</v>
      </c>
      <c r="I371" s="12" t="s">
        <v>1599</v>
      </c>
      <c r="J371" s="12" t="s">
        <v>1599</v>
      </c>
      <c r="K371" s="12" t="s">
        <v>1551</v>
      </c>
      <c r="L371" s="12" t="s">
        <v>1599</v>
      </c>
      <c r="M371" s="12" t="s">
        <v>1599</v>
      </c>
    </row>
    <row r="372" spans="1:13" ht="14.4" x14ac:dyDescent="0.3">
      <c r="A372" s="12" t="s">
        <v>31</v>
      </c>
      <c r="B372" s="12" t="s">
        <v>700</v>
      </c>
      <c r="C372" s="12" t="s">
        <v>699</v>
      </c>
      <c r="D372" s="12" t="s">
        <v>1410</v>
      </c>
      <c r="E372" s="12" t="s">
        <v>3272</v>
      </c>
      <c r="F372" s="12" t="s">
        <v>3273</v>
      </c>
      <c r="G372" s="12" t="s">
        <v>3274</v>
      </c>
      <c r="H372" s="12" t="s">
        <v>3275</v>
      </c>
      <c r="I372" s="12" t="s">
        <v>1749</v>
      </c>
      <c r="J372" s="12" t="s">
        <v>3204</v>
      </c>
      <c r="K372" s="12" t="s">
        <v>1599</v>
      </c>
      <c r="L372" s="12" t="s">
        <v>2018</v>
      </c>
      <c r="M372" s="12" t="s">
        <v>1414</v>
      </c>
    </row>
    <row r="373" spans="1:13" ht="14.4" x14ac:dyDescent="0.3">
      <c r="A373" s="12" t="s">
        <v>16</v>
      </c>
      <c r="B373" s="12" t="s">
        <v>702</v>
      </c>
      <c r="C373" s="12" t="s">
        <v>701</v>
      </c>
      <c r="D373" s="12" t="s">
        <v>1410</v>
      </c>
      <c r="E373" s="12" t="s">
        <v>3250</v>
      </c>
      <c r="F373" s="12" t="s">
        <v>1535</v>
      </c>
      <c r="G373" s="12" t="s">
        <v>3251</v>
      </c>
      <c r="H373" s="12" t="s">
        <v>3210</v>
      </c>
      <c r="I373" s="12" t="s">
        <v>2018</v>
      </c>
      <c r="J373" s="12" t="s">
        <v>1551</v>
      </c>
      <c r="K373" s="12" t="s">
        <v>1551</v>
      </c>
      <c r="L373" s="12" t="s">
        <v>3204</v>
      </c>
      <c r="M373" s="12" t="s">
        <v>1599</v>
      </c>
    </row>
    <row r="374" spans="1:13" ht="14.4" x14ac:dyDescent="0.3">
      <c r="A374" s="12" t="s">
        <v>123</v>
      </c>
      <c r="B374" s="12" t="s">
        <v>704</v>
      </c>
      <c r="C374" s="12" t="s">
        <v>703</v>
      </c>
      <c r="D374" s="12" t="s">
        <v>1410</v>
      </c>
      <c r="E374" s="12" t="s">
        <v>3935</v>
      </c>
      <c r="F374" s="12" t="s">
        <v>3936</v>
      </c>
      <c r="G374" s="12" t="s">
        <v>1991</v>
      </c>
      <c r="H374" s="12" t="s">
        <v>3385</v>
      </c>
      <c r="I374" s="12" t="s">
        <v>1506</v>
      </c>
      <c r="J374" s="12" t="s">
        <v>3204</v>
      </c>
      <c r="K374" s="12" t="s">
        <v>2018</v>
      </c>
      <c r="L374" s="12" t="s">
        <v>2018</v>
      </c>
      <c r="M374" s="12" t="s">
        <v>1414</v>
      </c>
    </row>
    <row r="375" spans="1:13" ht="14.4" x14ac:dyDescent="0.3">
      <c r="A375" s="12" t="s">
        <v>42</v>
      </c>
      <c r="B375" s="12" t="s">
        <v>706</v>
      </c>
      <c r="C375" s="12" t="s">
        <v>705</v>
      </c>
      <c r="D375" s="12" t="s">
        <v>1410</v>
      </c>
      <c r="E375" s="12" t="s">
        <v>1567</v>
      </c>
      <c r="F375" s="12" t="s">
        <v>1578</v>
      </c>
      <c r="G375" s="12" t="s">
        <v>3256</v>
      </c>
      <c r="H375" s="12" t="s">
        <v>3246</v>
      </c>
      <c r="I375" s="12" t="s">
        <v>3204</v>
      </c>
      <c r="J375" s="12" t="s">
        <v>1506</v>
      </c>
      <c r="K375" s="12" t="s">
        <v>2018</v>
      </c>
      <c r="L375" s="12" t="s">
        <v>2018</v>
      </c>
      <c r="M375" s="12" t="s">
        <v>2018</v>
      </c>
    </row>
    <row r="376" spans="1:13" ht="14.4" x14ac:dyDescent="0.3">
      <c r="A376" s="12" t="s">
        <v>8</v>
      </c>
      <c r="B376" s="12" t="s">
        <v>708</v>
      </c>
      <c r="C376" s="12" t="s">
        <v>707</v>
      </c>
      <c r="D376" s="12" t="s">
        <v>1410</v>
      </c>
      <c r="E376" s="12" t="s">
        <v>6184</v>
      </c>
      <c r="F376" s="12" t="s">
        <v>6106</v>
      </c>
      <c r="G376" s="12" t="s">
        <v>4854</v>
      </c>
      <c r="H376" s="12" t="s">
        <v>1755</v>
      </c>
      <c r="I376" s="12" t="s">
        <v>1551</v>
      </c>
      <c r="J376" s="12" t="s">
        <v>3204</v>
      </c>
      <c r="K376" s="12" t="s">
        <v>1414</v>
      </c>
      <c r="L376" s="12" t="s">
        <v>1414</v>
      </c>
      <c r="M376" s="12" t="s">
        <v>1414</v>
      </c>
    </row>
    <row r="377" spans="1:13" ht="14.4" x14ac:dyDescent="0.3">
      <c r="A377" s="12" t="s">
        <v>8</v>
      </c>
      <c r="B377" s="12" t="s">
        <v>710</v>
      </c>
      <c r="C377" s="12" t="s">
        <v>709</v>
      </c>
      <c r="D377" s="12" t="s">
        <v>1410</v>
      </c>
      <c r="E377" s="12" t="s">
        <v>3208</v>
      </c>
      <c r="F377" s="12" t="s">
        <v>3209</v>
      </c>
      <c r="G377" s="12" t="s">
        <v>2349</v>
      </c>
      <c r="H377" s="12" t="s">
        <v>3210</v>
      </c>
      <c r="I377" s="12" t="s">
        <v>1551</v>
      </c>
      <c r="J377" s="12" t="s">
        <v>3204</v>
      </c>
      <c r="K377" s="12" t="s">
        <v>1551</v>
      </c>
      <c r="L377" s="12" t="s">
        <v>1551</v>
      </c>
      <c r="M377" s="12" t="s">
        <v>1551</v>
      </c>
    </row>
    <row r="378" spans="1:13" ht="14.4" x14ac:dyDescent="0.3">
      <c r="A378" s="12" t="s">
        <v>8</v>
      </c>
      <c r="B378" s="12" t="s">
        <v>712</v>
      </c>
      <c r="C378" s="12" t="s">
        <v>711</v>
      </c>
      <c r="D378" s="12" t="s">
        <v>1410</v>
      </c>
      <c r="E378" s="12" t="s">
        <v>6185</v>
      </c>
      <c r="F378" s="12" t="s">
        <v>6186</v>
      </c>
      <c r="G378" s="12" t="s">
        <v>1697</v>
      </c>
      <c r="H378" s="12" t="s">
        <v>3223</v>
      </c>
      <c r="I378" s="12" t="s">
        <v>2018</v>
      </c>
      <c r="J378" s="12" t="s">
        <v>1506</v>
      </c>
      <c r="K378" s="12" t="s">
        <v>2018</v>
      </c>
      <c r="L378" s="12" t="s">
        <v>1551</v>
      </c>
      <c r="M378" s="12" t="s">
        <v>2018</v>
      </c>
    </row>
    <row r="379" spans="1:13" ht="14.4" x14ac:dyDescent="0.3">
      <c r="A379" s="12" t="s">
        <v>8</v>
      </c>
      <c r="B379" s="12" t="s">
        <v>714</v>
      </c>
      <c r="C379" s="12" t="s">
        <v>713</v>
      </c>
      <c r="D379" s="12" t="s">
        <v>1410</v>
      </c>
      <c r="E379" s="12" t="s">
        <v>4415</v>
      </c>
      <c r="F379" s="12" t="s">
        <v>4416</v>
      </c>
      <c r="G379" s="12" t="s">
        <v>4417</v>
      </c>
      <c r="H379" s="12" t="s">
        <v>3275</v>
      </c>
      <c r="I379" s="12" t="s">
        <v>1551</v>
      </c>
      <c r="J379" s="12" t="s">
        <v>1506</v>
      </c>
      <c r="K379" s="12" t="s">
        <v>3214</v>
      </c>
      <c r="L379" s="12" t="s">
        <v>1551</v>
      </c>
      <c r="M379" s="12" t="s">
        <v>1414</v>
      </c>
    </row>
    <row r="380" spans="1:13" ht="14.4" x14ac:dyDescent="0.3">
      <c r="A380" s="12" t="s">
        <v>22</v>
      </c>
      <c r="B380" s="12" t="s">
        <v>716</v>
      </c>
      <c r="C380" s="12" t="s">
        <v>715</v>
      </c>
      <c r="D380" s="12" t="s">
        <v>1410</v>
      </c>
      <c r="E380" s="12" t="s">
        <v>3034</v>
      </c>
      <c r="F380" s="12" t="s">
        <v>4290</v>
      </c>
      <c r="G380" s="12" t="s">
        <v>4291</v>
      </c>
      <c r="H380" s="12" t="s">
        <v>3223</v>
      </c>
      <c r="I380" s="12" t="s">
        <v>2018</v>
      </c>
      <c r="J380" s="12" t="s">
        <v>1506</v>
      </c>
      <c r="K380" s="12" t="s">
        <v>2018</v>
      </c>
      <c r="L380" s="12" t="s">
        <v>1551</v>
      </c>
      <c r="M380" s="12" t="s">
        <v>2018</v>
      </c>
    </row>
    <row r="381" spans="1:13" ht="14.4" x14ac:dyDescent="0.3">
      <c r="A381" s="12" t="s">
        <v>28</v>
      </c>
      <c r="B381" s="12" t="s">
        <v>718</v>
      </c>
      <c r="C381" s="12" t="s">
        <v>717</v>
      </c>
      <c r="D381" s="12" t="s">
        <v>1410</v>
      </c>
      <c r="E381" s="12" t="s">
        <v>3450</v>
      </c>
      <c r="F381" s="12" t="s">
        <v>3451</v>
      </c>
      <c r="G381" s="12" t="s">
        <v>3452</v>
      </c>
      <c r="H381" s="12" t="s">
        <v>3246</v>
      </c>
      <c r="I381" s="12" t="s">
        <v>1599</v>
      </c>
      <c r="J381" s="12" t="s">
        <v>1506</v>
      </c>
      <c r="K381" s="12" t="s">
        <v>1551</v>
      </c>
      <c r="L381" s="12" t="s">
        <v>2018</v>
      </c>
      <c r="M381" s="12" t="s">
        <v>1551</v>
      </c>
    </row>
    <row r="382" spans="1:13" ht="14.4" x14ac:dyDescent="0.3">
      <c r="A382" s="12" t="s">
        <v>31</v>
      </c>
      <c r="B382" s="12" t="s">
        <v>307</v>
      </c>
      <c r="C382" s="12" t="s">
        <v>5574</v>
      </c>
      <c r="D382" s="12" t="s">
        <v>1410</v>
      </c>
      <c r="E382" s="12" t="s">
        <v>5945</v>
      </c>
      <c r="F382" s="12" t="s">
        <v>6187</v>
      </c>
      <c r="G382" s="12" t="s">
        <v>3370</v>
      </c>
      <c r="H382" s="12" t="s">
        <v>3264</v>
      </c>
      <c r="I382" s="12" t="s">
        <v>1551</v>
      </c>
      <c r="J382" s="12" t="s">
        <v>2018</v>
      </c>
      <c r="K382" s="12" t="s">
        <v>1551</v>
      </c>
      <c r="L382" s="12" t="s">
        <v>2018</v>
      </c>
      <c r="M382" s="12" t="s">
        <v>2018</v>
      </c>
    </row>
    <row r="383" spans="1:13" ht="14.4" x14ac:dyDescent="0.3">
      <c r="A383" s="12" t="s">
        <v>80</v>
      </c>
      <c r="B383" s="12" t="s">
        <v>720</v>
      </c>
      <c r="C383" s="12" t="s">
        <v>719</v>
      </c>
      <c r="D383" s="12" t="s">
        <v>1410</v>
      </c>
      <c r="E383" s="12" t="s">
        <v>3976</v>
      </c>
      <c r="F383" s="12" t="s">
        <v>3977</v>
      </c>
      <c r="G383" s="12" t="s">
        <v>3978</v>
      </c>
      <c r="H383" s="12" t="s">
        <v>3223</v>
      </c>
      <c r="I383" s="12" t="s">
        <v>2018</v>
      </c>
      <c r="J383" s="12" t="s">
        <v>1599</v>
      </c>
      <c r="K383" s="12" t="s">
        <v>1551</v>
      </c>
      <c r="L383" s="12" t="s">
        <v>1551</v>
      </c>
      <c r="M383" s="12" t="s">
        <v>2018</v>
      </c>
    </row>
    <row r="384" spans="1:13" ht="14.4" x14ac:dyDescent="0.3">
      <c r="A384" s="12" t="s">
        <v>28</v>
      </c>
      <c r="B384" s="12" t="s">
        <v>5619</v>
      </c>
      <c r="C384" s="12" t="s">
        <v>5620</v>
      </c>
      <c r="D384" s="12" t="s">
        <v>1410</v>
      </c>
      <c r="E384" s="12" t="s">
        <v>6188</v>
      </c>
      <c r="F384" s="12" t="s">
        <v>6189</v>
      </c>
      <c r="G384" s="12" t="s">
        <v>6190</v>
      </c>
      <c r="H384" s="12" t="s">
        <v>3207</v>
      </c>
      <c r="I384" s="12" t="s">
        <v>1414</v>
      </c>
      <c r="J384" s="12" t="s">
        <v>2018</v>
      </c>
      <c r="K384" s="12" t="s">
        <v>1599</v>
      </c>
      <c r="L384" s="12" t="s">
        <v>1599</v>
      </c>
      <c r="M384" s="12" t="s">
        <v>1551</v>
      </c>
    </row>
    <row r="385" spans="1:13" ht="14.4" x14ac:dyDescent="0.3">
      <c r="A385" s="12" t="s">
        <v>723</v>
      </c>
      <c r="B385" s="12" t="s">
        <v>722</v>
      </c>
      <c r="C385" s="12" t="s">
        <v>721</v>
      </c>
      <c r="D385" s="12" t="s">
        <v>1410</v>
      </c>
      <c r="E385" s="12" t="s">
        <v>4299</v>
      </c>
      <c r="F385" s="12" t="s">
        <v>3092</v>
      </c>
      <c r="G385" s="12" t="s">
        <v>4300</v>
      </c>
      <c r="H385" s="12" t="s">
        <v>3332</v>
      </c>
      <c r="I385" s="12" t="s">
        <v>2435</v>
      </c>
      <c r="J385" s="12" t="s">
        <v>1599</v>
      </c>
      <c r="K385" s="12" t="s">
        <v>2062</v>
      </c>
      <c r="L385" s="12" t="s">
        <v>2062</v>
      </c>
      <c r="M385" s="12" t="s">
        <v>3204</v>
      </c>
    </row>
    <row r="386" spans="1:13" ht="14.4" x14ac:dyDescent="0.3">
      <c r="A386" s="12" t="s">
        <v>723</v>
      </c>
      <c r="B386" s="12" t="s">
        <v>722</v>
      </c>
      <c r="C386" s="12" t="s">
        <v>721</v>
      </c>
      <c r="D386" s="12" t="s">
        <v>1410</v>
      </c>
      <c r="E386" s="12" t="s">
        <v>3100</v>
      </c>
      <c r="F386" s="12" t="s">
        <v>4306</v>
      </c>
      <c r="G386" s="12" t="s">
        <v>1534</v>
      </c>
      <c r="H386" s="12" t="s">
        <v>3258</v>
      </c>
      <c r="I386" s="12" t="s">
        <v>1599</v>
      </c>
      <c r="J386" s="12" t="s">
        <v>2018</v>
      </c>
      <c r="K386" s="12" t="s">
        <v>2018</v>
      </c>
      <c r="L386" s="12" t="s">
        <v>2018</v>
      </c>
      <c r="M386" s="12" t="s">
        <v>1551</v>
      </c>
    </row>
    <row r="387" spans="1:13" ht="14.4" x14ac:dyDescent="0.3">
      <c r="A387" s="12" t="s">
        <v>6026</v>
      </c>
      <c r="B387" s="12" t="s">
        <v>6027</v>
      </c>
      <c r="C387" s="12" t="s">
        <v>6028</v>
      </c>
      <c r="D387" s="12" t="s">
        <v>1410</v>
      </c>
      <c r="E387" s="12" t="s">
        <v>6191</v>
      </c>
      <c r="F387" s="12" t="s">
        <v>6192</v>
      </c>
      <c r="G387" s="12" t="s">
        <v>1788</v>
      </c>
      <c r="H387" s="12" t="s">
        <v>3411</v>
      </c>
      <c r="I387" s="12" t="s">
        <v>3204</v>
      </c>
      <c r="J387" s="12" t="s">
        <v>1551</v>
      </c>
      <c r="K387" s="12" t="s">
        <v>3204</v>
      </c>
      <c r="L387" s="12" t="s">
        <v>1599</v>
      </c>
      <c r="M387" s="12" t="s">
        <v>2018</v>
      </c>
    </row>
    <row r="388" spans="1:13" ht="14.4" x14ac:dyDescent="0.3">
      <c r="A388" s="12" t="s">
        <v>11</v>
      </c>
      <c r="B388" s="12" t="s">
        <v>727</v>
      </c>
      <c r="C388" s="12" t="s">
        <v>726</v>
      </c>
      <c r="D388" s="12" t="s">
        <v>1410</v>
      </c>
      <c r="E388" s="12" t="s">
        <v>3968</v>
      </c>
      <c r="F388" s="12" t="s">
        <v>3969</v>
      </c>
      <c r="G388" s="12" t="s">
        <v>3970</v>
      </c>
      <c r="H388" s="12" t="s">
        <v>3223</v>
      </c>
      <c r="I388" s="12" t="s">
        <v>1506</v>
      </c>
      <c r="J388" s="12" t="s">
        <v>2018</v>
      </c>
      <c r="K388" s="12" t="s">
        <v>2018</v>
      </c>
      <c r="L388" s="12" t="s">
        <v>2018</v>
      </c>
      <c r="M388" s="12" t="s">
        <v>1551</v>
      </c>
    </row>
    <row r="389" spans="1:13" ht="14.4" x14ac:dyDescent="0.3">
      <c r="A389" s="12" t="s">
        <v>22</v>
      </c>
      <c r="B389" s="12" t="s">
        <v>729</v>
      </c>
      <c r="C389" s="12" t="s">
        <v>728</v>
      </c>
      <c r="D389" s="12" t="s">
        <v>1410</v>
      </c>
      <c r="E389" s="12" t="s">
        <v>3672</v>
      </c>
      <c r="F389" s="12" t="s">
        <v>3673</v>
      </c>
      <c r="G389" s="12" t="s">
        <v>3674</v>
      </c>
      <c r="H389" s="12" t="s">
        <v>3275</v>
      </c>
      <c r="I389" s="12" t="s">
        <v>3204</v>
      </c>
      <c r="J389" s="12" t="s">
        <v>1551</v>
      </c>
      <c r="K389" s="12" t="s">
        <v>1506</v>
      </c>
      <c r="L389" s="12" t="s">
        <v>3214</v>
      </c>
      <c r="M389" s="12" t="s">
        <v>3214</v>
      </c>
    </row>
    <row r="390" spans="1:13" ht="14.4" x14ac:dyDescent="0.3">
      <c r="A390" s="12" t="s">
        <v>22</v>
      </c>
      <c r="B390" s="12" t="s">
        <v>729</v>
      </c>
      <c r="C390" s="12" t="s">
        <v>728</v>
      </c>
      <c r="D390" s="12" t="s">
        <v>1410</v>
      </c>
      <c r="E390" s="12" t="s">
        <v>3675</v>
      </c>
      <c r="F390" s="12" t="s">
        <v>3676</v>
      </c>
      <c r="G390" s="12" t="s">
        <v>3677</v>
      </c>
      <c r="H390" s="12" t="s">
        <v>3439</v>
      </c>
      <c r="I390" s="12" t="s">
        <v>1551</v>
      </c>
      <c r="J390" s="12" t="s">
        <v>2018</v>
      </c>
      <c r="K390" s="12" t="s">
        <v>2018</v>
      </c>
      <c r="L390" s="12" t="s">
        <v>2018</v>
      </c>
      <c r="M390" s="12" t="s">
        <v>2018</v>
      </c>
    </row>
    <row r="391" spans="1:13" ht="14.4" x14ac:dyDescent="0.3">
      <c r="A391" s="12" t="s">
        <v>42</v>
      </c>
      <c r="B391" s="12" t="s">
        <v>731</v>
      </c>
      <c r="C391" s="12" t="s">
        <v>730</v>
      </c>
      <c r="D391" s="12" t="s">
        <v>1410</v>
      </c>
      <c r="E391" s="12" t="s">
        <v>4225</v>
      </c>
      <c r="F391" s="12" t="s">
        <v>4226</v>
      </c>
      <c r="G391" s="12" t="s">
        <v>4227</v>
      </c>
      <c r="H391" s="12" t="s">
        <v>3294</v>
      </c>
      <c r="I391" s="12" t="s">
        <v>1414</v>
      </c>
      <c r="J391" s="12" t="s">
        <v>2018</v>
      </c>
      <c r="K391" s="12" t="s">
        <v>1599</v>
      </c>
      <c r="L391" s="12" t="s">
        <v>2018</v>
      </c>
      <c r="M391" s="12" t="s">
        <v>1551</v>
      </c>
    </row>
    <row r="392" spans="1:13" ht="14.4" x14ac:dyDescent="0.3">
      <c r="A392" s="12" t="s">
        <v>42</v>
      </c>
      <c r="B392" s="12" t="s">
        <v>731</v>
      </c>
      <c r="C392" s="12" t="s">
        <v>730</v>
      </c>
      <c r="D392" s="12" t="s">
        <v>1410</v>
      </c>
      <c r="E392" s="12" t="s">
        <v>5950</v>
      </c>
      <c r="F392" s="12" t="s">
        <v>6193</v>
      </c>
      <c r="G392" s="12" t="s">
        <v>1427</v>
      </c>
      <c r="H392" s="12" t="s">
        <v>3464</v>
      </c>
      <c r="I392" s="12" t="s">
        <v>2018</v>
      </c>
      <c r="J392" s="12" t="s">
        <v>2018</v>
      </c>
      <c r="K392" s="12" t="s">
        <v>2018</v>
      </c>
      <c r="L392" s="12" t="s">
        <v>2018</v>
      </c>
      <c r="M392" s="12" t="s">
        <v>2018</v>
      </c>
    </row>
    <row r="393" spans="1:13" ht="14.4" x14ac:dyDescent="0.3">
      <c r="A393" s="12" t="s">
        <v>55</v>
      </c>
      <c r="B393" s="12" t="s">
        <v>733</v>
      </c>
      <c r="C393" s="12" t="s">
        <v>732</v>
      </c>
      <c r="D393" s="12" t="s">
        <v>1410</v>
      </c>
      <c r="E393" s="12" t="s">
        <v>3984</v>
      </c>
      <c r="F393" s="12" t="s">
        <v>3985</v>
      </c>
      <c r="G393" s="12" t="s">
        <v>3986</v>
      </c>
      <c r="H393" s="12" t="s">
        <v>3411</v>
      </c>
      <c r="I393" s="12" t="s">
        <v>3204</v>
      </c>
      <c r="J393" s="12" t="s">
        <v>3204</v>
      </c>
      <c r="K393" s="12" t="s">
        <v>2018</v>
      </c>
      <c r="L393" s="12" t="s">
        <v>1599</v>
      </c>
      <c r="M393" s="12" t="s">
        <v>1551</v>
      </c>
    </row>
    <row r="394" spans="1:13" ht="14.4" x14ac:dyDescent="0.3">
      <c r="A394" s="12" t="s">
        <v>55</v>
      </c>
      <c r="B394" s="12" t="s">
        <v>735</v>
      </c>
      <c r="C394" s="12" t="s">
        <v>734</v>
      </c>
      <c r="D394" s="12" t="s">
        <v>1456</v>
      </c>
      <c r="E394" s="12" t="s">
        <v>6194</v>
      </c>
      <c r="F394" s="12" t="s">
        <v>1415</v>
      </c>
      <c r="G394" s="12" t="s">
        <v>1415</v>
      </c>
      <c r="H394" s="12" t="s">
        <v>1415</v>
      </c>
      <c r="I394" s="12" t="s">
        <v>1415</v>
      </c>
      <c r="J394" s="12" t="s">
        <v>1415</v>
      </c>
      <c r="K394" s="12" t="s">
        <v>1415</v>
      </c>
      <c r="L394" s="12" t="s">
        <v>1415</v>
      </c>
      <c r="M394" s="12" t="s">
        <v>1415</v>
      </c>
    </row>
    <row r="395" spans="1:13" ht="14.4" x14ac:dyDescent="0.3">
      <c r="A395" s="12" t="s">
        <v>19</v>
      </c>
      <c r="B395" s="12" t="s">
        <v>737</v>
      </c>
      <c r="C395" s="12" t="s">
        <v>736</v>
      </c>
      <c r="D395" s="12" t="s">
        <v>1410</v>
      </c>
      <c r="E395" s="12" t="s">
        <v>4131</v>
      </c>
      <c r="F395" s="12" t="s">
        <v>4132</v>
      </c>
      <c r="G395" s="12" t="s">
        <v>2340</v>
      </c>
      <c r="H395" s="12" t="s">
        <v>3464</v>
      </c>
      <c r="I395" s="12" t="s">
        <v>2018</v>
      </c>
      <c r="J395" s="12" t="s">
        <v>2018</v>
      </c>
      <c r="K395" s="12" t="s">
        <v>2018</v>
      </c>
      <c r="L395" s="12" t="s">
        <v>2018</v>
      </c>
      <c r="M395" s="12" t="s">
        <v>2018</v>
      </c>
    </row>
    <row r="396" spans="1:13" ht="14.4" x14ac:dyDescent="0.3">
      <c r="A396" s="12" t="s">
        <v>31</v>
      </c>
      <c r="B396" s="12" t="s">
        <v>739</v>
      </c>
      <c r="C396" s="12" t="s">
        <v>738</v>
      </c>
      <c r="D396" s="12" t="s">
        <v>1410</v>
      </c>
      <c r="E396" s="12" t="s">
        <v>4146</v>
      </c>
      <c r="F396" s="12" t="s">
        <v>4147</v>
      </c>
      <c r="G396" s="12" t="s">
        <v>4148</v>
      </c>
      <c r="H396" s="12" t="s">
        <v>3223</v>
      </c>
      <c r="I396" s="12" t="s">
        <v>1551</v>
      </c>
      <c r="J396" s="12" t="s">
        <v>2018</v>
      </c>
      <c r="K396" s="12" t="s">
        <v>2018</v>
      </c>
      <c r="L396" s="12" t="s">
        <v>1551</v>
      </c>
      <c r="M396" s="12" t="s">
        <v>1599</v>
      </c>
    </row>
    <row r="397" spans="1:13" ht="14.4" x14ac:dyDescent="0.3">
      <c r="A397" s="12" t="s">
        <v>49</v>
      </c>
      <c r="B397" s="12" t="s">
        <v>743</v>
      </c>
      <c r="C397" s="12" t="s">
        <v>742</v>
      </c>
      <c r="D397" s="12" t="s">
        <v>1410</v>
      </c>
      <c r="E397" s="12" t="s">
        <v>4336</v>
      </c>
      <c r="F397" s="12" t="s">
        <v>4337</v>
      </c>
      <c r="G397" s="12" t="s">
        <v>4338</v>
      </c>
      <c r="H397" s="12" t="s">
        <v>3203</v>
      </c>
      <c r="I397" s="12" t="s">
        <v>1599</v>
      </c>
      <c r="J397" s="12" t="s">
        <v>3204</v>
      </c>
      <c r="K397" s="12" t="s">
        <v>1599</v>
      </c>
      <c r="L397" s="12" t="s">
        <v>1551</v>
      </c>
      <c r="M397" s="12" t="s">
        <v>2018</v>
      </c>
    </row>
    <row r="398" spans="1:13" ht="14.4" x14ac:dyDescent="0.3">
      <c r="A398" s="12" t="s">
        <v>8</v>
      </c>
      <c r="B398" s="12" t="s">
        <v>745</v>
      </c>
      <c r="C398" s="12" t="s">
        <v>744</v>
      </c>
      <c r="D398" s="12" t="s">
        <v>1410</v>
      </c>
      <c r="E398" s="12" t="s">
        <v>4239</v>
      </c>
      <c r="F398" s="12" t="s">
        <v>4240</v>
      </c>
      <c r="G398" s="12" t="s">
        <v>4241</v>
      </c>
      <c r="H398" s="12" t="s">
        <v>3213</v>
      </c>
      <c r="I398" s="12" t="s">
        <v>1506</v>
      </c>
      <c r="J398" s="12" t="s">
        <v>2018</v>
      </c>
      <c r="K398" s="12" t="s">
        <v>1551</v>
      </c>
      <c r="L398" s="12" t="s">
        <v>1414</v>
      </c>
      <c r="M398" s="12" t="s">
        <v>2018</v>
      </c>
    </row>
    <row r="399" spans="1:13" ht="14.4" x14ac:dyDescent="0.3">
      <c r="A399" s="12" t="s">
        <v>748</v>
      </c>
      <c r="B399" s="12" t="s">
        <v>747</v>
      </c>
      <c r="C399" s="12" t="s">
        <v>746</v>
      </c>
      <c r="D399" s="12" t="s">
        <v>1410</v>
      </c>
      <c r="E399" s="12" t="s">
        <v>4166</v>
      </c>
      <c r="F399" s="12" t="s">
        <v>4167</v>
      </c>
      <c r="G399" s="12" t="s">
        <v>4168</v>
      </c>
      <c r="H399" s="12" t="s">
        <v>3258</v>
      </c>
      <c r="I399" s="12" t="s">
        <v>2018</v>
      </c>
      <c r="J399" s="12" t="s">
        <v>1551</v>
      </c>
      <c r="K399" s="12" t="s">
        <v>2018</v>
      </c>
      <c r="L399" s="12" t="s">
        <v>2018</v>
      </c>
      <c r="M399" s="12" t="s">
        <v>1599</v>
      </c>
    </row>
    <row r="400" spans="1:13" ht="14.4" x14ac:dyDescent="0.3">
      <c r="A400" s="12" t="s">
        <v>71</v>
      </c>
      <c r="B400" s="12" t="s">
        <v>750</v>
      </c>
      <c r="C400" s="12" t="s">
        <v>749</v>
      </c>
      <c r="D400" s="12" t="s">
        <v>1410</v>
      </c>
      <c r="E400" s="12" t="s">
        <v>3883</v>
      </c>
      <c r="F400" s="12" t="s">
        <v>3884</v>
      </c>
      <c r="G400" s="12" t="s">
        <v>3885</v>
      </c>
      <c r="H400" s="12" t="s">
        <v>3213</v>
      </c>
      <c r="I400" s="12" t="s">
        <v>1414</v>
      </c>
      <c r="J400" s="12" t="s">
        <v>2018</v>
      </c>
      <c r="K400" s="12" t="s">
        <v>2018</v>
      </c>
      <c r="L400" s="12" t="s">
        <v>3204</v>
      </c>
      <c r="M400" s="12" t="s">
        <v>2018</v>
      </c>
    </row>
    <row r="401" spans="1:13" ht="14.4" x14ac:dyDescent="0.3">
      <c r="A401" s="12" t="s">
        <v>123</v>
      </c>
      <c r="B401" s="12" t="s">
        <v>752</v>
      </c>
      <c r="C401" s="12" t="s">
        <v>751</v>
      </c>
      <c r="D401" s="12" t="s">
        <v>1410</v>
      </c>
      <c r="E401" s="12" t="s">
        <v>4152</v>
      </c>
      <c r="F401" s="12" t="s">
        <v>2891</v>
      </c>
      <c r="G401" s="12" t="s">
        <v>3571</v>
      </c>
      <c r="H401" s="12" t="s">
        <v>3246</v>
      </c>
      <c r="I401" s="12" t="s">
        <v>1551</v>
      </c>
      <c r="J401" s="12" t="s">
        <v>1599</v>
      </c>
      <c r="K401" s="12" t="s">
        <v>2018</v>
      </c>
      <c r="L401" s="12" t="s">
        <v>1599</v>
      </c>
      <c r="M401" s="12" t="s">
        <v>1599</v>
      </c>
    </row>
    <row r="402" spans="1:13" ht="14.4" x14ac:dyDescent="0.3">
      <c r="A402" s="12" t="s">
        <v>42</v>
      </c>
      <c r="B402" s="12" t="s">
        <v>754</v>
      </c>
      <c r="C402" s="12" t="s">
        <v>753</v>
      </c>
      <c r="D402" s="12" t="s">
        <v>1410</v>
      </c>
      <c r="E402" s="12" t="s">
        <v>4176</v>
      </c>
      <c r="F402" s="12" t="s">
        <v>4159</v>
      </c>
      <c r="G402" s="12" t="s">
        <v>4177</v>
      </c>
      <c r="H402" s="12" t="s">
        <v>3439</v>
      </c>
      <c r="I402" s="12" t="s">
        <v>1551</v>
      </c>
      <c r="J402" s="12" t="s">
        <v>2018</v>
      </c>
      <c r="K402" s="12" t="s">
        <v>2018</v>
      </c>
      <c r="L402" s="12" t="s">
        <v>2018</v>
      </c>
      <c r="M402" s="12" t="s">
        <v>2018</v>
      </c>
    </row>
    <row r="403" spans="1:13" ht="14.4" x14ac:dyDescent="0.3">
      <c r="A403" s="12" t="s">
        <v>11</v>
      </c>
      <c r="B403" s="12" t="s">
        <v>756</v>
      </c>
      <c r="C403" s="12" t="s">
        <v>755</v>
      </c>
      <c r="D403" s="12" t="s">
        <v>1410</v>
      </c>
      <c r="E403" s="12" t="s">
        <v>2751</v>
      </c>
      <c r="F403" s="12" t="s">
        <v>4012</v>
      </c>
      <c r="G403" s="12" t="s">
        <v>3268</v>
      </c>
      <c r="H403" s="12" t="s">
        <v>3368</v>
      </c>
      <c r="I403" s="12" t="s">
        <v>2018</v>
      </c>
      <c r="J403" s="12" t="s">
        <v>1414</v>
      </c>
      <c r="K403" s="12" t="s">
        <v>1551</v>
      </c>
      <c r="L403" s="12" t="s">
        <v>1599</v>
      </c>
      <c r="M403" s="12" t="s">
        <v>2435</v>
      </c>
    </row>
    <row r="404" spans="1:13" ht="14.4" x14ac:dyDescent="0.3">
      <c r="A404" s="12" t="s">
        <v>11</v>
      </c>
      <c r="B404" s="12" t="s">
        <v>756</v>
      </c>
      <c r="C404" s="12" t="s">
        <v>755</v>
      </c>
      <c r="D404" s="12" t="s">
        <v>1456</v>
      </c>
      <c r="E404" s="12" t="s">
        <v>4014</v>
      </c>
      <c r="F404" s="12" t="s">
        <v>1415</v>
      </c>
      <c r="G404" s="12" t="s">
        <v>1415</v>
      </c>
      <c r="H404" s="12" t="s">
        <v>1415</v>
      </c>
      <c r="I404" s="12" t="s">
        <v>1415</v>
      </c>
      <c r="J404" s="12" t="s">
        <v>1415</v>
      </c>
      <c r="K404" s="12" t="s">
        <v>1415</v>
      </c>
      <c r="L404" s="12" t="s">
        <v>1415</v>
      </c>
      <c r="M404" s="12" t="s">
        <v>1415</v>
      </c>
    </row>
    <row r="405" spans="1:13" ht="14.4" x14ac:dyDescent="0.3">
      <c r="A405" s="12" t="s">
        <v>133</v>
      </c>
      <c r="B405" s="12" t="s">
        <v>756</v>
      </c>
      <c r="C405" s="12" t="s">
        <v>757</v>
      </c>
      <c r="D405" s="12" t="s">
        <v>1410</v>
      </c>
      <c r="E405" s="12" t="s">
        <v>4112</v>
      </c>
      <c r="F405" s="12" t="s">
        <v>4113</v>
      </c>
      <c r="G405" s="12" t="s">
        <v>4114</v>
      </c>
      <c r="H405" s="12" t="s">
        <v>3322</v>
      </c>
      <c r="I405" s="12" t="s">
        <v>3214</v>
      </c>
      <c r="J405" s="12" t="s">
        <v>2435</v>
      </c>
      <c r="K405" s="12" t="s">
        <v>2018</v>
      </c>
      <c r="L405" s="12" t="s">
        <v>1599</v>
      </c>
      <c r="M405" s="12" t="s">
        <v>1599</v>
      </c>
    </row>
    <row r="406" spans="1:13" ht="14.4" x14ac:dyDescent="0.3">
      <c r="A406" s="12" t="s">
        <v>25</v>
      </c>
      <c r="B406" s="12" t="s">
        <v>299</v>
      </c>
      <c r="C406" s="12" t="s">
        <v>760</v>
      </c>
      <c r="D406" s="12" t="s">
        <v>1410</v>
      </c>
      <c r="E406" s="12" t="s">
        <v>4094</v>
      </c>
      <c r="F406" s="12" t="s">
        <v>4095</v>
      </c>
      <c r="G406" s="12" t="s">
        <v>3268</v>
      </c>
      <c r="H406" s="12" t="s">
        <v>1414</v>
      </c>
      <c r="I406" s="12" t="s">
        <v>1414</v>
      </c>
      <c r="J406" s="12" t="s">
        <v>1414</v>
      </c>
      <c r="K406" s="12" t="s">
        <v>1414</v>
      </c>
      <c r="L406" s="12" t="s">
        <v>1414</v>
      </c>
      <c r="M406" s="12" t="s">
        <v>1414</v>
      </c>
    </row>
    <row r="407" spans="1:13" ht="14.4" x14ac:dyDescent="0.3">
      <c r="A407" s="12" t="s">
        <v>25</v>
      </c>
      <c r="B407" s="12" t="s">
        <v>299</v>
      </c>
      <c r="C407" s="12" t="s">
        <v>760</v>
      </c>
      <c r="D407" s="12" t="s">
        <v>1410</v>
      </c>
      <c r="E407" s="12" t="s">
        <v>4180</v>
      </c>
      <c r="F407" s="12" t="s">
        <v>4181</v>
      </c>
      <c r="G407" s="12" t="s">
        <v>4182</v>
      </c>
      <c r="H407" s="12" t="s">
        <v>3464</v>
      </c>
      <c r="I407" s="12" t="s">
        <v>2018</v>
      </c>
      <c r="J407" s="12" t="s">
        <v>2018</v>
      </c>
      <c r="K407" s="12" t="s">
        <v>2018</v>
      </c>
      <c r="L407" s="12" t="s">
        <v>2018</v>
      </c>
      <c r="M407" s="12" t="s">
        <v>2018</v>
      </c>
    </row>
    <row r="408" spans="1:13" ht="14.4" x14ac:dyDescent="0.3">
      <c r="A408" s="12" t="s">
        <v>25</v>
      </c>
      <c r="B408" s="12" t="s">
        <v>762</v>
      </c>
      <c r="C408" s="12" t="s">
        <v>761</v>
      </c>
      <c r="D408" s="12" t="s">
        <v>1410</v>
      </c>
      <c r="E408" s="12" t="s">
        <v>3552</v>
      </c>
      <c r="F408" s="12" t="s">
        <v>2242</v>
      </c>
      <c r="G408" s="12" t="s">
        <v>3268</v>
      </c>
      <c r="H408" s="12" t="s">
        <v>1414</v>
      </c>
      <c r="I408" s="12" t="s">
        <v>1414</v>
      </c>
      <c r="J408" s="12" t="s">
        <v>1414</v>
      </c>
      <c r="K408" s="12" t="s">
        <v>1414</v>
      </c>
      <c r="L408" s="12" t="s">
        <v>1414</v>
      </c>
      <c r="M408" s="12" t="s">
        <v>1414</v>
      </c>
    </row>
    <row r="409" spans="1:13" ht="14.4" x14ac:dyDescent="0.3">
      <c r="A409" s="12" t="s">
        <v>25</v>
      </c>
      <c r="B409" s="12" t="s">
        <v>762</v>
      </c>
      <c r="C409" s="12" t="s">
        <v>761</v>
      </c>
      <c r="D409" s="12" t="s">
        <v>1410</v>
      </c>
      <c r="E409" s="12" t="s">
        <v>4068</v>
      </c>
      <c r="F409" s="12" t="s">
        <v>4069</v>
      </c>
      <c r="G409" s="12" t="s">
        <v>2777</v>
      </c>
      <c r="H409" s="12" t="s">
        <v>3300</v>
      </c>
      <c r="I409" s="12" t="s">
        <v>1551</v>
      </c>
      <c r="J409" s="12" t="s">
        <v>3204</v>
      </c>
      <c r="K409" s="12" t="s">
        <v>1599</v>
      </c>
      <c r="L409" s="12" t="s">
        <v>1599</v>
      </c>
      <c r="M409" s="12" t="s">
        <v>1551</v>
      </c>
    </row>
    <row r="410" spans="1:13" ht="14.4" x14ac:dyDescent="0.3">
      <c r="A410" s="12" t="s">
        <v>42</v>
      </c>
      <c r="B410" s="12" t="s">
        <v>24</v>
      </c>
      <c r="C410" s="12" t="s">
        <v>763</v>
      </c>
      <c r="D410" s="12" t="s">
        <v>1410</v>
      </c>
      <c r="E410" s="12" t="s">
        <v>4167</v>
      </c>
      <c r="F410" s="12" t="s">
        <v>4174</v>
      </c>
      <c r="G410" s="12" t="s">
        <v>4175</v>
      </c>
      <c r="H410" s="12" t="s">
        <v>3300</v>
      </c>
      <c r="I410" s="12" t="s">
        <v>1599</v>
      </c>
      <c r="J410" s="12" t="s">
        <v>3204</v>
      </c>
      <c r="K410" s="12" t="s">
        <v>2018</v>
      </c>
      <c r="L410" s="12" t="s">
        <v>3204</v>
      </c>
      <c r="M410" s="12" t="s">
        <v>2018</v>
      </c>
    </row>
    <row r="411" spans="1:13" ht="14.4" x14ac:dyDescent="0.3">
      <c r="A411" s="12" t="s">
        <v>71</v>
      </c>
      <c r="B411" s="12" t="s">
        <v>765</v>
      </c>
      <c r="C411" s="12" t="s">
        <v>764</v>
      </c>
      <c r="D411" s="12" t="s">
        <v>1410</v>
      </c>
      <c r="E411" s="12" t="s">
        <v>3871</v>
      </c>
      <c r="F411" s="12" t="s">
        <v>3872</v>
      </c>
      <c r="G411" s="12" t="s">
        <v>3873</v>
      </c>
      <c r="H411" s="12" t="s">
        <v>3294</v>
      </c>
      <c r="I411" s="12" t="s">
        <v>3214</v>
      </c>
      <c r="J411" s="12" t="s">
        <v>2018</v>
      </c>
      <c r="K411" s="12" t="s">
        <v>1551</v>
      </c>
      <c r="L411" s="12" t="s">
        <v>3204</v>
      </c>
      <c r="M411" s="12" t="s">
        <v>1551</v>
      </c>
    </row>
    <row r="412" spans="1:13" ht="14.4" x14ac:dyDescent="0.3">
      <c r="A412" s="12" t="s">
        <v>42</v>
      </c>
      <c r="B412" s="12" t="s">
        <v>767</v>
      </c>
      <c r="C412" s="12" t="s">
        <v>766</v>
      </c>
      <c r="D412" s="12" t="s">
        <v>1410</v>
      </c>
      <c r="E412" s="12" t="s">
        <v>3990</v>
      </c>
      <c r="F412" s="12" t="s">
        <v>3995</v>
      </c>
      <c r="G412" s="12" t="s">
        <v>3996</v>
      </c>
      <c r="H412" s="12" t="s">
        <v>3246</v>
      </c>
      <c r="I412" s="12" t="s">
        <v>2018</v>
      </c>
      <c r="J412" s="12" t="s">
        <v>1506</v>
      </c>
      <c r="K412" s="12" t="s">
        <v>1551</v>
      </c>
      <c r="L412" s="12" t="s">
        <v>2018</v>
      </c>
      <c r="M412" s="12" t="s">
        <v>1506</v>
      </c>
    </row>
    <row r="413" spans="1:13" ht="14.4" x14ac:dyDescent="0.3">
      <c r="A413" s="12" t="s">
        <v>123</v>
      </c>
      <c r="B413" s="12" t="s">
        <v>769</v>
      </c>
      <c r="C413" s="12" t="s">
        <v>768</v>
      </c>
      <c r="D413" s="12" t="s">
        <v>1410</v>
      </c>
      <c r="E413" s="12" t="s">
        <v>3952</v>
      </c>
      <c r="F413" s="12" t="s">
        <v>3953</v>
      </c>
      <c r="G413" s="12" t="s">
        <v>3268</v>
      </c>
      <c r="H413" s="12" t="s">
        <v>1843</v>
      </c>
      <c r="I413" s="12" t="s">
        <v>1414</v>
      </c>
      <c r="J413" s="12" t="s">
        <v>2062</v>
      </c>
      <c r="K413" s="12" t="s">
        <v>1506</v>
      </c>
      <c r="L413" s="12" t="s">
        <v>1414</v>
      </c>
      <c r="M413" s="12" t="s">
        <v>1414</v>
      </c>
    </row>
    <row r="414" spans="1:13" ht="14.4" x14ac:dyDescent="0.3">
      <c r="A414" s="12" t="s">
        <v>31</v>
      </c>
      <c r="B414" s="12" t="s">
        <v>771</v>
      </c>
      <c r="C414" s="12" t="s">
        <v>770</v>
      </c>
      <c r="D414" s="12" t="s">
        <v>1410</v>
      </c>
      <c r="E414" s="12" t="s">
        <v>4015</v>
      </c>
      <c r="F414" s="12" t="s">
        <v>2760</v>
      </c>
      <c r="G414" s="12" t="s">
        <v>4016</v>
      </c>
      <c r="H414" s="12" t="s">
        <v>3234</v>
      </c>
      <c r="I414" s="12" t="s">
        <v>1551</v>
      </c>
      <c r="J414" s="12" t="s">
        <v>1599</v>
      </c>
      <c r="K414" s="12" t="s">
        <v>1551</v>
      </c>
      <c r="L414" s="12" t="s">
        <v>1551</v>
      </c>
      <c r="M414" s="12" t="s">
        <v>1551</v>
      </c>
    </row>
    <row r="415" spans="1:13" ht="14.4" x14ac:dyDescent="0.3">
      <c r="A415" s="12" t="s">
        <v>49</v>
      </c>
      <c r="B415" s="12" t="s">
        <v>773</v>
      </c>
      <c r="C415" s="12" t="s">
        <v>772</v>
      </c>
      <c r="D415" s="12" t="s">
        <v>1410</v>
      </c>
      <c r="E415" s="12" t="s">
        <v>6195</v>
      </c>
      <c r="F415" s="12" t="s">
        <v>6007</v>
      </c>
      <c r="G415" s="12" t="s">
        <v>6196</v>
      </c>
      <c r="H415" s="12" t="s">
        <v>3300</v>
      </c>
      <c r="I415" s="12" t="s">
        <v>2062</v>
      </c>
      <c r="J415" s="12" t="s">
        <v>1506</v>
      </c>
      <c r="K415" s="12" t="s">
        <v>1551</v>
      </c>
      <c r="L415" s="12" t="s">
        <v>1551</v>
      </c>
      <c r="M415" s="12" t="s">
        <v>2018</v>
      </c>
    </row>
    <row r="416" spans="1:13" ht="14.4" x14ac:dyDescent="0.3">
      <c r="A416" s="12" t="s">
        <v>42</v>
      </c>
      <c r="B416" s="12" t="s">
        <v>775</v>
      </c>
      <c r="C416" s="12" t="s">
        <v>774</v>
      </c>
      <c r="D416" s="12" t="s">
        <v>1410</v>
      </c>
      <c r="E416" s="12" t="s">
        <v>3974</v>
      </c>
      <c r="F416" s="12" t="s">
        <v>2726</v>
      </c>
      <c r="G416" s="12" t="s">
        <v>3975</v>
      </c>
      <c r="H416" s="12" t="s">
        <v>3218</v>
      </c>
      <c r="I416" s="12" t="s">
        <v>1551</v>
      </c>
      <c r="J416" s="12" t="s">
        <v>1749</v>
      </c>
      <c r="K416" s="12" t="s">
        <v>1551</v>
      </c>
      <c r="L416" s="12" t="s">
        <v>1551</v>
      </c>
      <c r="M416" s="12" t="s">
        <v>1506</v>
      </c>
    </row>
    <row r="417" spans="1:13" ht="14.4" x14ac:dyDescent="0.3">
      <c r="A417" s="12" t="s">
        <v>55</v>
      </c>
      <c r="B417" s="12" t="s">
        <v>777</v>
      </c>
      <c r="C417" s="12" t="s">
        <v>776</v>
      </c>
      <c r="D417" s="12" t="s">
        <v>1410</v>
      </c>
      <c r="E417" s="12" t="s">
        <v>3774</v>
      </c>
      <c r="F417" s="12" t="s">
        <v>3776</v>
      </c>
      <c r="G417" s="12" t="s">
        <v>3777</v>
      </c>
      <c r="H417" s="12" t="s">
        <v>3246</v>
      </c>
      <c r="I417" s="12" t="s">
        <v>1506</v>
      </c>
      <c r="J417" s="12" t="s">
        <v>1551</v>
      </c>
      <c r="K417" s="12" t="s">
        <v>1599</v>
      </c>
      <c r="L417" s="12" t="s">
        <v>2018</v>
      </c>
      <c r="M417" s="12" t="s">
        <v>1551</v>
      </c>
    </row>
    <row r="418" spans="1:13" ht="14.4" x14ac:dyDescent="0.3">
      <c r="A418" s="12" t="s">
        <v>5532</v>
      </c>
      <c r="B418" s="12" t="s">
        <v>779</v>
      </c>
      <c r="C418" s="12" t="s">
        <v>778</v>
      </c>
      <c r="D418" s="12" t="s">
        <v>1410</v>
      </c>
      <c r="E418" s="12" t="s">
        <v>3904</v>
      </c>
      <c r="F418" s="12" t="s">
        <v>3905</v>
      </c>
      <c r="G418" s="12" t="s">
        <v>3560</v>
      </c>
      <c r="H418" s="12" t="s">
        <v>3203</v>
      </c>
      <c r="I418" s="12" t="s">
        <v>3204</v>
      </c>
      <c r="J418" s="12" t="s">
        <v>1506</v>
      </c>
      <c r="K418" s="12" t="s">
        <v>1551</v>
      </c>
      <c r="L418" s="12" t="s">
        <v>2018</v>
      </c>
      <c r="M418" s="12" t="s">
        <v>1551</v>
      </c>
    </row>
    <row r="419" spans="1:13" ht="14.4" x14ac:dyDescent="0.3">
      <c r="A419" s="12" t="s">
        <v>8</v>
      </c>
      <c r="B419" s="12" t="s">
        <v>781</v>
      </c>
      <c r="C419" s="12" t="s">
        <v>780</v>
      </c>
      <c r="D419" s="12" t="s">
        <v>1410</v>
      </c>
      <c r="E419" s="12" t="s">
        <v>2707</v>
      </c>
      <c r="F419" s="12" t="s">
        <v>3963</v>
      </c>
      <c r="G419" s="12" t="s">
        <v>3964</v>
      </c>
      <c r="H419" s="12" t="s">
        <v>1419</v>
      </c>
      <c r="I419" s="12" t="s">
        <v>3204</v>
      </c>
      <c r="J419" s="12" t="s">
        <v>1749</v>
      </c>
      <c r="K419" s="12" t="s">
        <v>1506</v>
      </c>
      <c r="L419" s="12" t="s">
        <v>2435</v>
      </c>
      <c r="M419" s="12" t="s">
        <v>1749</v>
      </c>
    </row>
    <row r="420" spans="1:13" ht="14.4" x14ac:dyDescent="0.3">
      <c r="A420" s="12" t="s">
        <v>71</v>
      </c>
      <c r="B420" s="12" t="s">
        <v>783</v>
      </c>
      <c r="C420" s="12" t="s">
        <v>782</v>
      </c>
      <c r="D420" s="12" t="s">
        <v>1410</v>
      </c>
      <c r="E420" s="12" t="s">
        <v>3026</v>
      </c>
      <c r="F420" s="12" t="s">
        <v>3061</v>
      </c>
      <c r="G420" s="12" t="s">
        <v>3268</v>
      </c>
      <c r="H420" s="12" t="s">
        <v>1414</v>
      </c>
      <c r="I420" s="12" t="s">
        <v>1414</v>
      </c>
      <c r="J420" s="12" t="s">
        <v>1414</v>
      </c>
      <c r="K420" s="12" t="s">
        <v>1414</v>
      </c>
      <c r="L420" s="12" t="s">
        <v>1414</v>
      </c>
      <c r="M420" s="12" t="s">
        <v>1414</v>
      </c>
    </row>
    <row r="421" spans="1:13" ht="14.4" x14ac:dyDescent="0.3">
      <c r="A421" s="12" t="s">
        <v>71</v>
      </c>
      <c r="B421" s="12" t="s">
        <v>783</v>
      </c>
      <c r="C421" s="12" t="s">
        <v>782</v>
      </c>
      <c r="D421" s="12" t="s">
        <v>1410</v>
      </c>
      <c r="E421" s="12" t="s">
        <v>6197</v>
      </c>
      <c r="F421" s="12" t="s">
        <v>6198</v>
      </c>
      <c r="G421" s="12" t="s">
        <v>6199</v>
      </c>
      <c r="H421" s="12" t="s">
        <v>3464</v>
      </c>
      <c r="I421" s="12" t="s">
        <v>2018</v>
      </c>
      <c r="J421" s="12" t="s">
        <v>2018</v>
      </c>
      <c r="K421" s="12" t="s">
        <v>2018</v>
      </c>
      <c r="L421" s="12" t="s">
        <v>2018</v>
      </c>
      <c r="M421" s="12" t="s">
        <v>2018</v>
      </c>
    </row>
    <row r="422" spans="1:13" ht="14.4" x14ac:dyDescent="0.3">
      <c r="A422" s="12" t="s">
        <v>8</v>
      </c>
      <c r="B422" s="12" t="s">
        <v>785</v>
      </c>
      <c r="C422" s="12" t="s">
        <v>784</v>
      </c>
      <c r="D422" s="12" t="s">
        <v>1410</v>
      </c>
      <c r="E422" s="12" t="s">
        <v>4143</v>
      </c>
      <c r="F422" s="12" t="s">
        <v>4144</v>
      </c>
      <c r="G422" s="12" t="s">
        <v>4145</v>
      </c>
      <c r="H422" s="12" t="s">
        <v>3246</v>
      </c>
      <c r="I422" s="12" t="s">
        <v>1506</v>
      </c>
      <c r="J422" s="12" t="s">
        <v>1599</v>
      </c>
      <c r="K422" s="12" t="s">
        <v>1551</v>
      </c>
      <c r="L422" s="12" t="s">
        <v>2018</v>
      </c>
      <c r="M422" s="12" t="s">
        <v>1551</v>
      </c>
    </row>
    <row r="423" spans="1:13" ht="14.4" x14ac:dyDescent="0.3">
      <c r="A423" s="12" t="s">
        <v>8</v>
      </c>
      <c r="B423" s="12" t="s">
        <v>787</v>
      </c>
      <c r="C423" s="12" t="s">
        <v>786</v>
      </c>
      <c r="D423" s="12" t="s">
        <v>1410</v>
      </c>
      <c r="E423" s="12" t="s">
        <v>4169</v>
      </c>
      <c r="F423" s="12" t="s">
        <v>4170</v>
      </c>
      <c r="G423" s="12" t="s">
        <v>4171</v>
      </c>
      <c r="H423" s="12" t="s">
        <v>3240</v>
      </c>
      <c r="I423" s="12" t="s">
        <v>1599</v>
      </c>
      <c r="J423" s="12" t="s">
        <v>1599</v>
      </c>
      <c r="K423" s="12" t="s">
        <v>1551</v>
      </c>
      <c r="L423" s="12" t="s">
        <v>2018</v>
      </c>
      <c r="M423" s="12" t="s">
        <v>2018</v>
      </c>
    </row>
    <row r="424" spans="1:13" ht="14.4" x14ac:dyDescent="0.3">
      <c r="A424" s="12" t="s">
        <v>42</v>
      </c>
      <c r="B424" s="12" t="s">
        <v>57</v>
      </c>
      <c r="C424" s="12" t="s">
        <v>788</v>
      </c>
      <c r="D424" s="12" t="s">
        <v>1410</v>
      </c>
      <c r="E424" s="12" t="s">
        <v>3954</v>
      </c>
      <c r="F424" s="12" t="s">
        <v>3955</v>
      </c>
      <c r="G424" s="12" t="s">
        <v>3956</v>
      </c>
      <c r="H424" s="12" t="s">
        <v>3223</v>
      </c>
      <c r="I424" s="12" t="s">
        <v>2018</v>
      </c>
      <c r="J424" s="12" t="s">
        <v>2018</v>
      </c>
      <c r="K424" s="12" t="s">
        <v>1599</v>
      </c>
      <c r="L424" s="12" t="s">
        <v>1551</v>
      </c>
      <c r="M424" s="12" t="s">
        <v>1551</v>
      </c>
    </row>
    <row r="425" spans="1:13" ht="14.4" x14ac:dyDescent="0.3">
      <c r="A425" s="12" t="s">
        <v>8</v>
      </c>
      <c r="B425" s="12" t="s">
        <v>57</v>
      </c>
      <c r="C425" s="12" t="s">
        <v>789</v>
      </c>
      <c r="D425" s="12" t="s">
        <v>1410</v>
      </c>
      <c r="E425" s="12" t="s">
        <v>4107</v>
      </c>
      <c r="F425" s="12" t="s">
        <v>4108</v>
      </c>
      <c r="G425" s="12" t="s">
        <v>3268</v>
      </c>
      <c r="H425" s="12" t="s">
        <v>1414</v>
      </c>
      <c r="I425" s="12" t="s">
        <v>1414</v>
      </c>
      <c r="J425" s="12" t="s">
        <v>1414</v>
      </c>
      <c r="K425" s="12" t="s">
        <v>1414</v>
      </c>
      <c r="L425" s="12" t="s">
        <v>1414</v>
      </c>
      <c r="M425" s="12" t="s">
        <v>1414</v>
      </c>
    </row>
    <row r="426" spans="1:13" ht="14.4" x14ac:dyDescent="0.3">
      <c r="A426" s="12" t="s">
        <v>8</v>
      </c>
      <c r="B426" s="12" t="s">
        <v>57</v>
      </c>
      <c r="C426" s="12" t="s">
        <v>789</v>
      </c>
      <c r="D426" s="12" t="s">
        <v>1410</v>
      </c>
      <c r="E426" s="12" t="s">
        <v>4347</v>
      </c>
      <c r="F426" s="12" t="s">
        <v>4348</v>
      </c>
      <c r="G426" s="12" t="s">
        <v>4349</v>
      </c>
      <c r="H426" s="12" t="s">
        <v>3207</v>
      </c>
      <c r="I426" s="12" t="s">
        <v>1599</v>
      </c>
      <c r="J426" s="12" t="s">
        <v>2018</v>
      </c>
      <c r="K426" s="12" t="s">
        <v>2018</v>
      </c>
      <c r="L426" s="12" t="s">
        <v>1420</v>
      </c>
      <c r="M426" s="12" t="s">
        <v>3204</v>
      </c>
    </row>
    <row r="427" spans="1:13" ht="14.4" x14ac:dyDescent="0.3">
      <c r="A427" s="12" t="s">
        <v>31</v>
      </c>
      <c r="B427" s="12" t="s">
        <v>791</v>
      </c>
      <c r="C427" s="12" t="s">
        <v>790</v>
      </c>
      <c r="D427" s="12" t="s">
        <v>1410</v>
      </c>
      <c r="E427" s="12" t="s">
        <v>4133</v>
      </c>
      <c r="F427" s="12" t="s">
        <v>4134</v>
      </c>
      <c r="G427" s="12" t="s">
        <v>1467</v>
      </c>
      <c r="H427" s="12" t="s">
        <v>3223</v>
      </c>
      <c r="I427" s="12" t="s">
        <v>2018</v>
      </c>
      <c r="J427" s="12" t="s">
        <v>2018</v>
      </c>
      <c r="K427" s="12" t="s">
        <v>2018</v>
      </c>
      <c r="L427" s="12" t="s">
        <v>1506</v>
      </c>
      <c r="M427" s="12" t="s">
        <v>1551</v>
      </c>
    </row>
    <row r="428" spans="1:13" ht="14.4" x14ac:dyDescent="0.3">
      <c r="A428" s="12" t="s">
        <v>794</v>
      </c>
      <c r="B428" s="12" t="s">
        <v>793</v>
      </c>
      <c r="C428" s="12" t="s">
        <v>792</v>
      </c>
      <c r="D428" s="12" t="s">
        <v>1410</v>
      </c>
      <c r="E428" s="12" t="s">
        <v>4162</v>
      </c>
      <c r="F428" s="12" t="s">
        <v>4172</v>
      </c>
      <c r="G428" s="12" t="s">
        <v>4173</v>
      </c>
      <c r="H428" s="12" t="s">
        <v>3210</v>
      </c>
      <c r="I428" s="12" t="s">
        <v>1506</v>
      </c>
      <c r="J428" s="12" t="s">
        <v>1506</v>
      </c>
      <c r="K428" s="12" t="s">
        <v>1599</v>
      </c>
      <c r="L428" s="12" t="s">
        <v>2018</v>
      </c>
      <c r="M428" s="12" t="s">
        <v>2018</v>
      </c>
    </row>
    <row r="429" spans="1:13" ht="14.4" x14ac:dyDescent="0.3">
      <c r="A429" s="12" t="s">
        <v>28</v>
      </c>
      <c r="B429" s="12" t="s">
        <v>796</v>
      </c>
      <c r="C429" s="12" t="s">
        <v>795</v>
      </c>
      <c r="D429" s="12" t="s">
        <v>1410</v>
      </c>
      <c r="E429" s="12" t="s">
        <v>4129</v>
      </c>
      <c r="F429" s="12" t="s">
        <v>4130</v>
      </c>
      <c r="G429" s="12" t="s">
        <v>2349</v>
      </c>
      <c r="H429" s="12" t="s">
        <v>3294</v>
      </c>
      <c r="I429" s="12" t="s">
        <v>1551</v>
      </c>
      <c r="J429" s="12" t="s">
        <v>1599</v>
      </c>
      <c r="K429" s="12" t="s">
        <v>1551</v>
      </c>
      <c r="L429" s="12" t="s">
        <v>3214</v>
      </c>
      <c r="M429" s="12" t="s">
        <v>1599</v>
      </c>
    </row>
    <row r="430" spans="1:13" ht="14.4" x14ac:dyDescent="0.3">
      <c r="A430" s="12" t="s">
        <v>8</v>
      </c>
      <c r="B430" s="12" t="s">
        <v>798</v>
      </c>
      <c r="C430" s="12" t="s">
        <v>797</v>
      </c>
      <c r="D430" s="12" t="s">
        <v>1410</v>
      </c>
      <c r="E430" s="12" t="s">
        <v>4164</v>
      </c>
      <c r="F430" s="12" t="s">
        <v>4165</v>
      </c>
      <c r="G430" s="12" t="s">
        <v>1824</v>
      </c>
      <c r="H430" s="12" t="s">
        <v>3300</v>
      </c>
      <c r="I430" s="12" t="s">
        <v>1551</v>
      </c>
      <c r="J430" s="12" t="s">
        <v>1599</v>
      </c>
      <c r="K430" s="12" t="s">
        <v>3204</v>
      </c>
      <c r="L430" s="12" t="s">
        <v>1506</v>
      </c>
      <c r="M430" s="12" t="s">
        <v>2018</v>
      </c>
    </row>
    <row r="431" spans="1:13" ht="14.4" x14ac:dyDescent="0.3">
      <c r="A431" s="12" t="s">
        <v>16</v>
      </c>
      <c r="B431" s="12" t="s">
        <v>800</v>
      </c>
      <c r="C431" s="12" t="s">
        <v>799</v>
      </c>
      <c r="D431" s="12" t="s">
        <v>1410</v>
      </c>
      <c r="E431" s="12" t="s">
        <v>3746</v>
      </c>
      <c r="F431" s="12" t="s">
        <v>3773</v>
      </c>
      <c r="G431" s="12" t="s">
        <v>3751</v>
      </c>
      <c r="H431" s="12" t="s">
        <v>3234</v>
      </c>
      <c r="I431" s="12" t="s">
        <v>1599</v>
      </c>
      <c r="J431" s="12" t="s">
        <v>1551</v>
      </c>
      <c r="K431" s="12" t="s">
        <v>1599</v>
      </c>
      <c r="L431" s="12" t="s">
        <v>2018</v>
      </c>
      <c r="M431" s="12" t="s">
        <v>1551</v>
      </c>
    </row>
    <row r="432" spans="1:13" ht="14.4" x14ac:dyDescent="0.3">
      <c r="A432" s="12" t="s">
        <v>31</v>
      </c>
      <c r="B432" s="12" t="s">
        <v>800</v>
      </c>
      <c r="C432" s="12" t="s">
        <v>801</v>
      </c>
      <c r="D432" s="12" t="s">
        <v>1410</v>
      </c>
      <c r="E432" s="12" t="s">
        <v>4156</v>
      </c>
      <c r="F432" s="12" t="s">
        <v>4157</v>
      </c>
      <c r="G432" s="12" t="s">
        <v>4158</v>
      </c>
      <c r="H432" s="12" t="s">
        <v>3464</v>
      </c>
      <c r="I432" s="12" t="s">
        <v>2018</v>
      </c>
      <c r="J432" s="12" t="s">
        <v>2018</v>
      </c>
      <c r="K432" s="12" t="s">
        <v>2018</v>
      </c>
      <c r="L432" s="12" t="s">
        <v>2018</v>
      </c>
      <c r="M432" s="12" t="s">
        <v>2018</v>
      </c>
    </row>
    <row r="433" spans="1:13" ht="14.4" x14ac:dyDescent="0.3">
      <c r="A433" s="12" t="s">
        <v>228</v>
      </c>
      <c r="B433" s="12" t="s">
        <v>803</v>
      </c>
      <c r="C433" s="12" t="s">
        <v>802</v>
      </c>
      <c r="D433" s="12" t="s">
        <v>1410</v>
      </c>
      <c r="E433" s="12" t="s">
        <v>2832</v>
      </c>
      <c r="F433" s="12" t="s">
        <v>4074</v>
      </c>
      <c r="G433" s="12" t="s">
        <v>4075</v>
      </c>
      <c r="H433" s="12" t="s">
        <v>3223</v>
      </c>
      <c r="I433" s="12" t="s">
        <v>1551</v>
      </c>
      <c r="J433" s="12" t="s">
        <v>1599</v>
      </c>
      <c r="K433" s="12" t="s">
        <v>1551</v>
      </c>
      <c r="L433" s="12" t="s">
        <v>2018</v>
      </c>
      <c r="M433" s="12" t="s">
        <v>2018</v>
      </c>
    </row>
    <row r="434" spans="1:13" ht="14.4" x14ac:dyDescent="0.3">
      <c r="A434" s="12" t="s">
        <v>123</v>
      </c>
      <c r="B434" s="12" t="s">
        <v>805</v>
      </c>
      <c r="C434" s="12" t="s">
        <v>804</v>
      </c>
      <c r="D434" s="12" t="s">
        <v>1410</v>
      </c>
      <c r="E434" s="12" t="s">
        <v>2754</v>
      </c>
      <c r="F434" s="12" t="s">
        <v>4013</v>
      </c>
      <c r="G434" s="12" t="s">
        <v>3268</v>
      </c>
      <c r="H434" s="12" t="s">
        <v>2435</v>
      </c>
      <c r="I434" s="12" t="s">
        <v>2435</v>
      </c>
      <c r="J434" s="12" t="s">
        <v>1414</v>
      </c>
      <c r="K434" s="12" t="s">
        <v>1414</v>
      </c>
      <c r="L434" s="12" t="s">
        <v>1414</v>
      </c>
      <c r="M434" s="12" t="s">
        <v>1414</v>
      </c>
    </row>
    <row r="435" spans="1:13" ht="14.4" x14ac:dyDescent="0.3">
      <c r="A435" s="12" t="s">
        <v>123</v>
      </c>
      <c r="B435" s="12" t="s">
        <v>805</v>
      </c>
      <c r="C435" s="12" t="s">
        <v>804</v>
      </c>
      <c r="D435" s="12" t="s">
        <v>1410</v>
      </c>
      <c r="E435" s="12" t="s">
        <v>4057</v>
      </c>
      <c r="F435" s="12" t="s">
        <v>4058</v>
      </c>
      <c r="G435" s="12" t="s">
        <v>3268</v>
      </c>
      <c r="H435" s="12" t="s">
        <v>3275</v>
      </c>
      <c r="I435" s="12" t="s">
        <v>2018</v>
      </c>
      <c r="J435" s="12" t="s">
        <v>3204</v>
      </c>
      <c r="K435" s="12" t="s">
        <v>1599</v>
      </c>
      <c r="L435" s="12" t="s">
        <v>1749</v>
      </c>
      <c r="M435" s="12" t="s">
        <v>1414</v>
      </c>
    </row>
    <row r="436" spans="1:13" ht="14.4" x14ac:dyDescent="0.3">
      <c r="A436" s="12" t="s">
        <v>42</v>
      </c>
      <c r="B436" s="12" t="s">
        <v>307</v>
      </c>
      <c r="C436" s="12" t="s">
        <v>806</v>
      </c>
      <c r="D436" s="12" t="s">
        <v>1410</v>
      </c>
      <c r="E436" s="12" t="s">
        <v>3957</v>
      </c>
      <c r="F436" s="12" t="s">
        <v>3958</v>
      </c>
      <c r="G436" s="12" t="s">
        <v>3959</v>
      </c>
      <c r="H436" s="12" t="s">
        <v>3210</v>
      </c>
      <c r="I436" s="12" t="s">
        <v>2018</v>
      </c>
      <c r="J436" s="12" t="s">
        <v>1506</v>
      </c>
      <c r="K436" s="12" t="s">
        <v>1599</v>
      </c>
      <c r="L436" s="12" t="s">
        <v>1551</v>
      </c>
      <c r="M436" s="12" t="s">
        <v>1599</v>
      </c>
    </row>
    <row r="437" spans="1:13" ht="14.4" x14ac:dyDescent="0.3">
      <c r="A437" s="12" t="s">
        <v>28</v>
      </c>
      <c r="B437" s="12" t="s">
        <v>808</v>
      </c>
      <c r="C437" s="12" t="s">
        <v>807</v>
      </c>
      <c r="D437" s="12" t="s">
        <v>1410</v>
      </c>
      <c r="E437" s="12" t="s">
        <v>3868</v>
      </c>
      <c r="F437" s="12" t="s">
        <v>3869</v>
      </c>
      <c r="G437" s="12" t="s">
        <v>3870</v>
      </c>
      <c r="H437" s="12" t="s">
        <v>3240</v>
      </c>
      <c r="I437" s="12" t="s">
        <v>2018</v>
      </c>
      <c r="J437" s="12" t="s">
        <v>1599</v>
      </c>
      <c r="K437" s="12" t="s">
        <v>2018</v>
      </c>
      <c r="L437" s="12" t="s">
        <v>1551</v>
      </c>
      <c r="M437" s="12" t="s">
        <v>1599</v>
      </c>
    </row>
    <row r="438" spans="1:13" ht="14.4" x14ac:dyDescent="0.3">
      <c r="A438" s="12" t="s">
        <v>8</v>
      </c>
      <c r="B438" s="12" t="s">
        <v>810</v>
      </c>
      <c r="C438" s="12" t="s">
        <v>809</v>
      </c>
      <c r="D438" s="12" t="s">
        <v>1410</v>
      </c>
      <c r="E438" s="12" t="s">
        <v>4350</v>
      </c>
      <c r="F438" s="12" t="s">
        <v>4351</v>
      </c>
      <c r="G438" s="12" t="s">
        <v>4352</v>
      </c>
      <c r="H438" s="12" t="s">
        <v>3210</v>
      </c>
      <c r="I438" s="12" t="s">
        <v>1551</v>
      </c>
      <c r="J438" s="12" t="s">
        <v>2018</v>
      </c>
      <c r="K438" s="12" t="s">
        <v>3204</v>
      </c>
      <c r="L438" s="12" t="s">
        <v>1506</v>
      </c>
      <c r="M438" s="12" t="s">
        <v>2018</v>
      </c>
    </row>
    <row r="439" spans="1:13" ht="14.4" x14ac:dyDescent="0.3">
      <c r="A439" s="12" t="s">
        <v>19</v>
      </c>
      <c r="B439" s="12" t="s">
        <v>812</v>
      </c>
      <c r="C439" s="12" t="s">
        <v>811</v>
      </c>
      <c r="D439" s="12" t="s">
        <v>1410</v>
      </c>
      <c r="E439" s="12" t="s">
        <v>3987</v>
      </c>
      <c r="F439" s="12" t="s">
        <v>2731</v>
      </c>
      <c r="G439" s="12" t="s">
        <v>3988</v>
      </c>
      <c r="H439" s="12" t="s">
        <v>3213</v>
      </c>
      <c r="I439" s="12" t="s">
        <v>3204</v>
      </c>
      <c r="J439" s="12" t="s">
        <v>1506</v>
      </c>
      <c r="K439" s="12" t="s">
        <v>2018</v>
      </c>
      <c r="L439" s="12" t="s">
        <v>1506</v>
      </c>
      <c r="M439" s="12" t="s">
        <v>3204</v>
      </c>
    </row>
    <row r="440" spans="1:13" ht="14.4" x14ac:dyDescent="0.3">
      <c r="A440" s="12" t="s">
        <v>71</v>
      </c>
      <c r="B440" s="12" t="s">
        <v>814</v>
      </c>
      <c r="C440" s="12" t="s">
        <v>813</v>
      </c>
      <c r="D440" s="12" t="s">
        <v>1410</v>
      </c>
      <c r="E440" s="12" t="s">
        <v>4161</v>
      </c>
      <c r="F440" s="12" t="s">
        <v>4162</v>
      </c>
      <c r="G440" s="12" t="s">
        <v>4163</v>
      </c>
      <c r="H440" s="12" t="s">
        <v>3411</v>
      </c>
      <c r="I440" s="12" t="s">
        <v>2018</v>
      </c>
      <c r="J440" s="12" t="s">
        <v>1599</v>
      </c>
      <c r="K440" s="12" t="s">
        <v>1599</v>
      </c>
      <c r="L440" s="12" t="s">
        <v>3214</v>
      </c>
      <c r="M440" s="12" t="s">
        <v>2018</v>
      </c>
    </row>
    <row r="441" spans="1:13" ht="14.4" x14ac:dyDescent="0.3">
      <c r="A441" s="12" t="s">
        <v>133</v>
      </c>
      <c r="B441" s="12" t="s">
        <v>816</v>
      </c>
      <c r="C441" s="12" t="s">
        <v>815</v>
      </c>
      <c r="D441" s="12" t="s">
        <v>1410</v>
      </c>
      <c r="E441" s="12" t="s">
        <v>4153</v>
      </c>
      <c r="F441" s="12" t="s">
        <v>4154</v>
      </c>
      <c r="G441" s="12" t="s">
        <v>3268</v>
      </c>
      <c r="H441" s="12" t="s">
        <v>1419</v>
      </c>
      <c r="I441" s="12" t="s">
        <v>3204</v>
      </c>
      <c r="J441" s="12" t="s">
        <v>1551</v>
      </c>
      <c r="K441" s="12" t="s">
        <v>1599</v>
      </c>
      <c r="L441" s="12" t="s">
        <v>1414</v>
      </c>
      <c r="M441" s="12" t="s">
        <v>1414</v>
      </c>
    </row>
    <row r="442" spans="1:13" ht="14.4" x14ac:dyDescent="0.3">
      <c r="A442" s="12" t="s">
        <v>19</v>
      </c>
      <c r="B442" s="12" t="s">
        <v>818</v>
      </c>
      <c r="C442" s="12" t="s">
        <v>817</v>
      </c>
      <c r="D442" s="12" t="s">
        <v>1410</v>
      </c>
      <c r="E442" s="12" t="s">
        <v>4185</v>
      </c>
      <c r="F442" s="12" t="s">
        <v>4186</v>
      </c>
      <c r="G442" s="12" t="s">
        <v>3519</v>
      </c>
      <c r="H442" s="12" t="s">
        <v>3311</v>
      </c>
      <c r="I442" s="12" t="s">
        <v>1551</v>
      </c>
      <c r="J442" s="12" t="s">
        <v>1599</v>
      </c>
      <c r="K442" s="12" t="s">
        <v>1599</v>
      </c>
      <c r="L442" s="12" t="s">
        <v>3204</v>
      </c>
      <c r="M442" s="12" t="s">
        <v>3214</v>
      </c>
    </row>
    <row r="443" spans="1:13" ht="14.4" x14ac:dyDescent="0.3">
      <c r="A443" s="12" t="s">
        <v>19</v>
      </c>
      <c r="B443" s="12" t="s">
        <v>818</v>
      </c>
      <c r="C443" s="12" t="s">
        <v>819</v>
      </c>
      <c r="D443" s="12" t="s">
        <v>1410</v>
      </c>
      <c r="E443" s="12" t="s">
        <v>4187</v>
      </c>
      <c r="F443" s="12" t="s">
        <v>4188</v>
      </c>
      <c r="G443" s="12" t="s">
        <v>4189</v>
      </c>
      <c r="H443" s="12" t="s">
        <v>3210</v>
      </c>
      <c r="I443" s="12" t="s">
        <v>1599</v>
      </c>
      <c r="J443" s="12" t="s">
        <v>1551</v>
      </c>
      <c r="K443" s="12" t="s">
        <v>2018</v>
      </c>
      <c r="L443" s="12" t="s">
        <v>3204</v>
      </c>
      <c r="M443" s="12" t="s">
        <v>1551</v>
      </c>
    </row>
    <row r="444" spans="1:13" ht="14.4" x14ac:dyDescent="0.3">
      <c r="A444" s="12" t="s">
        <v>42</v>
      </c>
      <c r="B444" s="12" t="s">
        <v>818</v>
      </c>
      <c r="C444" s="12" t="s">
        <v>820</v>
      </c>
      <c r="D444" s="12" t="s">
        <v>1410</v>
      </c>
      <c r="E444" s="12" t="s">
        <v>3917</v>
      </c>
      <c r="F444" s="12" t="s">
        <v>3918</v>
      </c>
      <c r="G444" s="12" t="s">
        <v>3919</v>
      </c>
      <c r="H444" s="12" t="s">
        <v>3246</v>
      </c>
      <c r="I444" s="12" t="s">
        <v>1551</v>
      </c>
      <c r="J444" s="12" t="s">
        <v>1551</v>
      </c>
      <c r="K444" s="12" t="s">
        <v>1599</v>
      </c>
      <c r="L444" s="12" t="s">
        <v>1506</v>
      </c>
      <c r="M444" s="12" t="s">
        <v>2018</v>
      </c>
    </row>
    <row r="445" spans="1:13" ht="14.4" x14ac:dyDescent="0.3">
      <c r="A445" s="12" t="s">
        <v>11</v>
      </c>
      <c r="B445" s="12" t="s">
        <v>316</v>
      </c>
      <c r="C445" s="12" t="s">
        <v>821</v>
      </c>
      <c r="D445" s="12" t="s">
        <v>1410</v>
      </c>
      <c r="E445" s="12" t="s">
        <v>4183</v>
      </c>
      <c r="F445" s="12" t="s">
        <v>4184</v>
      </c>
      <c r="G445" s="12" t="s">
        <v>3268</v>
      </c>
      <c r="H445" s="12" t="s">
        <v>3464</v>
      </c>
      <c r="I445" s="12" t="s">
        <v>2018</v>
      </c>
      <c r="J445" s="12" t="s">
        <v>2018</v>
      </c>
      <c r="K445" s="12" t="s">
        <v>2018</v>
      </c>
      <c r="L445" s="12" t="s">
        <v>2018</v>
      </c>
      <c r="M445" s="12" t="s">
        <v>2018</v>
      </c>
    </row>
    <row r="446" spans="1:13" ht="14.4" x14ac:dyDescent="0.3">
      <c r="A446" s="12" t="s">
        <v>55</v>
      </c>
      <c r="B446" s="12" t="s">
        <v>319</v>
      </c>
      <c r="C446" s="12" t="s">
        <v>822</v>
      </c>
      <c r="D446" s="12" t="s">
        <v>1410</v>
      </c>
      <c r="E446" s="12" t="s">
        <v>3754</v>
      </c>
      <c r="F446" s="12" t="s">
        <v>2509</v>
      </c>
      <c r="G446" s="12" t="s">
        <v>3772</v>
      </c>
      <c r="H446" s="12" t="s">
        <v>3223</v>
      </c>
      <c r="I446" s="12" t="s">
        <v>1599</v>
      </c>
      <c r="J446" s="12" t="s">
        <v>1599</v>
      </c>
      <c r="K446" s="12" t="s">
        <v>2018</v>
      </c>
      <c r="L446" s="12" t="s">
        <v>2018</v>
      </c>
      <c r="M446" s="12" t="s">
        <v>2018</v>
      </c>
    </row>
    <row r="447" spans="1:13" ht="14.4" x14ac:dyDescent="0.3">
      <c r="A447" s="12" t="s">
        <v>825</v>
      </c>
      <c r="B447" s="12" t="s">
        <v>824</v>
      </c>
      <c r="C447" s="12" t="s">
        <v>823</v>
      </c>
      <c r="D447" s="12" t="s">
        <v>1410</v>
      </c>
      <c r="E447" s="12" t="s">
        <v>3855</v>
      </c>
      <c r="F447" s="12" t="s">
        <v>3857</v>
      </c>
      <c r="G447" s="12" t="s">
        <v>3858</v>
      </c>
      <c r="H447" s="12" t="s">
        <v>3223</v>
      </c>
      <c r="I447" s="12" t="s">
        <v>1599</v>
      </c>
      <c r="J447" s="12" t="s">
        <v>2018</v>
      </c>
      <c r="K447" s="12" t="s">
        <v>1551</v>
      </c>
      <c r="L447" s="12" t="s">
        <v>1551</v>
      </c>
      <c r="M447" s="12" t="s">
        <v>2018</v>
      </c>
    </row>
    <row r="448" spans="1:13" ht="14.4" x14ac:dyDescent="0.3">
      <c r="A448" s="12" t="s">
        <v>8</v>
      </c>
      <c r="B448" s="12" t="s">
        <v>827</v>
      </c>
      <c r="C448" s="12" t="s">
        <v>826</v>
      </c>
      <c r="D448" s="12" t="s">
        <v>1410</v>
      </c>
      <c r="E448" s="12" t="s">
        <v>4237</v>
      </c>
      <c r="F448" s="12" t="s">
        <v>4238</v>
      </c>
      <c r="G448" s="12" t="s">
        <v>3077</v>
      </c>
      <c r="H448" s="12" t="s">
        <v>3464</v>
      </c>
      <c r="I448" s="12" t="s">
        <v>2018</v>
      </c>
      <c r="J448" s="12" t="s">
        <v>2018</v>
      </c>
      <c r="K448" s="12" t="s">
        <v>2018</v>
      </c>
      <c r="L448" s="12" t="s">
        <v>2018</v>
      </c>
      <c r="M448" s="12" t="s">
        <v>2018</v>
      </c>
    </row>
    <row r="449" spans="1:13" ht="14.4" x14ac:dyDescent="0.3">
      <c r="A449" s="12" t="s">
        <v>8</v>
      </c>
      <c r="B449" s="12" t="s">
        <v>79</v>
      </c>
      <c r="C449" s="12" t="s">
        <v>828</v>
      </c>
      <c r="D449" s="12" t="s">
        <v>1410</v>
      </c>
      <c r="E449" s="12" t="s">
        <v>4153</v>
      </c>
      <c r="F449" s="12" t="s">
        <v>4155</v>
      </c>
      <c r="G449" s="12" t="s">
        <v>1999</v>
      </c>
      <c r="H449" s="12" t="s">
        <v>3258</v>
      </c>
      <c r="I449" s="12" t="s">
        <v>2018</v>
      </c>
      <c r="J449" s="12" t="s">
        <v>1551</v>
      </c>
      <c r="K449" s="12" t="s">
        <v>2018</v>
      </c>
      <c r="L449" s="12" t="s">
        <v>1551</v>
      </c>
      <c r="M449" s="12" t="s">
        <v>1551</v>
      </c>
    </row>
    <row r="450" spans="1:13" ht="14.4" x14ac:dyDescent="0.3">
      <c r="A450" s="12" t="s">
        <v>337</v>
      </c>
      <c r="B450" s="12" t="s">
        <v>79</v>
      </c>
      <c r="C450" s="12" t="s">
        <v>829</v>
      </c>
      <c r="D450" s="12" t="s">
        <v>1410</v>
      </c>
      <c r="E450" s="12" t="s">
        <v>4193</v>
      </c>
      <c r="F450" s="12" t="s">
        <v>4196</v>
      </c>
      <c r="G450" s="12" t="s">
        <v>3281</v>
      </c>
      <c r="H450" s="12" t="s">
        <v>3258</v>
      </c>
      <c r="I450" s="12" t="s">
        <v>2018</v>
      </c>
      <c r="J450" s="12" t="s">
        <v>1599</v>
      </c>
      <c r="K450" s="12" t="s">
        <v>2018</v>
      </c>
      <c r="L450" s="12" t="s">
        <v>2018</v>
      </c>
      <c r="M450" s="12" t="s">
        <v>1551</v>
      </c>
    </row>
    <row r="451" spans="1:13" ht="14.4" x14ac:dyDescent="0.3">
      <c r="A451" s="12" t="s">
        <v>55</v>
      </c>
      <c r="B451" s="12" t="s">
        <v>831</v>
      </c>
      <c r="C451" s="12" t="s">
        <v>830</v>
      </c>
      <c r="D451" s="12" t="s">
        <v>1410</v>
      </c>
      <c r="E451" s="12" t="s">
        <v>4105</v>
      </c>
      <c r="F451" s="12" t="s">
        <v>4106</v>
      </c>
      <c r="G451" s="12" t="s">
        <v>1437</v>
      </c>
      <c r="H451" s="12" t="s">
        <v>3213</v>
      </c>
      <c r="I451" s="12" t="s">
        <v>1551</v>
      </c>
      <c r="J451" s="12" t="s">
        <v>1414</v>
      </c>
      <c r="K451" s="12" t="s">
        <v>2018</v>
      </c>
      <c r="L451" s="12" t="s">
        <v>1599</v>
      </c>
      <c r="M451" s="12" t="s">
        <v>1551</v>
      </c>
    </row>
    <row r="452" spans="1:13" ht="14.4" x14ac:dyDescent="0.3">
      <c r="A452" s="12" t="s">
        <v>49</v>
      </c>
      <c r="B452" s="12" t="s">
        <v>833</v>
      </c>
      <c r="C452" s="12" t="s">
        <v>832</v>
      </c>
      <c r="D452" s="12" t="s">
        <v>1410</v>
      </c>
      <c r="E452" s="12" t="s">
        <v>3920</v>
      </c>
      <c r="F452" s="12" t="s">
        <v>2658</v>
      </c>
      <c r="G452" s="12" t="s">
        <v>3921</v>
      </c>
      <c r="H452" s="12" t="s">
        <v>3311</v>
      </c>
      <c r="I452" s="12" t="s">
        <v>1414</v>
      </c>
      <c r="J452" s="12" t="s">
        <v>3204</v>
      </c>
      <c r="K452" s="12" t="s">
        <v>1551</v>
      </c>
      <c r="L452" s="12" t="s">
        <v>1551</v>
      </c>
      <c r="M452" s="12" t="s">
        <v>2018</v>
      </c>
    </row>
    <row r="453" spans="1:13" ht="14.4" x14ac:dyDescent="0.3">
      <c r="A453" s="12" t="s">
        <v>836</v>
      </c>
      <c r="B453" s="12" t="s">
        <v>835</v>
      </c>
      <c r="C453" s="12" t="s">
        <v>834</v>
      </c>
      <c r="D453" s="12" t="s">
        <v>1410</v>
      </c>
      <c r="E453" s="12" t="s">
        <v>3937</v>
      </c>
      <c r="F453" s="12" t="s">
        <v>3938</v>
      </c>
      <c r="G453" s="12" t="s">
        <v>3939</v>
      </c>
      <c r="H453" s="12" t="s">
        <v>3240</v>
      </c>
      <c r="I453" s="12" t="s">
        <v>1506</v>
      </c>
      <c r="J453" s="12" t="s">
        <v>1599</v>
      </c>
      <c r="K453" s="12" t="s">
        <v>2018</v>
      </c>
      <c r="L453" s="12" t="s">
        <v>2018</v>
      </c>
      <c r="M453" s="12" t="s">
        <v>2018</v>
      </c>
    </row>
    <row r="454" spans="1:13" ht="14.4" x14ac:dyDescent="0.3">
      <c r="A454" s="12" t="s">
        <v>25</v>
      </c>
      <c r="B454" s="12" t="s">
        <v>838</v>
      </c>
      <c r="C454" s="12" t="s">
        <v>837</v>
      </c>
      <c r="D454" s="12" t="s">
        <v>1410</v>
      </c>
      <c r="E454" s="12" t="s">
        <v>2742</v>
      </c>
      <c r="F454" s="12" t="s">
        <v>3999</v>
      </c>
      <c r="G454" s="12" t="s">
        <v>4000</v>
      </c>
      <c r="H454" s="12" t="s">
        <v>3218</v>
      </c>
      <c r="I454" s="12" t="s">
        <v>1506</v>
      </c>
      <c r="J454" s="12" t="s">
        <v>1551</v>
      </c>
      <c r="K454" s="12" t="s">
        <v>1749</v>
      </c>
      <c r="L454" s="12" t="s">
        <v>1551</v>
      </c>
      <c r="M454" s="12" t="s">
        <v>1551</v>
      </c>
    </row>
    <row r="455" spans="1:13" ht="14.4" x14ac:dyDescent="0.3">
      <c r="A455" s="12" t="s">
        <v>11</v>
      </c>
      <c r="B455" s="12" t="s">
        <v>840</v>
      </c>
      <c r="C455" s="12" t="s">
        <v>839</v>
      </c>
      <c r="D455" s="12" t="s">
        <v>1410</v>
      </c>
      <c r="E455" s="12" t="s">
        <v>4381</v>
      </c>
      <c r="F455" s="12" t="s">
        <v>4382</v>
      </c>
      <c r="G455" s="12" t="s">
        <v>4383</v>
      </c>
      <c r="H455" s="12" t="s">
        <v>3258</v>
      </c>
      <c r="I455" s="12" t="s">
        <v>1551</v>
      </c>
      <c r="J455" s="12" t="s">
        <v>1551</v>
      </c>
      <c r="K455" s="12" t="s">
        <v>1551</v>
      </c>
      <c r="L455" s="12" t="s">
        <v>2018</v>
      </c>
      <c r="M455" s="12" t="s">
        <v>2018</v>
      </c>
    </row>
    <row r="456" spans="1:13" ht="14.4" x14ac:dyDescent="0.3">
      <c r="A456" s="12" t="s">
        <v>31</v>
      </c>
      <c r="B456" s="12" t="s">
        <v>329</v>
      </c>
      <c r="C456" s="12" t="s">
        <v>841</v>
      </c>
      <c r="D456" s="12" t="s">
        <v>1410</v>
      </c>
      <c r="E456" s="12" t="s">
        <v>4119</v>
      </c>
      <c r="F456" s="12" t="s">
        <v>2875</v>
      </c>
      <c r="G456" s="12" t="s">
        <v>2719</v>
      </c>
      <c r="H456" s="12" t="s">
        <v>3240</v>
      </c>
      <c r="I456" s="12" t="s">
        <v>1551</v>
      </c>
      <c r="J456" s="12" t="s">
        <v>1506</v>
      </c>
      <c r="K456" s="12" t="s">
        <v>2018</v>
      </c>
      <c r="L456" s="12" t="s">
        <v>1551</v>
      </c>
      <c r="M456" s="12" t="s">
        <v>2018</v>
      </c>
    </row>
    <row r="457" spans="1:13" ht="14.4" x14ac:dyDescent="0.3">
      <c r="A457" s="12" t="s">
        <v>31</v>
      </c>
      <c r="B457" s="12" t="s">
        <v>329</v>
      </c>
      <c r="C457" s="12" t="s">
        <v>842</v>
      </c>
      <c r="D457" s="12" t="s">
        <v>1410</v>
      </c>
      <c r="E457" s="12" t="s">
        <v>4109</v>
      </c>
      <c r="F457" s="12" t="s">
        <v>4110</v>
      </c>
      <c r="G457" s="12" t="s">
        <v>4111</v>
      </c>
      <c r="H457" s="12" t="s">
        <v>3210</v>
      </c>
      <c r="I457" s="12" t="s">
        <v>1506</v>
      </c>
      <c r="J457" s="12" t="s">
        <v>1599</v>
      </c>
      <c r="K457" s="12" t="s">
        <v>1551</v>
      </c>
      <c r="L457" s="12" t="s">
        <v>1551</v>
      </c>
      <c r="M457" s="12" t="s">
        <v>1551</v>
      </c>
    </row>
    <row r="458" spans="1:13" ht="14.4" x14ac:dyDescent="0.3">
      <c r="A458" s="12" t="s">
        <v>25</v>
      </c>
      <c r="B458" s="12" t="s">
        <v>329</v>
      </c>
      <c r="C458" s="12" t="s">
        <v>843</v>
      </c>
      <c r="D458" s="12" t="s">
        <v>1456</v>
      </c>
      <c r="E458" s="12" t="s">
        <v>6200</v>
      </c>
      <c r="F458" s="12" t="s">
        <v>1415</v>
      </c>
      <c r="G458" s="12" t="s">
        <v>1415</v>
      </c>
      <c r="H458" s="12" t="s">
        <v>1415</v>
      </c>
      <c r="I458" s="12" t="s">
        <v>1415</v>
      </c>
      <c r="J458" s="12" t="s">
        <v>1415</v>
      </c>
      <c r="K458" s="12" t="s">
        <v>1415</v>
      </c>
      <c r="L458" s="12" t="s">
        <v>1415</v>
      </c>
      <c r="M458" s="12" t="s">
        <v>1415</v>
      </c>
    </row>
    <row r="459" spans="1:13" ht="14.4" x14ac:dyDescent="0.3">
      <c r="A459" s="12" t="s">
        <v>11</v>
      </c>
      <c r="B459" s="12" t="s">
        <v>845</v>
      </c>
      <c r="C459" s="12" t="s">
        <v>844</v>
      </c>
      <c r="D459" s="12" t="s">
        <v>1410</v>
      </c>
      <c r="E459" s="12" t="s">
        <v>4149</v>
      </c>
      <c r="F459" s="12" t="s">
        <v>4150</v>
      </c>
      <c r="G459" s="12" t="s">
        <v>3837</v>
      </c>
      <c r="H459" s="12" t="s">
        <v>3294</v>
      </c>
      <c r="I459" s="12" t="s">
        <v>1551</v>
      </c>
      <c r="J459" s="12" t="s">
        <v>1551</v>
      </c>
      <c r="K459" s="12" t="s">
        <v>2018</v>
      </c>
      <c r="L459" s="12" t="s">
        <v>1414</v>
      </c>
      <c r="M459" s="12" t="s">
        <v>1551</v>
      </c>
    </row>
    <row r="460" spans="1:13" ht="14.4" x14ac:dyDescent="0.3">
      <c r="A460" s="12" t="s">
        <v>31</v>
      </c>
      <c r="B460" s="12" t="s">
        <v>544</v>
      </c>
      <c r="C460" s="12" t="s">
        <v>846</v>
      </c>
      <c r="D460" s="12" t="s">
        <v>1410</v>
      </c>
      <c r="E460" s="12" t="s">
        <v>2750</v>
      </c>
      <c r="F460" s="12" t="s">
        <v>4007</v>
      </c>
      <c r="G460" s="12" t="s">
        <v>4008</v>
      </c>
      <c r="H460" s="12" t="s">
        <v>3223</v>
      </c>
      <c r="I460" s="12" t="s">
        <v>2018</v>
      </c>
      <c r="J460" s="12" t="s">
        <v>1551</v>
      </c>
      <c r="K460" s="12" t="s">
        <v>1506</v>
      </c>
      <c r="L460" s="12" t="s">
        <v>2018</v>
      </c>
      <c r="M460" s="12" t="s">
        <v>2018</v>
      </c>
    </row>
    <row r="461" spans="1:13" ht="14.4" x14ac:dyDescent="0.3">
      <c r="A461" s="12" t="s">
        <v>22</v>
      </c>
      <c r="B461" s="12" t="s">
        <v>848</v>
      </c>
      <c r="C461" s="12" t="s">
        <v>849</v>
      </c>
      <c r="D461" s="12" t="s">
        <v>1410</v>
      </c>
      <c r="E461" s="12" t="s">
        <v>4408</v>
      </c>
      <c r="F461" s="12" t="s">
        <v>3177</v>
      </c>
      <c r="G461" s="12" t="s">
        <v>4373</v>
      </c>
      <c r="H461" s="12" t="s">
        <v>3240</v>
      </c>
      <c r="I461" s="12" t="s">
        <v>1551</v>
      </c>
      <c r="J461" s="12" t="s">
        <v>1506</v>
      </c>
      <c r="K461" s="12" t="s">
        <v>1551</v>
      </c>
      <c r="L461" s="12" t="s">
        <v>2018</v>
      </c>
      <c r="M461" s="12" t="s">
        <v>2018</v>
      </c>
    </row>
    <row r="462" spans="1:13" ht="14.4" x14ac:dyDescent="0.3">
      <c r="A462" s="12" t="s">
        <v>28</v>
      </c>
      <c r="B462" s="12" t="s">
        <v>851</v>
      </c>
      <c r="C462" s="12" t="s">
        <v>850</v>
      </c>
      <c r="D462" s="12" t="s">
        <v>1410</v>
      </c>
      <c r="E462" s="12" t="s">
        <v>4198</v>
      </c>
      <c r="F462" s="12" t="s">
        <v>4199</v>
      </c>
      <c r="G462" s="12" t="s">
        <v>4200</v>
      </c>
      <c r="H462" s="12" t="s">
        <v>3439</v>
      </c>
      <c r="I462" s="12" t="s">
        <v>1551</v>
      </c>
      <c r="J462" s="12" t="s">
        <v>2018</v>
      </c>
      <c r="K462" s="12" t="s">
        <v>2018</v>
      </c>
      <c r="L462" s="12" t="s">
        <v>2018</v>
      </c>
      <c r="M462" s="12" t="s">
        <v>2018</v>
      </c>
    </row>
    <row r="463" spans="1:13" ht="14.4" x14ac:dyDescent="0.3">
      <c r="A463" s="12" t="s">
        <v>31</v>
      </c>
      <c r="B463" s="12" t="s">
        <v>853</v>
      </c>
      <c r="C463" s="12" t="s">
        <v>852</v>
      </c>
      <c r="D463" s="12" t="s">
        <v>1410</v>
      </c>
      <c r="E463" s="12" t="s">
        <v>4065</v>
      </c>
      <c r="F463" s="12" t="s">
        <v>4066</v>
      </c>
      <c r="G463" s="12" t="s">
        <v>4067</v>
      </c>
      <c r="H463" s="12" t="s">
        <v>3223</v>
      </c>
      <c r="I463" s="12" t="s">
        <v>1599</v>
      </c>
      <c r="J463" s="12" t="s">
        <v>2018</v>
      </c>
      <c r="K463" s="12" t="s">
        <v>1551</v>
      </c>
      <c r="L463" s="12" t="s">
        <v>2018</v>
      </c>
      <c r="M463" s="12" t="s">
        <v>1551</v>
      </c>
    </row>
    <row r="464" spans="1:13" ht="14.4" x14ac:dyDescent="0.3">
      <c r="A464" s="12" t="s">
        <v>31</v>
      </c>
      <c r="B464" s="12" t="s">
        <v>855</v>
      </c>
      <c r="C464" s="12" t="s">
        <v>854</v>
      </c>
      <c r="D464" s="12" t="s">
        <v>1410</v>
      </c>
      <c r="E464" s="12" t="s">
        <v>4412</v>
      </c>
      <c r="F464" s="12" t="s">
        <v>4413</v>
      </c>
      <c r="G464" s="12" t="s">
        <v>4414</v>
      </c>
      <c r="H464" s="12" t="s">
        <v>3234</v>
      </c>
      <c r="I464" s="12" t="s">
        <v>2018</v>
      </c>
      <c r="J464" s="12" t="s">
        <v>1551</v>
      </c>
      <c r="K464" s="12" t="s">
        <v>1599</v>
      </c>
      <c r="L464" s="12" t="s">
        <v>1551</v>
      </c>
      <c r="M464" s="12" t="s">
        <v>1599</v>
      </c>
    </row>
    <row r="465" spans="1:13" ht="14.4" x14ac:dyDescent="0.3">
      <c r="A465" s="12" t="s">
        <v>8</v>
      </c>
      <c r="B465" s="12" t="s">
        <v>855</v>
      </c>
      <c r="C465" s="12" t="s">
        <v>856</v>
      </c>
      <c r="D465" s="12" t="s">
        <v>1410</v>
      </c>
      <c r="E465" s="12" t="s">
        <v>3459</v>
      </c>
      <c r="F465" s="12" t="s">
        <v>3460</v>
      </c>
      <c r="G465" s="12" t="s">
        <v>3461</v>
      </c>
      <c r="H465" s="12" t="s">
        <v>3275</v>
      </c>
      <c r="I465" s="12" t="s">
        <v>3214</v>
      </c>
      <c r="J465" s="12" t="s">
        <v>1599</v>
      </c>
      <c r="K465" s="12" t="s">
        <v>1420</v>
      </c>
      <c r="L465" s="12" t="s">
        <v>3204</v>
      </c>
      <c r="M465" s="12" t="s">
        <v>2018</v>
      </c>
    </row>
    <row r="466" spans="1:13" ht="14.4" x14ac:dyDescent="0.3">
      <c r="A466" s="12" t="s">
        <v>8</v>
      </c>
      <c r="B466" s="12" t="s">
        <v>855</v>
      </c>
      <c r="C466" s="12" t="s">
        <v>857</v>
      </c>
      <c r="D466" s="12" t="s">
        <v>1410</v>
      </c>
      <c r="E466" s="12" t="s">
        <v>4343</v>
      </c>
      <c r="F466" s="12" t="s">
        <v>3131</v>
      </c>
      <c r="G466" s="12" t="s">
        <v>1720</v>
      </c>
      <c r="H466" s="12" t="s">
        <v>3269</v>
      </c>
      <c r="I466" s="12" t="s">
        <v>1420</v>
      </c>
      <c r="J466" s="12" t="s">
        <v>1599</v>
      </c>
      <c r="K466" s="12" t="s">
        <v>1551</v>
      </c>
      <c r="L466" s="12" t="s">
        <v>1551</v>
      </c>
      <c r="M466" s="12" t="s">
        <v>2062</v>
      </c>
    </row>
    <row r="467" spans="1:13" ht="14.4" x14ac:dyDescent="0.3">
      <c r="A467" s="12" t="s">
        <v>28</v>
      </c>
      <c r="B467" s="12" t="s">
        <v>859</v>
      </c>
      <c r="C467" s="12" t="s">
        <v>858</v>
      </c>
      <c r="D467" s="12" t="s">
        <v>1410</v>
      </c>
      <c r="E467" s="12" t="s">
        <v>4063</v>
      </c>
      <c r="F467" s="12" t="s">
        <v>2831</v>
      </c>
      <c r="G467" s="12" t="s">
        <v>4064</v>
      </c>
      <c r="H467" s="12" t="s">
        <v>3264</v>
      </c>
      <c r="I467" s="12" t="s">
        <v>1551</v>
      </c>
      <c r="J467" s="12" t="s">
        <v>1551</v>
      </c>
      <c r="K467" s="12" t="s">
        <v>2018</v>
      </c>
      <c r="L467" s="12" t="s">
        <v>2018</v>
      </c>
      <c r="M467" s="12" t="s">
        <v>2018</v>
      </c>
    </row>
    <row r="468" spans="1:13" ht="14.4" x14ac:dyDescent="0.3">
      <c r="A468" s="12" t="s">
        <v>133</v>
      </c>
      <c r="B468" s="12" t="s">
        <v>553</v>
      </c>
      <c r="C468" s="12" t="s">
        <v>860</v>
      </c>
      <c r="D468" s="12" t="s">
        <v>1410</v>
      </c>
      <c r="E468" s="12" t="s">
        <v>4231</v>
      </c>
      <c r="F468" s="12" t="s">
        <v>4232</v>
      </c>
      <c r="G468" s="12" t="s">
        <v>4233</v>
      </c>
      <c r="H468" s="12" t="s">
        <v>3223</v>
      </c>
      <c r="I468" s="12" t="s">
        <v>2018</v>
      </c>
      <c r="J468" s="12" t="s">
        <v>1551</v>
      </c>
      <c r="K468" s="12" t="s">
        <v>2018</v>
      </c>
      <c r="L468" s="12" t="s">
        <v>2018</v>
      </c>
      <c r="M468" s="12" t="s">
        <v>1506</v>
      </c>
    </row>
    <row r="469" spans="1:13" ht="14.4" x14ac:dyDescent="0.3">
      <c r="A469" s="12" t="s">
        <v>25</v>
      </c>
      <c r="B469" s="12" t="s">
        <v>5695</v>
      </c>
      <c r="C469" s="12" t="s">
        <v>5696</v>
      </c>
      <c r="D469" s="12" t="s">
        <v>1410</v>
      </c>
      <c r="E469" s="12" t="s">
        <v>6201</v>
      </c>
      <c r="F469" s="12" t="s">
        <v>6202</v>
      </c>
      <c r="G469" s="12" t="s">
        <v>3701</v>
      </c>
      <c r="H469" s="12" t="s">
        <v>3246</v>
      </c>
      <c r="I469" s="12" t="s">
        <v>1506</v>
      </c>
      <c r="J469" s="12" t="s">
        <v>3204</v>
      </c>
      <c r="K469" s="12" t="s">
        <v>2018</v>
      </c>
      <c r="L469" s="12" t="s">
        <v>2018</v>
      </c>
      <c r="M469" s="12" t="s">
        <v>2018</v>
      </c>
    </row>
    <row r="470" spans="1:13" ht="14.4" x14ac:dyDescent="0.3">
      <c r="A470" s="12" t="s">
        <v>585</v>
      </c>
      <c r="B470" s="12" t="s">
        <v>862</v>
      </c>
      <c r="C470" s="12" t="s">
        <v>861</v>
      </c>
      <c r="D470" s="12" t="s">
        <v>1410</v>
      </c>
      <c r="E470" s="12" t="s">
        <v>4088</v>
      </c>
      <c r="F470" s="12" t="s">
        <v>4089</v>
      </c>
      <c r="G470" s="12" t="s">
        <v>3268</v>
      </c>
      <c r="H470" s="12" t="s">
        <v>1414</v>
      </c>
      <c r="I470" s="12" t="s">
        <v>1414</v>
      </c>
      <c r="J470" s="12" t="s">
        <v>1414</v>
      </c>
      <c r="K470" s="12" t="s">
        <v>1414</v>
      </c>
      <c r="L470" s="12" t="s">
        <v>1414</v>
      </c>
      <c r="M470" s="12" t="s">
        <v>1414</v>
      </c>
    </row>
    <row r="471" spans="1:13" ht="14.4" x14ac:dyDescent="0.3">
      <c r="A471" s="12" t="s">
        <v>585</v>
      </c>
      <c r="B471" s="12" t="s">
        <v>862</v>
      </c>
      <c r="C471" s="12" t="s">
        <v>861</v>
      </c>
      <c r="D471" s="12" t="s">
        <v>1410</v>
      </c>
      <c r="E471" s="12" t="s">
        <v>2885</v>
      </c>
      <c r="F471" s="12" t="s">
        <v>4142</v>
      </c>
      <c r="G471" s="12" t="s">
        <v>3268</v>
      </c>
      <c r="H471" s="12" t="s">
        <v>1414</v>
      </c>
      <c r="I471" s="12" t="s">
        <v>1414</v>
      </c>
      <c r="J471" s="12" t="s">
        <v>1414</v>
      </c>
      <c r="K471" s="12" t="s">
        <v>1414</v>
      </c>
      <c r="L471" s="12" t="s">
        <v>1414</v>
      </c>
      <c r="M471" s="12" t="s">
        <v>1414</v>
      </c>
    </row>
    <row r="472" spans="1:13" ht="14.4" x14ac:dyDescent="0.3">
      <c r="A472" s="12" t="s">
        <v>585</v>
      </c>
      <c r="B472" s="12" t="s">
        <v>862</v>
      </c>
      <c r="C472" s="12" t="s">
        <v>861</v>
      </c>
      <c r="D472" s="12" t="s">
        <v>1410</v>
      </c>
      <c r="E472" s="12" t="s">
        <v>4178</v>
      </c>
      <c r="F472" s="12" t="s">
        <v>4179</v>
      </c>
      <c r="G472" s="12" t="s">
        <v>2820</v>
      </c>
      <c r="H472" s="12" t="s">
        <v>3234</v>
      </c>
      <c r="I472" s="12" t="s">
        <v>3204</v>
      </c>
      <c r="J472" s="12" t="s">
        <v>1551</v>
      </c>
      <c r="K472" s="12" t="s">
        <v>1551</v>
      </c>
      <c r="L472" s="12" t="s">
        <v>2018</v>
      </c>
      <c r="M472" s="12" t="s">
        <v>2018</v>
      </c>
    </row>
    <row r="473" spans="1:13" ht="14.4" x14ac:dyDescent="0.3">
      <c r="A473" s="12" t="s">
        <v>42</v>
      </c>
      <c r="B473" s="12" t="s">
        <v>864</v>
      </c>
      <c r="C473" s="12" t="s">
        <v>863</v>
      </c>
      <c r="D473" s="12" t="s">
        <v>1410</v>
      </c>
      <c r="E473" s="12" t="s">
        <v>4190</v>
      </c>
      <c r="F473" s="12" t="s">
        <v>2906</v>
      </c>
      <c r="G473" s="12" t="s">
        <v>1877</v>
      </c>
      <c r="H473" s="12" t="s">
        <v>3258</v>
      </c>
      <c r="I473" s="12" t="s">
        <v>1551</v>
      </c>
      <c r="J473" s="12" t="s">
        <v>1551</v>
      </c>
      <c r="K473" s="12" t="s">
        <v>2018</v>
      </c>
      <c r="L473" s="12" t="s">
        <v>2018</v>
      </c>
      <c r="M473" s="12" t="s">
        <v>1551</v>
      </c>
    </row>
    <row r="474" spans="1:13" ht="14.4" x14ac:dyDescent="0.3">
      <c r="A474" s="12" t="s">
        <v>8</v>
      </c>
      <c r="B474" s="12" t="s">
        <v>866</v>
      </c>
      <c r="C474" s="12" t="s">
        <v>865</v>
      </c>
      <c r="D474" s="12" t="s">
        <v>1410</v>
      </c>
      <c r="E474" s="12" t="s">
        <v>4394</v>
      </c>
      <c r="F474" s="12" t="s">
        <v>4418</v>
      </c>
      <c r="G474" s="12" t="s">
        <v>1945</v>
      </c>
      <c r="H474" s="12" t="s">
        <v>3258</v>
      </c>
      <c r="I474" s="12" t="s">
        <v>2018</v>
      </c>
      <c r="J474" s="12" t="s">
        <v>1551</v>
      </c>
      <c r="K474" s="12" t="s">
        <v>1599</v>
      </c>
      <c r="L474" s="12" t="s">
        <v>2018</v>
      </c>
      <c r="M474" s="12" t="s">
        <v>2018</v>
      </c>
    </row>
    <row r="475" spans="1:13" ht="14.4" x14ac:dyDescent="0.3">
      <c r="A475" s="12" t="s">
        <v>55</v>
      </c>
      <c r="B475" s="12" t="s">
        <v>868</v>
      </c>
      <c r="C475" s="12" t="s">
        <v>867</v>
      </c>
      <c r="D475" s="12" t="s">
        <v>1410</v>
      </c>
      <c r="E475" s="12" t="s">
        <v>4025</v>
      </c>
      <c r="F475" s="12" t="s">
        <v>4026</v>
      </c>
      <c r="G475" s="12" t="s">
        <v>4027</v>
      </c>
      <c r="H475" s="12" t="s">
        <v>2018</v>
      </c>
      <c r="I475" s="12" t="s">
        <v>1414</v>
      </c>
      <c r="J475" s="12" t="s">
        <v>1414</v>
      </c>
      <c r="K475" s="12" t="s">
        <v>1414</v>
      </c>
      <c r="L475" s="12" t="s">
        <v>1414</v>
      </c>
      <c r="M475" s="12" t="s">
        <v>2018</v>
      </c>
    </row>
    <row r="476" spans="1:13" ht="14.4" x14ac:dyDescent="0.3">
      <c r="A476" s="12" t="s">
        <v>55</v>
      </c>
      <c r="B476" s="12" t="s">
        <v>868</v>
      </c>
      <c r="C476" s="12" t="s">
        <v>867</v>
      </c>
      <c r="D476" s="12" t="s">
        <v>1410</v>
      </c>
      <c r="E476" s="12" t="s">
        <v>4030</v>
      </c>
      <c r="F476" s="12" t="s">
        <v>4031</v>
      </c>
      <c r="G476" s="12" t="s">
        <v>2715</v>
      </c>
      <c r="H476" s="12" t="s">
        <v>2018</v>
      </c>
      <c r="I476" s="12" t="s">
        <v>1414</v>
      </c>
      <c r="J476" s="12" t="s">
        <v>1414</v>
      </c>
      <c r="K476" s="12" t="s">
        <v>1414</v>
      </c>
      <c r="L476" s="12" t="s">
        <v>1414</v>
      </c>
      <c r="M476" s="12" t="s">
        <v>2018</v>
      </c>
    </row>
    <row r="477" spans="1:13" ht="14.4" x14ac:dyDescent="0.3">
      <c r="A477" s="12" t="s">
        <v>55</v>
      </c>
      <c r="B477" s="12" t="s">
        <v>868</v>
      </c>
      <c r="C477" s="12" t="s">
        <v>867</v>
      </c>
      <c r="D477" s="12" t="s">
        <v>1410</v>
      </c>
      <c r="E477" s="12" t="s">
        <v>4039</v>
      </c>
      <c r="F477" s="12" t="s">
        <v>4040</v>
      </c>
      <c r="G477" s="12" t="s">
        <v>3336</v>
      </c>
      <c r="H477" s="12" t="s">
        <v>3439</v>
      </c>
      <c r="I477" s="12" t="s">
        <v>2018</v>
      </c>
      <c r="J477" s="12" t="s">
        <v>1551</v>
      </c>
      <c r="K477" s="12" t="s">
        <v>2018</v>
      </c>
      <c r="L477" s="12" t="s">
        <v>2018</v>
      </c>
      <c r="M477" s="12" t="s">
        <v>2018</v>
      </c>
    </row>
    <row r="478" spans="1:13" ht="14.4" x14ac:dyDescent="0.3">
      <c r="A478" s="12" t="s">
        <v>8</v>
      </c>
      <c r="B478" s="12" t="s">
        <v>870</v>
      </c>
      <c r="C478" s="12" t="s">
        <v>869</v>
      </c>
      <c r="D478" s="12" t="s">
        <v>1410</v>
      </c>
      <c r="E478" s="12" t="s">
        <v>4099</v>
      </c>
      <c r="F478" s="12" t="s">
        <v>4100</v>
      </c>
      <c r="G478" s="12" t="s">
        <v>4101</v>
      </c>
      <c r="H478" s="12" t="s">
        <v>3294</v>
      </c>
      <c r="I478" s="12" t="s">
        <v>3214</v>
      </c>
      <c r="J478" s="12" t="s">
        <v>1551</v>
      </c>
      <c r="K478" s="12" t="s">
        <v>1599</v>
      </c>
      <c r="L478" s="12" t="s">
        <v>1551</v>
      </c>
      <c r="M478" s="12" t="s">
        <v>1599</v>
      </c>
    </row>
    <row r="479" spans="1:13" ht="14.4" x14ac:dyDescent="0.3">
      <c r="A479" s="12" t="s">
        <v>8</v>
      </c>
      <c r="B479" s="12" t="s">
        <v>339</v>
      </c>
      <c r="C479" s="12" t="s">
        <v>871</v>
      </c>
      <c r="D479" s="12" t="s">
        <v>1410</v>
      </c>
      <c r="E479" s="12" t="s">
        <v>4339</v>
      </c>
      <c r="F479" s="12" t="s">
        <v>4340</v>
      </c>
      <c r="G479" s="12" t="s">
        <v>4341</v>
      </c>
      <c r="H479" s="12" t="s">
        <v>3234</v>
      </c>
      <c r="I479" s="12" t="s">
        <v>1506</v>
      </c>
      <c r="J479" s="12" t="s">
        <v>2018</v>
      </c>
      <c r="K479" s="12" t="s">
        <v>1551</v>
      </c>
      <c r="L479" s="12" t="s">
        <v>1551</v>
      </c>
      <c r="M479" s="12" t="s">
        <v>1551</v>
      </c>
    </row>
    <row r="480" spans="1:13" ht="14.4" x14ac:dyDescent="0.3">
      <c r="A480" s="12" t="s">
        <v>133</v>
      </c>
      <c r="B480" s="12" t="s">
        <v>873</v>
      </c>
      <c r="C480" s="12" t="s">
        <v>872</v>
      </c>
      <c r="D480" s="12" t="s">
        <v>1410</v>
      </c>
      <c r="E480" s="12" t="s">
        <v>3949</v>
      </c>
      <c r="F480" s="12" t="s">
        <v>3950</v>
      </c>
      <c r="G480" s="12" t="s">
        <v>3951</v>
      </c>
      <c r="H480" s="12" t="s">
        <v>3210</v>
      </c>
      <c r="I480" s="12" t="s">
        <v>2018</v>
      </c>
      <c r="J480" s="12" t="s">
        <v>1599</v>
      </c>
      <c r="K480" s="12" t="s">
        <v>1551</v>
      </c>
      <c r="L480" s="12" t="s">
        <v>1506</v>
      </c>
      <c r="M480" s="12" t="s">
        <v>1599</v>
      </c>
    </row>
    <row r="481" spans="1:13" ht="14.4" x14ac:dyDescent="0.3">
      <c r="A481" s="12" t="s">
        <v>133</v>
      </c>
      <c r="B481" s="12" t="s">
        <v>873</v>
      </c>
      <c r="C481" s="12" t="s">
        <v>872</v>
      </c>
      <c r="D481" s="12" t="s">
        <v>1410</v>
      </c>
      <c r="E481" s="12" t="s">
        <v>3961</v>
      </c>
      <c r="F481" s="12" t="s">
        <v>3962</v>
      </c>
      <c r="G481" s="12" t="s">
        <v>2009</v>
      </c>
      <c r="H481" s="12" t="s">
        <v>3234</v>
      </c>
      <c r="I481" s="12" t="s">
        <v>1551</v>
      </c>
      <c r="J481" s="12" t="s">
        <v>1551</v>
      </c>
      <c r="K481" s="12" t="s">
        <v>1599</v>
      </c>
      <c r="L481" s="12" t="s">
        <v>1551</v>
      </c>
      <c r="M481" s="12" t="s">
        <v>1551</v>
      </c>
    </row>
    <row r="482" spans="1:13" ht="14.4" x14ac:dyDescent="0.3">
      <c r="A482" s="12" t="s">
        <v>133</v>
      </c>
      <c r="B482" s="12" t="s">
        <v>873</v>
      </c>
      <c r="C482" s="12" t="s">
        <v>872</v>
      </c>
      <c r="D482" s="12" t="s">
        <v>1410</v>
      </c>
      <c r="E482" s="12" t="s">
        <v>3953</v>
      </c>
      <c r="F482" s="12" t="s">
        <v>3971</v>
      </c>
      <c r="G482" s="12" t="s">
        <v>2155</v>
      </c>
      <c r="H482" s="12" t="s">
        <v>3439</v>
      </c>
      <c r="I482" s="12" t="s">
        <v>2018</v>
      </c>
      <c r="J482" s="12" t="s">
        <v>2018</v>
      </c>
      <c r="K482" s="12" t="s">
        <v>2018</v>
      </c>
      <c r="L482" s="12" t="s">
        <v>2018</v>
      </c>
      <c r="M482" s="12" t="s">
        <v>1551</v>
      </c>
    </row>
    <row r="483" spans="1:13" ht="14.4" x14ac:dyDescent="0.3">
      <c r="A483" s="12" t="s">
        <v>133</v>
      </c>
      <c r="B483" s="12" t="s">
        <v>873</v>
      </c>
      <c r="C483" s="12" t="s">
        <v>872</v>
      </c>
      <c r="D483" s="12" t="s">
        <v>1410</v>
      </c>
      <c r="E483" s="12" t="s">
        <v>3979</v>
      </c>
      <c r="F483" s="12" t="s">
        <v>2736</v>
      </c>
      <c r="G483" s="12" t="s">
        <v>3980</v>
      </c>
      <c r="H483" s="12" t="s">
        <v>3264</v>
      </c>
      <c r="I483" s="12" t="s">
        <v>2018</v>
      </c>
      <c r="J483" s="12" t="s">
        <v>1551</v>
      </c>
      <c r="K483" s="12" t="s">
        <v>2018</v>
      </c>
      <c r="L483" s="12" t="s">
        <v>1551</v>
      </c>
      <c r="M483" s="12" t="s">
        <v>2018</v>
      </c>
    </row>
    <row r="484" spans="1:13" ht="14.4" x14ac:dyDescent="0.3">
      <c r="A484" s="12" t="s">
        <v>133</v>
      </c>
      <c r="B484" s="12" t="s">
        <v>873</v>
      </c>
      <c r="C484" s="12" t="s">
        <v>872</v>
      </c>
      <c r="D484" s="12" t="s">
        <v>1410</v>
      </c>
      <c r="E484" s="12" t="s">
        <v>3989</v>
      </c>
      <c r="F484" s="12" t="s">
        <v>3990</v>
      </c>
      <c r="G484" s="12" t="s">
        <v>2873</v>
      </c>
      <c r="H484" s="12" t="s">
        <v>3464</v>
      </c>
      <c r="I484" s="12" t="s">
        <v>2018</v>
      </c>
      <c r="J484" s="12" t="s">
        <v>2018</v>
      </c>
      <c r="K484" s="12" t="s">
        <v>2018</v>
      </c>
      <c r="L484" s="12" t="s">
        <v>2018</v>
      </c>
      <c r="M484" s="12" t="s">
        <v>2018</v>
      </c>
    </row>
    <row r="485" spans="1:13" ht="14.4" x14ac:dyDescent="0.3">
      <c r="A485" s="12" t="s">
        <v>8</v>
      </c>
      <c r="B485" s="12" t="s">
        <v>875</v>
      </c>
      <c r="C485" s="12" t="s">
        <v>874</v>
      </c>
      <c r="D485" s="12" t="s">
        <v>1410</v>
      </c>
      <c r="E485" s="12" t="s">
        <v>3711</v>
      </c>
      <c r="F485" s="12" t="s">
        <v>3712</v>
      </c>
      <c r="G485" s="12" t="s">
        <v>3713</v>
      </c>
      <c r="H485" s="12" t="s">
        <v>3411</v>
      </c>
      <c r="I485" s="12" t="s">
        <v>3204</v>
      </c>
      <c r="J485" s="12" t="s">
        <v>1599</v>
      </c>
      <c r="K485" s="12" t="s">
        <v>1551</v>
      </c>
      <c r="L485" s="12" t="s">
        <v>1506</v>
      </c>
      <c r="M485" s="12" t="s">
        <v>1551</v>
      </c>
    </row>
    <row r="486" spans="1:13" ht="14.4" x14ac:dyDescent="0.3">
      <c r="A486" s="12" t="s">
        <v>8</v>
      </c>
      <c r="B486" s="12" t="s">
        <v>877</v>
      </c>
      <c r="C486" s="12" t="s">
        <v>876</v>
      </c>
      <c r="D486" s="12" t="s">
        <v>1410</v>
      </c>
      <c r="E486" s="12" t="s">
        <v>4115</v>
      </c>
      <c r="F486" s="12" t="s">
        <v>2874</v>
      </c>
      <c r="G486" s="12" t="s">
        <v>3799</v>
      </c>
      <c r="H486" s="12" t="s">
        <v>3234</v>
      </c>
      <c r="I486" s="12" t="s">
        <v>3204</v>
      </c>
      <c r="J486" s="12" t="s">
        <v>1551</v>
      </c>
      <c r="K486" s="12" t="s">
        <v>2018</v>
      </c>
      <c r="L486" s="12" t="s">
        <v>1551</v>
      </c>
      <c r="M486" s="12" t="s">
        <v>2018</v>
      </c>
    </row>
    <row r="487" spans="1:13" ht="14.4" x14ac:dyDescent="0.3">
      <c r="A487" s="12" t="s">
        <v>794</v>
      </c>
      <c r="B487" s="12" t="s">
        <v>879</v>
      </c>
      <c r="C487" s="12" t="s">
        <v>878</v>
      </c>
      <c r="D487" s="12" t="s">
        <v>1410</v>
      </c>
      <c r="E487" s="12" t="s">
        <v>3551</v>
      </c>
      <c r="F487" s="12" t="s">
        <v>3552</v>
      </c>
      <c r="G487" s="12" t="s">
        <v>3553</v>
      </c>
      <c r="H487" s="12" t="s">
        <v>3234</v>
      </c>
      <c r="I487" s="12" t="s">
        <v>1506</v>
      </c>
      <c r="J487" s="12" t="s">
        <v>1551</v>
      </c>
      <c r="K487" s="12" t="s">
        <v>1551</v>
      </c>
      <c r="L487" s="12" t="s">
        <v>1551</v>
      </c>
      <c r="M487" s="12" t="s">
        <v>2018</v>
      </c>
    </row>
    <row r="488" spans="1:13" ht="14.4" x14ac:dyDescent="0.3">
      <c r="A488" s="12" t="s">
        <v>123</v>
      </c>
      <c r="B488" s="12" t="s">
        <v>881</v>
      </c>
      <c r="C488" s="12" t="s">
        <v>880</v>
      </c>
      <c r="D488" s="12" t="s">
        <v>1410</v>
      </c>
      <c r="E488" s="12" t="s">
        <v>4367</v>
      </c>
      <c r="F488" s="12" t="s">
        <v>4368</v>
      </c>
      <c r="G488" s="12" t="s">
        <v>4369</v>
      </c>
      <c r="H488" s="12" t="s">
        <v>3218</v>
      </c>
      <c r="I488" s="12" t="s">
        <v>1749</v>
      </c>
      <c r="J488" s="12" t="s">
        <v>1551</v>
      </c>
      <c r="K488" s="12" t="s">
        <v>3204</v>
      </c>
      <c r="L488" s="12" t="s">
        <v>1551</v>
      </c>
      <c r="M488" s="12" t="s">
        <v>2018</v>
      </c>
    </row>
    <row r="489" spans="1:13" ht="14.4" x14ac:dyDescent="0.3">
      <c r="A489" s="12" t="s">
        <v>133</v>
      </c>
      <c r="B489" s="12" t="s">
        <v>883</v>
      </c>
      <c r="C489" s="12" t="s">
        <v>882</v>
      </c>
      <c r="D489" s="12" t="s">
        <v>1410</v>
      </c>
      <c r="E489" s="12" t="s">
        <v>6203</v>
      </c>
      <c r="F489" s="12" t="s">
        <v>6204</v>
      </c>
      <c r="G489" s="12" t="s">
        <v>6205</v>
      </c>
      <c r="H489" s="12" t="s">
        <v>3210</v>
      </c>
      <c r="I489" s="12" t="s">
        <v>1599</v>
      </c>
      <c r="J489" s="12" t="s">
        <v>1599</v>
      </c>
      <c r="K489" s="12" t="s">
        <v>1551</v>
      </c>
      <c r="L489" s="12" t="s">
        <v>1551</v>
      </c>
      <c r="M489" s="12" t="s">
        <v>1599</v>
      </c>
    </row>
    <row r="490" spans="1:13" ht="14.4" x14ac:dyDescent="0.3">
      <c r="A490" s="12" t="s">
        <v>8</v>
      </c>
      <c r="B490" s="12" t="s">
        <v>885</v>
      </c>
      <c r="C490" s="12" t="s">
        <v>884</v>
      </c>
      <c r="D490" s="12" t="s">
        <v>1410</v>
      </c>
      <c r="E490" s="12" t="s">
        <v>4048</v>
      </c>
      <c r="F490" s="12" t="s">
        <v>4049</v>
      </c>
      <c r="G490" s="12" t="s">
        <v>4050</v>
      </c>
      <c r="H490" s="12" t="s">
        <v>3218</v>
      </c>
      <c r="I490" s="12" t="s">
        <v>1506</v>
      </c>
      <c r="J490" s="12" t="s">
        <v>2062</v>
      </c>
      <c r="K490" s="12" t="s">
        <v>1599</v>
      </c>
      <c r="L490" s="12" t="s">
        <v>1551</v>
      </c>
      <c r="M490" s="12" t="s">
        <v>1551</v>
      </c>
    </row>
    <row r="491" spans="1:13" ht="14.4" x14ac:dyDescent="0.3">
      <c r="A491" s="12" t="s">
        <v>49</v>
      </c>
      <c r="B491" s="12" t="s">
        <v>887</v>
      </c>
      <c r="C491" s="12" t="s">
        <v>886</v>
      </c>
      <c r="D491" s="12" t="s">
        <v>1410</v>
      </c>
      <c r="E491" s="12" t="s">
        <v>4228</v>
      </c>
      <c r="F491" s="12" t="s">
        <v>4229</v>
      </c>
      <c r="G491" s="12" t="s">
        <v>4230</v>
      </c>
      <c r="H491" s="12" t="s">
        <v>3210</v>
      </c>
      <c r="I491" s="12" t="s">
        <v>1599</v>
      </c>
      <c r="J491" s="12" t="s">
        <v>3204</v>
      </c>
      <c r="K491" s="12" t="s">
        <v>2018</v>
      </c>
      <c r="L491" s="12" t="s">
        <v>2018</v>
      </c>
      <c r="M491" s="12" t="s">
        <v>1599</v>
      </c>
    </row>
    <row r="492" spans="1:13" ht="14.4" x14ac:dyDescent="0.3">
      <c r="A492" s="12" t="s">
        <v>31</v>
      </c>
      <c r="B492" s="12" t="s">
        <v>119</v>
      </c>
      <c r="C492" s="12" t="s">
        <v>888</v>
      </c>
      <c r="D492" s="12" t="s">
        <v>1410</v>
      </c>
      <c r="E492" s="12" t="s">
        <v>4104</v>
      </c>
      <c r="F492" s="12" t="s">
        <v>4103</v>
      </c>
      <c r="G492" s="12" t="s">
        <v>3268</v>
      </c>
      <c r="H492" s="12" t="s">
        <v>1464</v>
      </c>
      <c r="I492" s="12" t="s">
        <v>1414</v>
      </c>
      <c r="J492" s="12" t="s">
        <v>1506</v>
      </c>
      <c r="K492" s="12" t="s">
        <v>1551</v>
      </c>
      <c r="L492" s="12" t="s">
        <v>1551</v>
      </c>
      <c r="M492" s="12" t="s">
        <v>1414</v>
      </c>
    </row>
    <row r="493" spans="1:13" ht="14.4" x14ac:dyDescent="0.3">
      <c r="A493" s="12" t="s">
        <v>8</v>
      </c>
      <c r="B493" s="12" t="s">
        <v>890</v>
      </c>
      <c r="C493" s="12" t="s">
        <v>889</v>
      </c>
      <c r="D493" s="12" t="s">
        <v>1410</v>
      </c>
      <c r="E493" s="12" t="s">
        <v>4362</v>
      </c>
      <c r="F493" s="12" t="s">
        <v>4363</v>
      </c>
      <c r="G493" s="12" t="s">
        <v>4364</v>
      </c>
      <c r="H493" s="12" t="s">
        <v>3210</v>
      </c>
      <c r="I493" s="12" t="s">
        <v>1599</v>
      </c>
      <c r="J493" s="12" t="s">
        <v>1506</v>
      </c>
      <c r="K493" s="12" t="s">
        <v>1506</v>
      </c>
      <c r="L493" s="12" t="s">
        <v>2018</v>
      </c>
      <c r="M493" s="12" t="s">
        <v>2018</v>
      </c>
    </row>
    <row r="494" spans="1:13" ht="14.4" x14ac:dyDescent="0.3">
      <c r="A494" s="12" t="s">
        <v>893</v>
      </c>
      <c r="B494" s="12" t="s">
        <v>892</v>
      </c>
      <c r="C494" s="12" t="s">
        <v>891</v>
      </c>
      <c r="D494" s="12" t="s">
        <v>1410</v>
      </c>
      <c r="E494" s="12" t="s">
        <v>4223</v>
      </c>
      <c r="F494" s="12" t="s">
        <v>4224</v>
      </c>
      <c r="G494" s="12" t="s">
        <v>3268</v>
      </c>
      <c r="H494" s="12" t="s">
        <v>1606</v>
      </c>
      <c r="I494" s="12" t="s">
        <v>1599</v>
      </c>
      <c r="J494" s="12" t="s">
        <v>1551</v>
      </c>
      <c r="K494" s="12" t="s">
        <v>1414</v>
      </c>
      <c r="L494" s="12" t="s">
        <v>1414</v>
      </c>
      <c r="M494" s="12" t="s">
        <v>1414</v>
      </c>
    </row>
    <row r="495" spans="1:13" ht="14.4" x14ac:dyDescent="0.3">
      <c r="A495" s="12" t="s">
        <v>893</v>
      </c>
      <c r="B495" s="12" t="s">
        <v>892</v>
      </c>
      <c r="C495" s="12" t="s">
        <v>891</v>
      </c>
      <c r="D495" s="12" t="s">
        <v>1410</v>
      </c>
      <c r="E495" s="12" t="s">
        <v>3115</v>
      </c>
      <c r="F495" s="12" t="s">
        <v>3128</v>
      </c>
      <c r="G495" s="12" t="s">
        <v>3879</v>
      </c>
      <c r="H495" s="12" t="s">
        <v>3385</v>
      </c>
      <c r="I495" s="12" t="s">
        <v>2062</v>
      </c>
      <c r="J495" s="12" t="s">
        <v>1551</v>
      </c>
      <c r="K495" s="12" t="s">
        <v>2062</v>
      </c>
      <c r="L495" s="12" t="s">
        <v>2062</v>
      </c>
      <c r="M495" s="12" t="s">
        <v>1551</v>
      </c>
    </row>
    <row r="496" spans="1:13" ht="14.4" x14ac:dyDescent="0.3">
      <c r="A496" s="12" t="s">
        <v>8</v>
      </c>
      <c r="B496" s="12" t="s">
        <v>897</v>
      </c>
      <c r="C496" s="12" t="s">
        <v>896</v>
      </c>
      <c r="D496" s="12" t="s">
        <v>1410</v>
      </c>
      <c r="E496" s="12" t="s">
        <v>6206</v>
      </c>
      <c r="F496" s="12" t="s">
        <v>6207</v>
      </c>
      <c r="G496" s="12" t="s">
        <v>3268</v>
      </c>
      <c r="H496" s="12" t="s">
        <v>1488</v>
      </c>
      <c r="I496" s="12" t="s">
        <v>1506</v>
      </c>
      <c r="J496" s="12" t="s">
        <v>1599</v>
      </c>
      <c r="K496" s="12" t="s">
        <v>1414</v>
      </c>
      <c r="L496" s="12" t="s">
        <v>3204</v>
      </c>
      <c r="M496" s="12" t="s">
        <v>1414</v>
      </c>
    </row>
    <row r="497" spans="1:13" ht="14.4" x14ac:dyDescent="0.3">
      <c r="A497" s="12" t="s">
        <v>228</v>
      </c>
      <c r="B497" s="12" t="s">
        <v>899</v>
      </c>
      <c r="C497" s="12" t="s">
        <v>898</v>
      </c>
      <c r="D497" s="12" t="s">
        <v>1410</v>
      </c>
      <c r="E497" s="12" t="s">
        <v>4003</v>
      </c>
      <c r="F497" s="12" t="s">
        <v>4004</v>
      </c>
      <c r="G497" s="12" t="s">
        <v>3598</v>
      </c>
      <c r="H497" s="12" t="s">
        <v>3246</v>
      </c>
      <c r="I497" s="12" t="s">
        <v>1599</v>
      </c>
      <c r="J497" s="12" t="s">
        <v>2018</v>
      </c>
      <c r="K497" s="12" t="s">
        <v>1551</v>
      </c>
      <c r="L497" s="12" t="s">
        <v>1506</v>
      </c>
      <c r="M497" s="12" t="s">
        <v>1551</v>
      </c>
    </row>
    <row r="498" spans="1:13" ht="14.4" x14ac:dyDescent="0.3">
      <c r="A498" s="12" t="s">
        <v>8</v>
      </c>
      <c r="B498" s="12" t="s">
        <v>901</v>
      </c>
      <c r="C498" s="12" t="s">
        <v>900</v>
      </c>
      <c r="D498" s="12" t="s">
        <v>1410</v>
      </c>
      <c r="E498" s="12" t="s">
        <v>4156</v>
      </c>
      <c r="F498" s="12" t="s">
        <v>4159</v>
      </c>
      <c r="G498" s="12" t="s">
        <v>4160</v>
      </c>
      <c r="H498" s="12" t="s">
        <v>3269</v>
      </c>
      <c r="I498" s="12" t="s">
        <v>1420</v>
      </c>
      <c r="J498" s="12" t="s">
        <v>1599</v>
      </c>
      <c r="K498" s="12" t="s">
        <v>1599</v>
      </c>
      <c r="L498" s="12" t="s">
        <v>3204</v>
      </c>
      <c r="M498" s="12" t="s">
        <v>1551</v>
      </c>
    </row>
    <row r="499" spans="1:13" ht="14.4" x14ac:dyDescent="0.3">
      <c r="A499" s="12" t="s">
        <v>71</v>
      </c>
      <c r="B499" s="12" t="s">
        <v>903</v>
      </c>
      <c r="C499" s="12" t="s">
        <v>902</v>
      </c>
      <c r="D499" s="12" t="s">
        <v>1410</v>
      </c>
      <c r="E499" s="12" t="s">
        <v>4001</v>
      </c>
      <c r="F499" s="12" t="s">
        <v>4002</v>
      </c>
      <c r="G499" s="12" t="s">
        <v>2360</v>
      </c>
      <c r="H499" s="12" t="s">
        <v>1448</v>
      </c>
      <c r="I499" s="12" t="s">
        <v>1414</v>
      </c>
      <c r="J499" s="12" t="s">
        <v>1414</v>
      </c>
      <c r="K499" s="12" t="s">
        <v>2018</v>
      </c>
      <c r="L499" s="12" t="s">
        <v>1414</v>
      </c>
      <c r="M499" s="12" t="s">
        <v>2018</v>
      </c>
    </row>
    <row r="500" spans="1:13" ht="14.4" x14ac:dyDescent="0.3">
      <c r="A500" s="12" t="s">
        <v>71</v>
      </c>
      <c r="B500" s="12" t="s">
        <v>903</v>
      </c>
      <c r="C500" s="12" t="s">
        <v>902</v>
      </c>
      <c r="D500" s="12" t="s">
        <v>1410</v>
      </c>
      <c r="E500" s="12" t="s">
        <v>3999</v>
      </c>
      <c r="F500" s="12" t="s">
        <v>4009</v>
      </c>
      <c r="G500" s="12" t="s">
        <v>4010</v>
      </c>
      <c r="H500" s="12" t="s">
        <v>3439</v>
      </c>
      <c r="I500" s="12" t="s">
        <v>2018</v>
      </c>
      <c r="J500" s="12" t="s">
        <v>1551</v>
      </c>
      <c r="K500" s="12" t="s">
        <v>2018</v>
      </c>
      <c r="L500" s="12" t="s">
        <v>2018</v>
      </c>
      <c r="M500" s="12" t="s">
        <v>2018</v>
      </c>
    </row>
    <row r="501" spans="1:13" ht="14.4" x14ac:dyDescent="0.3">
      <c r="A501" s="12" t="s">
        <v>49</v>
      </c>
      <c r="B501" s="12" t="s">
        <v>905</v>
      </c>
      <c r="C501" s="12" t="s">
        <v>904</v>
      </c>
      <c r="D501" s="12" t="s">
        <v>1410</v>
      </c>
      <c r="E501" s="12" t="s">
        <v>4032</v>
      </c>
      <c r="F501" s="12" t="s">
        <v>4033</v>
      </c>
      <c r="G501" s="12" t="s">
        <v>3268</v>
      </c>
      <c r="H501" s="12" t="s">
        <v>3340</v>
      </c>
      <c r="I501" s="12" t="s">
        <v>1506</v>
      </c>
      <c r="J501" s="12" t="s">
        <v>1414</v>
      </c>
      <c r="K501" s="12" t="s">
        <v>2018</v>
      </c>
      <c r="L501" s="12" t="s">
        <v>1414</v>
      </c>
      <c r="M501" s="12" t="s">
        <v>2018</v>
      </c>
    </row>
    <row r="502" spans="1:13" ht="14.4" x14ac:dyDescent="0.3">
      <c r="A502" s="12" t="s">
        <v>31</v>
      </c>
      <c r="B502" s="12" t="s">
        <v>907</v>
      </c>
      <c r="C502" s="12" t="s">
        <v>906</v>
      </c>
      <c r="D502" s="12" t="s">
        <v>1410</v>
      </c>
      <c r="E502" s="12" t="s">
        <v>3175</v>
      </c>
      <c r="F502" s="12" t="s">
        <v>4392</v>
      </c>
      <c r="G502" s="12" t="s">
        <v>2825</v>
      </c>
      <c r="H502" s="12" t="s">
        <v>3258</v>
      </c>
      <c r="I502" s="12" t="s">
        <v>1551</v>
      </c>
      <c r="J502" s="12" t="s">
        <v>2018</v>
      </c>
      <c r="K502" s="12" t="s">
        <v>1599</v>
      </c>
      <c r="L502" s="12" t="s">
        <v>2018</v>
      </c>
      <c r="M502" s="12" t="s">
        <v>2018</v>
      </c>
    </row>
    <row r="503" spans="1:13" ht="14.4" x14ac:dyDescent="0.3">
      <c r="A503" s="12" t="s">
        <v>8</v>
      </c>
      <c r="B503" s="12" t="s">
        <v>909</v>
      </c>
      <c r="C503" s="12" t="s">
        <v>908</v>
      </c>
      <c r="D503" s="12" t="s">
        <v>1410</v>
      </c>
      <c r="E503" s="12" t="s">
        <v>4149</v>
      </c>
      <c r="F503" s="12" t="s">
        <v>2892</v>
      </c>
      <c r="G503" s="12" t="s">
        <v>4151</v>
      </c>
      <c r="H503" s="12" t="s">
        <v>3411</v>
      </c>
      <c r="I503" s="12" t="s">
        <v>1599</v>
      </c>
      <c r="J503" s="12" t="s">
        <v>1749</v>
      </c>
      <c r="K503" s="12" t="s">
        <v>1599</v>
      </c>
      <c r="L503" s="12" t="s">
        <v>1551</v>
      </c>
      <c r="M503" s="12" t="s">
        <v>2018</v>
      </c>
    </row>
    <row r="504" spans="1:13" ht="14.4" x14ac:dyDescent="0.3">
      <c r="A504" s="12" t="s">
        <v>31</v>
      </c>
      <c r="B504" s="12" t="s">
        <v>911</v>
      </c>
      <c r="C504" s="12" t="s">
        <v>910</v>
      </c>
      <c r="D504" s="12" t="s">
        <v>1410</v>
      </c>
      <c r="E504" s="12" t="s">
        <v>4202</v>
      </c>
      <c r="F504" s="12" t="s">
        <v>4203</v>
      </c>
      <c r="G504" s="12" t="s">
        <v>4204</v>
      </c>
      <c r="H504" s="12" t="s">
        <v>3246</v>
      </c>
      <c r="I504" s="12" t="s">
        <v>1551</v>
      </c>
      <c r="J504" s="12" t="s">
        <v>1506</v>
      </c>
      <c r="K504" s="12" t="s">
        <v>1599</v>
      </c>
      <c r="L504" s="12" t="s">
        <v>1551</v>
      </c>
      <c r="M504" s="12" t="s">
        <v>2018</v>
      </c>
    </row>
    <row r="505" spans="1:13" ht="14.4" x14ac:dyDescent="0.3">
      <c r="A505" s="12" t="s">
        <v>31</v>
      </c>
      <c r="B505" s="12" t="s">
        <v>911</v>
      </c>
      <c r="C505" s="12" t="s">
        <v>912</v>
      </c>
      <c r="D505" s="12" t="s">
        <v>1410</v>
      </c>
      <c r="E505" s="12" t="s">
        <v>4426</v>
      </c>
      <c r="F505" s="12" t="s">
        <v>4427</v>
      </c>
      <c r="G505" s="12" t="s">
        <v>4428</v>
      </c>
      <c r="H505" s="12" t="s">
        <v>3264</v>
      </c>
      <c r="I505" s="12" t="s">
        <v>2018</v>
      </c>
      <c r="J505" s="12" t="s">
        <v>2018</v>
      </c>
      <c r="K505" s="12" t="s">
        <v>2018</v>
      </c>
      <c r="L505" s="12" t="s">
        <v>2018</v>
      </c>
      <c r="M505" s="12" t="s">
        <v>1599</v>
      </c>
    </row>
    <row r="506" spans="1:13" ht="14.4" x14ac:dyDescent="0.3">
      <c r="A506" s="12" t="s">
        <v>11</v>
      </c>
      <c r="B506" s="12" t="s">
        <v>914</v>
      </c>
      <c r="C506" s="12" t="s">
        <v>913</v>
      </c>
      <c r="D506" s="12" t="s">
        <v>1410</v>
      </c>
      <c r="E506" s="12" t="s">
        <v>4305</v>
      </c>
      <c r="F506" s="12" t="s">
        <v>4306</v>
      </c>
      <c r="G506" s="12" t="s">
        <v>4307</v>
      </c>
      <c r="H506" s="12" t="s">
        <v>3234</v>
      </c>
      <c r="I506" s="12" t="s">
        <v>1551</v>
      </c>
      <c r="J506" s="12" t="s">
        <v>3204</v>
      </c>
      <c r="K506" s="12" t="s">
        <v>1551</v>
      </c>
      <c r="L506" s="12" t="s">
        <v>2018</v>
      </c>
      <c r="M506" s="12" t="s">
        <v>2018</v>
      </c>
    </row>
    <row r="507" spans="1:13" ht="14.4" x14ac:dyDescent="0.3">
      <c r="A507" s="12" t="s">
        <v>133</v>
      </c>
      <c r="B507" s="12" t="s">
        <v>916</v>
      </c>
      <c r="C507" s="12" t="s">
        <v>915</v>
      </c>
      <c r="D507" s="12" t="s">
        <v>1410</v>
      </c>
      <c r="E507" s="12" t="s">
        <v>4090</v>
      </c>
      <c r="F507" s="12" t="s">
        <v>4089</v>
      </c>
      <c r="G507" s="12" t="s">
        <v>4091</v>
      </c>
      <c r="H507" s="12" t="s">
        <v>3322</v>
      </c>
      <c r="I507" s="12" t="s">
        <v>1599</v>
      </c>
      <c r="J507" s="12" t="s">
        <v>2018</v>
      </c>
      <c r="K507" s="12" t="s">
        <v>2018</v>
      </c>
      <c r="L507" s="12" t="s">
        <v>3214</v>
      </c>
      <c r="M507" s="12" t="s">
        <v>1414</v>
      </c>
    </row>
    <row r="508" spans="1:13" ht="14.4" x14ac:dyDescent="0.3">
      <c r="A508" s="12" t="s">
        <v>919</v>
      </c>
      <c r="B508" s="12" t="s">
        <v>918</v>
      </c>
      <c r="C508" s="12" t="s">
        <v>917</v>
      </c>
      <c r="D508" s="12" t="s">
        <v>1410</v>
      </c>
      <c r="E508" s="12" t="s">
        <v>3089</v>
      </c>
      <c r="F508" s="12" t="s">
        <v>4312</v>
      </c>
      <c r="G508" s="12" t="s">
        <v>3268</v>
      </c>
      <c r="H508" s="12" t="s">
        <v>1414</v>
      </c>
      <c r="I508" s="12" t="s">
        <v>1414</v>
      </c>
      <c r="J508" s="12" t="s">
        <v>1414</v>
      </c>
      <c r="K508" s="12" t="s">
        <v>1414</v>
      </c>
      <c r="L508" s="12" t="s">
        <v>1414</v>
      </c>
      <c r="M508" s="12" t="s">
        <v>1414</v>
      </c>
    </row>
    <row r="509" spans="1:13" ht="14.4" x14ac:dyDescent="0.3">
      <c r="A509" s="12" t="s">
        <v>919</v>
      </c>
      <c r="B509" s="12" t="s">
        <v>918</v>
      </c>
      <c r="C509" s="12" t="s">
        <v>917</v>
      </c>
      <c r="D509" s="12" t="s">
        <v>1410</v>
      </c>
      <c r="E509" s="12" t="s">
        <v>3174</v>
      </c>
      <c r="F509" s="12" t="s">
        <v>4385</v>
      </c>
      <c r="G509" s="12" t="s">
        <v>4386</v>
      </c>
      <c r="H509" s="12" t="s">
        <v>3411</v>
      </c>
      <c r="I509" s="12" t="s">
        <v>2062</v>
      </c>
      <c r="J509" s="12" t="s">
        <v>1599</v>
      </c>
      <c r="K509" s="12" t="s">
        <v>1551</v>
      </c>
      <c r="L509" s="12" t="s">
        <v>1599</v>
      </c>
      <c r="M509" s="12" t="s">
        <v>1551</v>
      </c>
    </row>
    <row r="510" spans="1:13" ht="14.4" x14ac:dyDescent="0.3">
      <c r="A510" s="12" t="s">
        <v>16</v>
      </c>
      <c r="B510" s="12" t="s">
        <v>921</v>
      </c>
      <c r="C510" s="12" t="s">
        <v>920</v>
      </c>
      <c r="D510" s="12" t="s">
        <v>1410</v>
      </c>
      <c r="E510" s="12" t="s">
        <v>3906</v>
      </c>
      <c r="F510" s="12" t="s">
        <v>3909</v>
      </c>
      <c r="G510" s="12" t="s">
        <v>3447</v>
      </c>
      <c r="H510" s="12" t="s">
        <v>3300</v>
      </c>
      <c r="I510" s="12" t="s">
        <v>1551</v>
      </c>
      <c r="J510" s="12" t="s">
        <v>1599</v>
      </c>
      <c r="K510" s="12" t="s">
        <v>3204</v>
      </c>
      <c r="L510" s="12" t="s">
        <v>2018</v>
      </c>
      <c r="M510" s="12" t="s">
        <v>1506</v>
      </c>
    </row>
    <row r="511" spans="1:13" ht="14.4" x14ac:dyDescent="0.3">
      <c r="A511" s="12" t="s">
        <v>293</v>
      </c>
      <c r="B511" s="12" t="s">
        <v>923</v>
      </c>
      <c r="C511" s="12" t="s">
        <v>922</v>
      </c>
      <c r="D511" s="12" t="s">
        <v>1410</v>
      </c>
      <c r="E511" s="12" t="s">
        <v>3960</v>
      </c>
      <c r="F511" s="12" t="s">
        <v>2707</v>
      </c>
      <c r="G511" s="12" t="s">
        <v>3604</v>
      </c>
      <c r="H511" s="12" t="s">
        <v>1414</v>
      </c>
      <c r="I511" s="12" t="s">
        <v>1414</v>
      </c>
      <c r="J511" s="12" t="s">
        <v>1414</v>
      </c>
      <c r="K511" s="12" t="s">
        <v>1414</v>
      </c>
      <c r="L511" s="12" t="s">
        <v>1414</v>
      </c>
      <c r="M511" s="12" t="s">
        <v>1414</v>
      </c>
    </row>
    <row r="512" spans="1:13" ht="14.4" x14ac:dyDescent="0.3">
      <c r="A512" s="12" t="s">
        <v>926</v>
      </c>
      <c r="B512" s="12" t="s">
        <v>925</v>
      </c>
      <c r="C512" s="12" t="s">
        <v>924</v>
      </c>
      <c r="D512" s="12" t="s">
        <v>1410</v>
      </c>
      <c r="E512" s="12" t="s">
        <v>4116</v>
      </c>
      <c r="F512" s="12" t="s">
        <v>4117</v>
      </c>
      <c r="G512" s="12" t="s">
        <v>4118</v>
      </c>
      <c r="H512" s="12" t="s">
        <v>3203</v>
      </c>
      <c r="I512" s="12" t="s">
        <v>2018</v>
      </c>
      <c r="J512" s="12" t="s">
        <v>2018</v>
      </c>
      <c r="K512" s="12" t="s">
        <v>1420</v>
      </c>
      <c r="L512" s="12" t="s">
        <v>2018</v>
      </c>
      <c r="M512" s="12" t="s">
        <v>2018</v>
      </c>
    </row>
    <row r="513" spans="1:13" ht="14.4" x14ac:dyDescent="0.3">
      <c r="A513" s="12" t="s">
        <v>8</v>
      </c>
      <c r="B513" s="12" t="s">
        <v>930</v>
      </c>
      <c r="C513" s="12" t="s">
        <v>929</v>
      </c>
      <c r="D513" s="12" t="s">
        <v>1410</v>
      </c>
      <c r="E513" s="12" t="s">
        <v>6208</v>
      </c>
      <c r="F513" s="12" t="s">
        <v>6209</v>
      </c>
      <c r="G513" s="12" t="s">
        <v>4022</v>
      </c>
      <c r="H513" s="12" t="s">
        <v>1414</v>
      </c>
      <c r="I513" s="12" t="s">
        <v>1414</v>
      </c>
      <c r="J513" s="12" t="s">
        <v>1414</v>
      </c>
      <c r="K513" s="12" t="s">
        <v>1414</v>
      </c>
      <c r="L513" s="12" t="s">
        <v>1414</v>
      </c>
      <c r="M513" s="12" t="s">
        <v>1414</v>
      </c>
    </row>
    <row r="514" spans="1:13" ht="14.4" x14ac:dyDescent="0.3">
      <c r="A514" s="12" t="s">
        <v>25</v>
      </c>
      <c r="B514" s="12" t="s">
        <v>932</v>
      </c>
      <c r="C514" s="12" t="s">
        <v>931</v>
      </c>
      <c r="D514" s="12" t="s">
        <v>1410</v>
      </c>
      <c r="E514" s="12" t="s">
        <v>4071</v>
      </c>
      <c r="F514" s="12" t="s">
        <v>4072</v>
      </c>
      <c r="G514" s="12" t="s">
        <v>4073</v>
      </c>
      <c r="H514" s="12" t="s">
        <v>3213</v>
      </c>
      <c r="I514" s="12" t="s">
        <v>2435</v>
      </c>
      <c r="J514" s="12" t="s">
        <v>1599</v>
      </c>
      <c r="K514" s="12" t="s">
        <v>2018</v>
      </c>
      <c r="L514" s="12" t="s">
        <v>1506</v>
      </c>
      <c r="M514" s="12" t="s">
        <v>1551</v>
      </c>
    </row>
    <row r="515" spans="1:13" ht="14.4" x14ac:dyDescent="0.3">
      <c r="A515" s="12" t="s">
        <v>123</v>
      </c>
      <c r="B515" s="12" t="s">
        <v>934</v>
      </c>
      <c r="C515" s="12" t="s">
        <v>933</v>
      </c>
      <c r="D515" s="12" t="s">
        <v>1410</v>
      </c>
      <c r="E515" s="12" t="s">
        <v>4356</v>
      </c>
      <c r="F515" s="12" t="s">
        <v>4357</v>
      </c>
      <c r="G515" s="12" t="s">
        <v>4358</v>
      </c>
      <c r="H515" s="12" t="s">
        <v>3294</v>
      </c>
      <c r="I515" s="12" t="s">
        <v>1506</v>
      </c>
      <c r="J515" s="12" t="s">
        <v>1506</v>
      </c>
      <c r="K515" s="12" t="s">
        <v>3204</v>
      </c>
      <c r="L515" s="12" t="s">
        <v>1599</v>
      </c>
      <c r="M515" s="12" t="s">
        <v>1551</v>
      </c>
    </row>
    <row r="516" spans="1:13" ht="14.4" x14ac:dyDescent="0.3">
      <c r="A516" s="12" t="s">
        <v>123</v>
      </c>
      <c r="B516" s="12" t="s">
        <v>934</v>
      </c>
      <c r="C516" s="12" t="s">
        <v>935</v>
      </c>
      <c r="D516" s="12" t="s">
        <v>1410</v>
      </c>
      <c r="E516" s="12" t="s">
        <v>4419</v>
      </c>
      <c r="F516" s="12" t="s">
        <v>4420</v>
      </c>
      <c r="G516" s="12" t="s">
        <v>4421</v>
      </c>
      <c r="H516" s="12" t="s">
        <v>3294</v>
      </c>
      <c r="I516" s="12" t="s">
        <v>2018</v>
      </c>
      <c r="J516" s="12" t="s">
        <v>2018</v>
      </c>
      <c r="K516" s="12" t="s">
        <v>1414</v>
      </c>
      <c r="L516" s="12" t="s">
        <v>1599</v>
      </c>
      <c r="M516" s="12" t="s">
        <v>1551</v>
      </c>
    </row>
    <row r="517" spans="1:13" ht="14.4" x14ac:dyDescent="0.3">
      <c r="A517" s="12" t="s">
        <v>350</v>
      </c>
      <c r="B517" s="12" t="s">
        <v>934</v>
      </c>
      <c r="C517" s="12" t="s">
        <v>936</v>
      </c>
      <c r="D517" s="12" t="s">
        <v>1410</v>
      </c>
      <c r="E517" s="12" t="s">
        <v>4399</v>
      </c>
      <c r="F517" s="12" t="s">
        <v>4400</v>
      </c>
      <c r="G517" s="12" t="s">
        <v>4401</v>
      </c>
      <c r="H517" s="12" t="s">
        <v>3246</v>
      </c>
      <c r="I517" s="12" t="s">
        <v>1599</v>
      </c>
      <c r="J517" s="12" t="s">
        <v>1599</v>
      </c>
      <c r="K517" s="12" t="s">
        <v>1599</v>
      </c>
      <c r="L517" s="12" t="s">
        <v>2018</v>
      </c>
      <c r="M517" s="12" t="s">
        <v>1551</v>
      </c>
    </row>
    <row r="518" spans="1:13" ht="14.4" x14ac:dyDescent="0.3">
      <c r="A518" s="12" t="s">
        <v>939</v>
      </c>
      <c r="B518" s="12" t="s">
        <v>938</v>
      </c>
      <c r="C518" s="12" t="s">
        <v>937</v>
      </c>
      <c r="D518" s="12" t="s">
        <v>1410</v>
      </c>
      <c r="E518" s="12" t="s">
        <v>4261</v>
      </c>
      <c r="F518" s="12" t="s">
        <v>4262</v>
      </c>
      <c r="G518" s="12" t="s">
        <v>4263</v>
      </c>
      <c r="H518" s="12" t="s">
        <v>3464</v>
      </c>
      <c r="I518" s="12" t="s">
        <v>2018</v>
      </c>
      <c r="J518" s="12" t="s">
        <v>2018</v>
      </c>
      <c r="K518" s="12" t="s">
        <v>2018</v>
      </c>
      <c r="L518" s="12" t="s">
        <v>2018</v>
      </c>
      <c r="M518" s="12" t="s">
        <v>2018</v>
      </c>
    </row>
    <row r="519" spans="1:13" ht="14.4" x14ac:dyDescent="0.3">
      <c r="A519" s="12" t="s">
        <v>28</v>
      </c>
      <c r="B519" s="12" t="s">
        <v>941</v>
      </c>
      <c r="C519" s="12" t="s">
        <v>940</v>
      </c>
      <c r="D519" s="12" t="s">
        <v>1410</v>
      </c>
      <c r="E519" s="12" t="s">
        <v>4138</v>
      </c>
      <c r="F519" s="12" t="s">
        <v>2881</v>
      </c>
      <c r="G519" s="12" t="s">
        <v>4139</v>
      </c>
      <c r="H519" s="12" t="s">
        <v>3258</v>
      </c>
      <c r="I519" s="12" t="s">
        <v>1551</v>
      </c>
      <c r="J519" s="12" t="s">
        <v>2018</v>
      </c>
      <c r="K519" s="12" t="s">
        <v>2018</v>
      </c>
      <c r="L519" s="12" t="s">
        <v>1551</v>
      </c>
      <c r="M519" s="12" t="s">
        <v>1551</v>
      </c>
    </row>
    <row r="520" spans="1:13" ht="14.4" x14ac:dyDescent="0.3">
      <c r="A520" s="12" t="s">
        <v>66</v>
      </c>
      <c r="B520" s="12" t="s">
        <v>943</v>
      </c>
      <c r="C520" s="12" t="s">
        <v>944</v>
      </c>
      <c r="D520" s="12" t="s">
        <v>1410</v>
      </c>
      <c r="E520" s="12" t="s">
        <v>6210</v>
      </c>
      <c r="F520" s="12" t="s">
        <v>6211</v>
      </c>
      <c r="G520" s="12" t="s">
        <v>6212</v>
      </c>
      <c r="H520" s="12" t="s">
        <v>3203</v>
      </c>
      <c r="I520" s="12" t="s">
        <v>2018</v>
      </c>
      <c r="J520" s="12" t="s">
        <v>1506</v>
      </c>
      <c r="K520" s="12" t="s">
        <v>1599</v>
      </c>
      <c r="L520" s="12" t="s">
        <v>1599</v>
      </c>
      <c r="M520" s="12" t="s">
        <v>1599</v>
      </c>
    </row>
    <row r="521" spans="1:13" ht="14.4" x14ac:dyDescent="0.3">
      <c r="A521" s="12" t="s">
        <v>947</v>
      </c>
      <c r="B521" s="12" t="s">
        <v>946</v>
      </c>
      <c r="C521" s="12" t="s">
        <v>945</v>
      </c>
      <c r="D521" s="12" t="s">
        <v>1410</v>
      </c>
      <c r="E521" s="12" t="s">
        <v>4325</v>
      </c>
      <c r="F521" s="12" t="s">
        <v>3124</v>
      </c>
      <c r="G521" s="12" t="s">
        <v>1608</v>
      </c>
      <c r="H521" s="12" t="s">
        <v>3240</v>
      </c>
      <c r="I521" s="12" t="s">
        <v>1599</v>
      </c>
      <c r="J521" s="12" t="s">
        <v>2018</v>
      </c>
      <c r="K521" s="12" t="s">
        <v>1551</v>
      </c>
      <c r="L521" s="12" t="s">
        <v>1599</v>
      </c>
      <c r="M521" s="12" t="s">
        <v>2018</v>
      </c>
    </row>
    <row r="522" spans="1:13" ht="14.4" x14ac:dyDescent="0.3">
      <c r="A522" s="12" t="s">
        <v>5874</v>
      </c>
      <c r="B522" s="12" t="s">
        <v>5875</v>
      </c>
      <c r="C522" s="12" t="s">
        <v>5876</v>
      </c>
      <c r="D522" s="12" t="s">
        <v>1410</v>
      </c>
      <c r="E522" s="12" t="s">
        <v>6213</v>
      </c>
      <c r="F522" s="12" t="s">
        <v>6214</v>
      </c>
      <c r="G522" s="12" t="s">
        <v>6215</v>
      </c>
      <c r="H522" s="12" t="s">
        <v>3311</v>
      </c>
      <c r="I522" s="12" t="s">
        <v>1749</v>
      </c>
      <c r="J522" s="12" t="s">
        <v>2062</v>
      </c>
      <c r="K522" s="12" t="s">
        <v>1599</v>
      </c>
      <c r="L522" s="12" t="s">
        <v>1599</v>
      </c>
      <c r="M522" s="12" t="s">
        <v>1551</v>
      </c>
    </row>
    <row r="523" spans="1:13" ht="14.4" x14ac:dyDescent="0.3">
      <c r="A523" s="12" t="s">
        <v>8</v>
      </c>
      <c r="B523" s="12" t="s">
        <v>949</v>
      </c>
      <c r="C523" s="12" t="s">
        <v>948</v>
      </c>
      <c r="D523" s="12" t="s">
        <v>1410</v>
      </c>
      <c r="E523" s="12" t="s">
        <v>4375</v>
      </c>
      <c r="F523" s="12" t="s">
        <v>4376</v>
      </c>
      <c r="G523" s="12" t="s">
        <v>4377</v>
      </c>
      <c r="H523" s="12" t="s">
        <v>3213</v>
      </c>
      <c r="I523" s="12" t="s">
        <v>1414</v>
      </c>
      <c r="J523" s="12" t="s">
        <v>1551</v>
      </c>
      <c r="K523" s="12" t="s">
        <v>1599</v>
      </c>
      <c r="L523" s="12" t="s">
        <v>1551</v>
      </c>
      <c r="M523" s="12" t="s">
        <v>2018</v>
      </c>
    </row>
    <row r="524" spans="1:13" ht="14.4" x14ac:dyDescent="0.3">
      <c r="A524" s="12" t="s">
        <v>133</v>
      </c>
      <c r="B524" s="12" t="s">
        <v>951</v>
      </c>
      <c r="C524" s="12" t="s">
        <v>950</v>
      </c>
      <c r="D524" s="12" t="s">
        <v>1410</v>
      </c>
      <c r="E524" s="12" t="s">
        <v>3940</v>
      </c>
      <c r="F524" s="12" t="s">
        <v>3943</v>
      </c>
      <c r="G524" s="12" t="s">
        <v>3944</v>
      </c>
      <c r="H524" s="12" t="s">
        <v>3439</v>
      </c>
      <c r="I524" s="12" t="s">
        <v>1551</v>
      </c>
      <c r="J524" s="12" t="s">
        <v>2018</v>
      </c>
      <c r="K524" s="12" t="s">
        <v>2018</v>
      </c>
      <c r="L524" s="12" t="s">
        <v>2018</v>
      </c>
      <c r="M524" s="12" t="s">
        <v>2018</v>
      </c>
    </row>
    <row r="525" spans="1:13" ht="14.4" x14ac:dyDescent="0.3">
      <c r="A525" s="12" t="s">
        <v>42</v>
      </c>
      <c r="B525" s="12" t="s">
        <v>953</v>
      </c>
      <c r="C525" s="12" t="s">
        <v>952</v>
      </c>
      <c r="D525" s="12" t="s">
        <v>1410</v>
      </c>
      <c r="E525" s="12" t="s">
        <v>3636</v>
      </c>
      <c r="F525" s="12" t="s">
        <v>3637</v>
      </c>
      <c r="G525" s="12" t="s">
        <v>3638</v>
      </c>
      <c r="H525" s="12" t="s">
        <v>3264</v>
      </c>
      <c r="I525" s="12" t="s">
        <v>1551</v>
      </c>
      <c r="J525" s="12" t="s">
        <v>2018</v>
      </c>
      <c r="K525" s="12" t="s">
        <v>2018</v>
      </c>
      <c r="L525" s="12" t="s">
        <v>2018</v>
      </c>
      <c r="M525" s="12" t="s">
        <v>1551</v>
      </c>
    </row>
    <row r="526" spans="1:13" ht="14.4" x14ac:dyDescent="0.3">
      <c r="A526" s="12" t="s">
        <v>42</v>
      </c>
      <c r="B526" s="12" t="s">
        <v>955</v>
      </c>
      <c r="C526" s="12" t="s">
        <v>954</v>
      </c>
      <c r="D526" s="12" t="s">
        <v>1410</v>
      </c>
      <c r="E526" s="12" t="s">
        <v>4381</v>
      </c>
      <c r="F526" s="12" t="s">
        <v>4384</v>
      </c>
      <c r="G526" s="12" t="s">
        <v>3268</v>
      </c>
      <c r="H526" s="12" t="s">
        <v>3368</v>
      </c>
      <c r="I526" s="12" t="s">
        <v>1414</v>
      </c>
      <c r="J526" s="12" t="s">
        <v>1551</v>
      </c>
      <c r="K526" s="12" t="s">
        <v>2018</v>
      </c>
      <c r="L526" s="12" t="s">
        <v>1414</v>
      </c>
      <c r="M526" s="12" t="s">
        <v>2018</v>
      </c>
    </row>
    <row r="527" spans="1:13" ht="14.4" x14ac:dyDescent="0.3">
      <c r="A527" s="12" t="s">
        <v>5900</v>
      </c>
      <c r="B527" s="12" t="s">
        <v>5901</v>
      </c>
      <c r="C527" s="12" t="s">
        <v>5902</v>
      </c>
      <c r="D527" s="12" t="s">
        <v>1410</v>
      </c>
      <c r="E527" s="12" t="s">
        <v>6216</v>
      </c>
      <c r="F527" s="12" t="s">
        <v>6217</v>
      </c>
      <c r="G527" s="12" t="s">
        <v>6218</v>
      </c>
      <c r="H527" s="12" t="s">
        <v>3322</v>
      </c>
      <c r="I527" s="12" t="s">
        <v>1599</v>
      </c>
      <c r="J527" s="12" t="s">
        <v>1414</v>
      </c>
      <c r="K527" s="12" t="s">
        <v>2018</v>
      </c>
      <c r="L527" s="12" t="s">
        <v>2018</v>
      </c>
      <c r="M527" s="12" t="s">
        <v>3214</v>
      </c>
    </row>
    <row r="528" spans="1:13" ht="14.4" x14ac:dyDescent="0.3">
      <c r="A528" s="12" t="s">
        <v>8</v>
      </c>
      <c r="B528" s="12" t="s">
        <v>389</v>
      </c>
      <c r="C528" s="12" t="s">
        <v>956</v>
      </c>
      <c r="D528" s="12" t="s">
        <v>1410</v>
      </c>
      <c r="E528" s="12" t="s">
        <v>4405</v>
      </c>
      <c r="F528" s="12" t="s">
        <v>4406</v>
      </c>
      <c r="G528" s="12" t="s">
        <v>4407</v>
      </c>
      <c r="H528" s="12" t="s">
        <v>3240</v>
      </c>
      <c r="I528" s="12" t="s">
        <v>2018</v>
      </c>
      <c r="J528" s="12" t="s">
        <v>2018</v>
      </c>
      <c r="K528" s="12" t="s">
        <v>1506</v>
      </c>
      <c r="L528" s="12" t="s">
        <v>2018</v>
      </c>
      <c r="M528" s="12" t="s">
        <v>1599</v>
      </c>
    </row>
    <row r="529" spans="1:13" ht="14.4" x14ac:dyDescent="0.3">
      <c r="A529" s="12" t="s">
        <v>28</v>
      </c>
      <c r="B529" s="12" t="s">
        <v>389</v>
      </c>
      <c r="C529" s="12" t="s">
        <v>957</v>
      </c>
      <c r="D529" s="12" t="s">
        <v>1410</v>
      </c>
      <c r="E529" s="12" t="s">
        <v>2315</v>
      </c>
      <c r="F529" s="12" t="s">
        <v>3641</v>
      </c>
      <c r="G529" s="12" t="s">
        <v>3642</v>
      </c>
      <c r="H529" s="12" t="s">
        <v>3258</v>
      </c>
      <c r="I529" s="12" t="s">
        <v>1551</v>
      </c>
      <c r="J529" s="12" t="s">
        <v>1551</v>
      </c>
      <c r="K529" s="12" t="s">
        <v>1551</v>
      </c>
      <c r="L529" s="12" t="s">
        <v>2018</v>
      </c>
      <c r="M529" s="12" t="s">
        <v>2018</v>
      </c>
    </row>
    <row r="530" spans="1:13" ht="14.4" x14ac:dyDescent="0.3">
      <c r="A530" s="12" t="s">
        <v>55</v>
      </c>
      <c r="B530" s="12" t="s">
        <v>961</v>
      </c>
      <c r="C530" s="12" t="s">
        <v>960</v>
      </c>
      <c r="D530" s="12" t="s">
        <v>1410</v>
      </c>
      <c r="E530" s="12" t="s">
        <v>4034</v>
      </c>
      <c r="F530" s="12" t="s">
        <v>4035</v>
      </c>
      <c r="G530" s="12" t="s">
        <v>3373</v>
      </c>
      <c r="H530" s="12" t="s">
        <v>3203</v>
      </c>
      <c r="I530" s="12" t="s">
        <v>1599</v>
      </c>
      <c r="J530" s="12" t="s">
        <v>1551</v>
      </c>
      <c r="K530" s="12" t="s">
        <v>2062</v>
      </c>
      <c r="L530" s="12" t="s">
        <v>1551</v>
      </c>
      <c r="M530" s="12" t="s">
        <v>2018</v>
      </c>
    </row>
    <row r="531" spans="1:13" ht="14.4" x14ac:dyDescent="0.3">
      <c r="A531" s="12" t="s">
        <v>8</v>
      </c>
      <c r="B531" s="12" t="s">
        <v>963</v>
      </c>
      <c r="C531" s="12" t="s">
        <v>962</v>
      </c>
      <c r="D531" s="12" t="s">
        <v>1410</v>
      </c>
      <c r="E531" s="12" t="s">
        <v>3630</v>
      </c>
      <c r="F531" s="12" t="s">
        <v>3631</v>
      </c>
      <c r="G531" s="12" t="s">
        <v>3632</v>
      </c>
      <c r="H531" s="12" t="s">
        <v>3218</v>
      </c>
      <c r="I531" s="12" t="s">
        <v>1551</v>
      </c>
      <c r="J531" s="12" t="s">
        <v>1506</v>
      </c>
      <c r="K531" s="12" t="s">
        <v>1506</v>
      </c>
      <c r="L531" s="12" t="s">
        <v>1506</v>
      </c>
      <c r="M531" s="12" t="s">
        <v>1599</v>
      </c>
    </row>
    <row r="532" spans="1:13" ht="14.4" x14ac:dyDescent="0.3">
      <c r="A532" s="12" t="s">
        <v>563</v>
      </c>
      <c r="B532" s="12" t="s">
        <v>965</v>
      </c>
      <c r="C532" s="12" t="s">
        <v>964</v>
      </c>
      <c r="D532" s="12" t="s">
        <v>1410</v>
      </c>
      <c r="E532" s="12" t="s">
        <v>5873</v>
      </c>
      <c r="F532" s="12" t="s">
        <v>6046</v>
      </c>
      <c r="G532" s="12" t="s">
        <v>6219</v>
      </c>
      <c r="H532" s="12" t="s">
        <v>3210</v>
      </c>
      <c r="I532" s="12" t="s">
        <v>1749</v>
      </c>
      <c r="J532" s="12" t="s">
        <v>1551</v>
      </c>
      <c r="K532" s="12" t="s">
        <v>1551</v>
      </c>
      <c r="L532" s="12" t="s">
        <v>2018</v>
      </c>
      <c r="M532" s="12" t="s">
        <v>2018</v>
      </c>
    </row>
    <row r="533" spans="1:13" ht="14.4" x14ac:dyDescent="0.3">
      <c r="A533" s="12" t="s">
        <v>11</v>
      </c>
      <c r="B533" s="12" t="s">
        <v>967</v>
      </c>
      <c r="C533" s="12" t="s">
        <v>966</v>
      </c>
      <c r="D533" s="12" t="s">
        <v>1410</v>
      </c>
      <c r="E533" s="12" t="s">
        <v>6189</v>
      </c>
      <c r="F533" s="12" t="s">
        <v>6220</v>
      </c>
      <c r="G533" s="12" t="s">
        <v>6221</v>
      </c>
      <c r="H533" s="12" t="s">
        <v>3340</v>
      </c>
      <c r="I533" s="12" t="s">
        <v>1551</v>
      </c>
      <c r="J533" s="12" t="s">
        <v>1414</v>
      </c>
      <c r="K533" s="12" t="s">
        <v>1551</v>
      </c>
      <c r="L533" s="12" t="s">
        <v>1414</v>
      </c>
      <c r="M533" s="12" t="s">
        <v>1551</v>
      </c>
    </row>
    <row r="534" spans="1:13" ht="14.4" x14ac:dyDescent="0.3">
      <c r="A534" s="12" t="s">
        <v>55</v>
      </c>
      <c r="B534" s="12" t="s">
        <v>969</v>
      </c>
      <c r="C534" s="12" t="s">
        <v>968</v>
      </c>
      <c r="D534" s="12" t="s">
        <v>1410</v>
      </c>
      <c r="E534" s="12" t="s">
        <v>6222</v>
      </c>
      <c r="F534" s="12" t="s">
        <v>6223</v>
      </c>
      <c r="G534" s="12" t="s">
        <v>1761</v>
      </c>
      <c r="H534" s="12" t="s">
        <v>3464</v>
      </c>
      <c r="I534" s="12" t="s">
        <v>2018</v>
      </c>
      <c r="J534" s="12" t="s">
        <v>2018</v>
      </c>
      <c r="K534" s="12" t="s">
        <v>2018</v>
      </c>
      <c r="L534" s="12" t="s">
        <v>2018</v>
      </c>
      <c r="M534" s="12" t="s">
        <v>2018</v>
      </c>
    </row>
    <row r="535" spans="1:13" ht="14.4" x14ac:dyDescent="0.3">
      <c r="A535" s="12" t="s">
        <v>25</v>
      </c>
      <c r="B535" s="12" t="s">
        <v>971</v>
      </c>
      <c r="C535" s="12" t="s">
        <v>970</v>
      </c>
      <c r="D535" s="12" t="s">
        <v>1410</v>
      </c>
      <c r="E535" s="12" t="s">
        <v>3169</v>
      </c>
      <c r="F535" s="12" t="s">
        <v>3172</v>
      </c>
      <c r="G535" s="12" t="s">
        <v>2384</v>
      </c>
      <c r="H535" s="12" t="s">
        <v>3264</v>
      </c>
      <c r="I535" s="12" t="s">
        <v>1551</v>
      </c>
      <c r="J535" s="12" t="s">
        <v>1551</v>
      </c>
      <c r="K535" s="12" t="s">
        <v>2018</v>
      </c>
      <c r="L535" s="12" t="s">
        <v>2018</v>
      </c>
      <c r="M535" s="12" t="s">
        <v>2018</v>
      </c>
    </row>
    <row r="536" spans="1:13" ht="14.4" x14ac:dyDescent="0.3">
      <c r="A536" s="12" t="s">
        <v>192</v>
      </c>
      <c r="B536" s="12" t="s">
        <v>973</v>
      </c>
      <c r="C536" s="12" t="s">
        <v>972</v>
      </c>
      <c r="D536" s="12" t="s">
        <v>1410</v>
      </c>
      <c r="E536" s="12" t="s">
        <v>6224</v>
      </c>
      <c r="F536" s="12" t="s">
        <v>6225</v>
      </c>
      <c r="G536" s="12" t="s">
        <v>6226</v>
      </c>
      <c r="H536" s="12" t="s">
        <v>3464</v>
      </c>
      <c r="I536" s="12" t="s">
        <v>2018</v>
      </c>
      <c r="J536" s="12" t="s">
        <v>2018</v>
      </c>
      <c r="K536" s="12" t="s">
        <v>2018</v>
      </c>
      <c r="L536" s="12" t="s">
        <v>2018</v>
      </c>
      <c r="M536" s="12" t="s">
        <v>2018</v>
      </c>
    </row>
    <row r="537" spans="1:13" ht="14.4" x14ac:dyDescent="0.3">
      <c r="A537" s="12" t="s">
        <v>8</v>
      </c>
      <c r="B537" s="12" t="s">
        <v>975</v>
      </c>
      <c r="C537" s="12" t="s">
        <v>974</v>
      </c>
      <c r="D537" s="12" t="s">
        <v>1410</v>
      </c>
      <c r="E537" s="12" t="s">
        <v>4396</v>
      </c>
      <c r="F537" s="12" t="s">
        <v>4397</v>
      </c>
      <c r="G537" s="12" t="s">
        <v>4398</v>
      </c>
      <c r="H537" s="12" t="s">
        <v>3439</v>
      </c>
      <c r="I537" s="12" t="s">
        <v>2018</v>
      </c>
      <c r="J537" s="12" t="s">
        <v>2018</v>
      </c>
      <c r="K537" s="12" t="s">
        <v>2018</v>
      </c>
      <c r="L537" s="12" t="s">
        <v>2018</v>
      </c>
      <c r="M537" s="12" t="s">
        <v>1551</v>
      </c>
    </row>
    <row r="538" spans="1:13" ht="14.4" x14ac:dyDescent="0.3">
      <c r="A538" s="12" t="s">
        <v>8</v>
      </c>
      <c r="B538" s="12" t="s">
        <v>977</v>
      </c>
      <c r="C538" s="12" t="s">
        <v>976</v>
      </c>
      <c r="D538" s="12" t="s">
        <v>1410</v>
      </c>
      <c r="E538" s="12" t="s">
        <v>4393</v>
      </c>
      <c r="F538" s="12" t="s">
        <v>4394</v>
      </c>
      <c r="G538" s="12" t="s">
        <v>4395</v>
      </c>
      <c r="H538" s="12" t="s">
        <v>3246</v>
      </c>
      <c r="I538" s="12" t="s">
        <v>1506</v>
      </c>
      <c r="J538" s="12" t="s">
        <v>2018</v>
      </c>
      <c r="K538" s="12" t="s">
        <v>1551</v>
      </c>
      <c r="L538" s="12" t="s">
        <v>2018</v>
      </c>
      <c r="M538" s="12" t="s">
        <v>1506</v>
      </c>
    </row>
    <row r="539" spans="1:13" ht="14.4" x14ac:dyDescent="0.3">
      <c r="A539" s="12" t="s">
        <v>123</v>
      </c>
      <c r="B539" s="12" t="s">
        <v>979</v>
      </c>
      <c r="C539" s="12" t="s">
        <v>978</v>
      </c>
      <c r="D539" s="12" t="s">
        <v>1410</v>
      </c>
      <c r="E539" s="12" t="s">
        <v>4315</v>
      </c>
      <c r="F539" s="12" t="s">
        <v>4330</v>
      </c>
      <c r="G539" s="12" t="s">
        <v>4331</v>
      </c>
      <c r="H539" s="12" t="s">
        <v>3218</v>
      </c>
      <c r="I539" s="12" t="s">
        <v>1599</v>
      </c>
      <c r="J539" s="12" t="s">
        <v>2062</v>
      </c>
      <c r="K539" s="12" t="s">
        <v>1551</v>
      </c>
      <c r="L539" s="12" t="s">
        <v>1599</v>
      </c>
      <c r="M539" s="12" t="s">
        <v>1599</v>
      </c>
    </row>
    <row r="540" spans="1:13" ht="14.4" x14ac:dyDescent="0.3">
      <c r="A540" s="12" t="s">
        <v>8</v>
      </c>
      <c r="B540" s="12" t="s">
        <v>981</v>
      </c>
      <c r="C540" s="12" t="s">
        <v>980</v>
      </c>
      <c r="D540" s="12" t="s">
        <v>1410</v>
      </c>
      <c r="E540" s="12" t="s">
        <v>4387</v>
      </c>
      <c r="F540" s="12" t="s">
        <v>4390</v>
      </c>
      <c r="G540" s="12" t="s">
        <v>4391</v>
      </c>
      <c r="H540" s="12" t="s">
        <v>3439</v>
      </c>
      <c r="I540" s="12" t="s">
        <v>1551</v>
      </c>
      <c r="J540" s="12" t="s">
        <v>2018</v>
      </c>
      <c r="K540" s="12" t="s">
        <v>2018</v>
      </c>
      <c r="L540" s="12" t="s">
        <v>2018</v>
      </c>
      <c r="M540" s="12" t="s">
        <v>2018</v>
      </c>
    </row>
    <row r="541" spans="1:13" ht="14.4" x14ac:dyDescent="0.3">
      <c r="A541" s="12" t="s">
        <v>25</v>
      </c>
      <c r="B541" s="12" t="s">
        <v>989</v>
      </c>
      <c r="C541" s="12" t="s">
        <v>988</v>
      </c>
      <c r="D541" s="12" t="s">
        <v>1410</v>
      </c>
      <c r="E541" s="12" t="s">
        <v>3037</v>
      </c>
      <c r="F541" s="12" t="s">
        <v>3044</v>
      </c>
      <c r="G541" s="12" t="s">
        <v>4281</v>
      </c>
      <c r="H541" s="12" t="s">
        <v>3246</v>
      </c>
      <c r="I541" s="12" t="s">
        <v>2018</v>
      </c>
      <c r="J541" s="12" t="s">
        <v>2062</v>
      </c>
      <c r="K541" s="12" t="s">
        <v>2018</v>
      </c>
      <c r="L541" s="12" t="s">
        <v>2018</v>
      </c>
      <c r="M541" s="12" t="s">
        <v>1599</v>
      </c>
    </row>
    <row r="542" spans="1:13" ht="14.4" x14ac:dyDescent="0.3">
      <c r="A542" s="12" t="s">
        <v>8</v>
      </c>
      <c r="B542" s="12" t="s">
        <v>5969</v>
      </c>
      <c r="C542" s="12" t="s">
        <v>5970</v>
      </c>
      <c r="D542" s="12" t="s">
        <v>1410</v>
      </c>
      <c r="E542" s="12" t="s">
        <v>6227</v>
      </c>
      <c r="F542" s="12" t="s">
        <v>6228</v>
      </c>
      <c r="G542" s="12" t="s">
        <v>3887</v>
      </c>
      <c r="H542" s="12" t="s">
        <v>3234</v>
      </c>
      <c r="I542" s="12" t="s">
        <v>1506</v>
      </c>
      <c r="J542" s="12" t="s">
        <v>2018</v>
      </c>
      <c r="K542" s="12" t="s">
        <v>2018</v>
      </c>
      <c r="L542" s="12" t="s">
        <v>1506</v>
      </c>
      <c r="M542" s="12" t="s">
        <v>2018</v>
      </c>
    </row>
    <row r="543" spans="1:13" ht="14.4" x14ac:dyDescent="0.3">
      <c r="A543" s="12" t="s">
        <v>992</v>
      </c>
      <c r="B543" s="12" t="s">
        <v>991</v>
      </c>
      <c r="C543" s="12" t="s">
        <v>990</v>
      </c>
      <c r="D543" s="12" t="s">
        <v>1410</v>
      </c>
      <c r="E543" s="12" t="s">
        <v>4363</v>
      </c>
      <c r="F543" s="12" t="s">
        <v>4378</v>
      </c>
      <c r="G543" s="12" t="s">
        <v>4379</v>
      </c>
      <c r="H543" s="12" t="s">
        <v>3464</v>
      </c>
      <c r="I543" s="12" t="s">
        <v>2018</v>
      </c>
      <c r="J543" s="12" t="s">
        <v>2018</v>
      </c>
      <c r="K543" s="12" t="s">
        <v>2018</v>
      </c>
      <c r="L543" s="12" t="s">
        <v>2018</v>
      </c>
      <c r="M543" s="12" t="s">
        <v>2018</v>
      </c>
    </row>
    <row r="544" spans="1:13" ht="14.4" x14ac:dyDescent="0.3">
      <c r="A544" s="12" t="s">
        <v>995</v>
      </c>
      <c r="B544" s="12" t="s">
        <v>994</v>
      </c>
      <c r="C544" s="12" t="s">
        <v>993</v>
      </c>
      <c r="D544" s="12" t="s">
        <v>1410</v>
      </c>
      <c r="E544" s="12" t="s">
        <v>4126</v>
      </c>
      <c r="F544" s="12" t="s">
        <v>4127</v>
      </c>
      <c r="G544" s="12" t="s">
        <v>4128</v>
      </c>
      <c r="H544" s="12" t="s">
        <v>3264</v>
      </c>
      <c r="I544" s="12" t="s">
        <v>1599</v>
      </c>
      <c r="J544" s="12" t="s">
        <v>2018</v>
      </c>
      <c r="K544" s="12" t="s">
        <v>2018</v>
      </c>
      <c r="L544" s="12" t="s">
        <v>2018</v>
      </c>
      <c r="M544" s="12" t="s">
        <v>2018</v>
      </c>
    </row>
    <row r="545" spans="1:13" ht="14.4" x14ac:dyDescent="0.3">
      <c r="A545" s="12" t="s">
        <v>28</v>
      </c>
      <c r="B545" s="12" t="s">
        <v>997</v>
      </c>
      <c r="C545" s="12" t="s">
        <v>996</v>
      </c>
      <c r="D545" s="12" t="s">
        <v>1410</v>
      </c>
      <c r="E545" s="12" t="s">
        <v>3644</v>
      </c>
      <c r="F545" s="12" t="s">
        <v>3648</v>
      </c>
      <c r="G545" s="12" t="s">
        <v>3649</v>
      </c>
      <c r="H545" s="12" t="s">
        <v>3264</v>
      </c>
      <c r="I545" s="12" t="s">
        <v>1599</v>
      </c>
      <c r="J545" s="12" t="s">
        <v>2018</v>
      </c>
      <c r="K545" s="12" t="s">
        <v>2018</v>
      </c>
      <c r="L545" s="12" t="s">
        <v>2018</v>
      </c>
      <c r="M545" s="12" t="s">
        <v>2018</v>
      </c>
    </row>
    <row r="546" spans="1:13" ht="14.4" x14ac:dyDescent="0.3">
      <c r="A546" s="12" t="s">
        <v>322</v>
      </c>
      <c r="B546" s="12" t="s">
        <v>999</v>
      </c>
      <c r="C546" s="12" t="s">
        <v>998</v>
      </c>
      <c r="D546" s="12" t="s">
        <v>1410</v>
      </c>
      <c r="E546" s="12" t="s">
        <v>3633</v>
      </c>
      <c r="F546" s="12" t="s">
        <v>3634</v>
      </c>
      <c r="G546" s="12" t="s">
        <v>3635</v>
      </c>
      <c r="H546" s="12" t="s">
        <v>3240</v>
      </c>
      <c r="I546" s="12" t="s">
        <v>2018</v>
      </c>
      <c r="J546" s="12" t="s">
        <v>1599</v>
      </c>
      <c r="K546" s="12" t="s">
        <v>2018</v>
      </c>
      <c r="L546" s="12" t="s">
        <v>2018</v>
      </c>
      <c r="M546" s="12" t="s">
        <v>1506</v>
      </c>
    </row>
    <row r="547" spans="1:13" ht="14.4" x14ac:dyDescent="0.3">
      <c r="A547" s="12" t="s">
        <v>49</v>
      </c>
      <c r="B547" s="12" t="s">
        <v>1005</v>
      </c>
      <c r="C547" s="12" t="s">
        <v>1004</v>
      </c>
      <c r="D547" s="12" t="s">
        <v>1456</v>
      </c>
      <c r="E547" s="12" t="s">
        <v>4213</v>
      </c>
      <c r="F547" s="12" t="s">
        <v>1415</v>
      </c>
      <c r="G547" s="12" t="s">
        <v>1415</v>
      </c>
      <c r="H547" s="12" t="s">
        <v>1415</v>
      </c>
      <c r="I547" s="12" t="s">
        <v>1415</v>
      </c>
      <c r="J547" s="12" t="s">
        <v>1415</v>
      </c>
      <c r="K547" s="12" t="s">
        <v>1415</v>
      </c>
      <c r="L547" s="12" t="s">
        <v>1415</v>
      </c>
      <c r="M547" s="12" t="s">
        <v>1415</v>
      </c>
    </row>
    <row r="548" spans="1:13" ht="14.4" x14ac:dyDescent="0.3">
      <c r="A548" s="12" t="s">
        <v>71</v>
      </c>
      <c r="B548" s="12" t="s">
        <v>1007</v>
      </c>
      <c r="C548" s="12" t="s">
        <v>1006</v>
      </c>
      <c r="D548" s="12" t="s">
        <v>1410</v>
      </c>
      <c r="E548" s="12" t="s">
        <v>4387</v>
      </c>
      <c r="F548" s="12" t="s">
        <v>4388</v>
      </c>
      <c r="G548" s="12" t="s">
        <v>4389</v>
      </c>
      <c r="H548" s="12" t="s">
        <v>3258</v>
      </c>
      <c r="I548" s="12" t="s">
        <v>1599</v>
      </c>
      <c r="J548" s="12" t="s">
        <v>2018</v>
      </c>
      <c r="K548" s="12" t="s">
        <v>1551</v>
      </c>
      <c r="L548" s="12" t="s">
        <v>2018</v>
      </c>
      <c r="M548" s="12" t="s">
        <v>2018</v>
      </c>
    </row>
    <row r="549" spans="1:13" ht="14.4" x14ac:dyDescent="0.3">
      <c r="A549" s="12" t="s">
        <v>8</v>
      </c>
      <c r="B549" s="12" t="s">
        <v>1009</v>
      </c>
      <c r="C549" s="12" t="s">
        <v>1008</v>
      </c>
      <c r="D549" s="12" t="s">
        <v>1410</v>
      </c>
      <c r="E549" s="12" t="s">
        <v>4210</v>
      </c>
      <c r="F549" s="12" t="s">
        <v>4211</v>
      </c>
      <c r="G549" s="12" t="s">
        <v>4212</v>
      </c>
      <c r="H549" s="12" t="s">
        <v>3300</v>
      </c>
      <c r="I549" s="12" t="s">
        <v>3214</v>
      </c>
      <c r="J549" s="12" t="s">
        <v>1551</v>
      </c>
      <c r="K549" s="12" t="s">
        <v>2018</v>
      </c>
      <c r="L549" s="12" t="s">
        <v>1599</v>
      </c>
      <c r="M549" s="12" t="s">
        <v>2018</v>
      </c>
    </row>
    <row r="550" spans="1:13" ht="14.4" x14ac:dyDescent="0.3">
      <c r="A550" s="12" t="s">
        <v>31</v>
      </c>
      <c r="B550" s="12" t="s">
        <v>1011</v>
      </c>
      <c r="C550" s="12" t="s">
        <v>1010</v>
      </c>
      <c r="D550" s="12" t="s">
        <v>1410</v>
      </c>
      <c r="E550" s="12" t="s">
        <v>4193</v>
      </c>
      <c r="F550" s="12" t="s">
        <v>4194</v>
      </c>
      <c r="G550" s="12" t="s">
        <v>4195</v>
      </c>
      <c r="H550" s="12" t="s">
        <v>3223</v>
      </c>
      <c r="I550" s="12" t="s">
        <v>1599</v>
      </c>
      <c r="J550" s="12" t="s">
        <v>1599</v>
      </c>
      <c r="K550" s="12" t="s">
        <v>2018</v>
      </c>
      <c r="L550" s="12" t="s">
        <v>2018</v>
      </c>
      <c r="M550" s="12" t="s">
        <v>2018</v>
      </c>
    </row>
    <row r="551" spans="1:13" ht="14.4" x14ac:dyDescent="0.3">
      <c r="A551" s="12" t="s">
        <v>55</v>
      </c>
      <c r="B551" s="12" t="s">
        <v>1013</v>
      </c>
      <c r="C551" s="12" t="s">
        <v>1012</v>
      </c>
      <c r="D551" s="12" t="s">
        <v>1410</v>
      </c>
      <c r="E551" s="12" t="s">
        <v>4363</v>
      </c>
      <c r="F551" s="12" t="s">
        <v>4378</v>
      </c>
      <c r="G551" s="12" t="s">
        <v>4380</v>
      </c>
      <c r="H551" s="12" t="s">
        <v>1448</v>
      </c>
      <c r="I551" s="12" t="s">
        <v>1414</v>
      </c>
      <c r="J551" s="12" t="s">
        <v>1414</v>
      </c>
      <c r="K551" s="12" t="s">
        <v>1414</v>
      </c>
      <c r="L551" s="12" t="s">
        <v>2018</v>
      </c>
      <c r="M551" s="12" t="s">
        <v>2018</v>
      </c>
    </row>
    <row r="552" spans="1:13" ht="14.4" x14ac:dyDescent="0.3">
      <c r="A552" s="12" t="s">
        <v>8</v>
      </c>
      <c r="B552" s="12" t="s">
        <v>1015</v>
      </c>
      <c r="C552" s="12" t="s">
        <v>1014</v>
      </c>
      <c r="D552" s="12" t="s">
        <v>1410</v>
      </c>
      <c r="E552" s="12" t="s">
        <v>2687</v>
      </c>
      <c r="F552" s="12" t="s">
        <v>3945</v>
      </c>
      <c r="G552" s="12" t="s">
        <v>3946</v>
      </c>
      <c r="H552" s="12" t="s">
        <v>3246</v>
      </c>
      <c r="I552" s="12" t="s">
        <v>1506</v>
      </c>
      <c r="J552" s="12" t="s">
        <v>1551</v>
      </c>
      <c r="K552" s="12" t="s">
        <v>1506</v>
      </c>
      <c r="L552" s="12" t="s">
        <v>2018</v>
      </c>
      <c r="M552" s="12" t="s">
        <v>2018</v>
      </c>
    </row>
    <row r="553" spans="1:13" ht="14.4" x14ac:dyDescent="0.3">
      <c r="A553" s="12" t="s">
        <v>8</v>
      </c>
      <c r="B553" s="12" t="s">
        <v>1017</v>
      </c>
      <c r="C553" s="12" t="s">
        <v>1016</v>
      </c>
      <c r="D553" s="12" t="s">
        <v>1410</v>
      </c>
      <c r="E553" s="12" t="s">
        <v>4028</v>
      </c>
      <c r="F553" s="12" t="s">
        <v>4029</v>
      </c>
      <c r="G553" s="12" t="s">
        <v>3626</v>
      </c>
      <c r="H553" s="12" t="s">
        <v>3210</v>
      </c>
      <c r="I553" s="12" t="s">
        <v>2018</v>
      </c>
      <c r="J553" s="12" t="s">
        <v>2018</v>
      </c>
      <c r="K553" s="12" t="s">
        <v>2062</v>
      </c>
      <c r="L553" s="12" t="s">
        <v>2018</v>
      </c>
      <c r="M553" s="12" t="s">
        <v>1506</v>
      </c>
    </row>
    <row r="554" spans="1:13" ht="14.4" x14ac:dyDescent="0.3">
      <c r="A554" s="12" t="s">
        <v>1020</v>
      </c>
      <c r="B554" s="12" t="s">
        <v>1019</v>
      </c>
      <c r="C554" s="12" t="s">
        <v>1018</v>
      </c>
      <c r="D554" s="12" t="s">
        <v>1410</v>
      </c>
      <c r="E554" s="12" t="s">
        <v>3997</v>
      </c>
      <c r="F554" s="12" t="s">
        <v>3998</v>
      </c>
      <c r="G554" s="12" t="s">
        <v>2102</v>
      </c>
      <c r="H554" s="12" t="s">
        <v>3411</v>
      </c>
      <c r="I554" s="12" t="s">
        <v>3214</v>
      </c>
      <c r="J554" s="12" t="s">
        <v>2018</v>
      </c>
      <c r="K554" s="12" t="s">
        <v>2018</v>
      </c>
      <c r="L554" s="12" t="s">
        <v>1506</v>
      </c>
      <c r="M554" s="12" t="s">
        <v>1551</v>
      </c>
    </row>
    <row r="555" spans="1:13" ht="14.4" x14ac:dyDescent="0.3">
      <c r="A555" s="12" t="s">
        <v>1020</v>
      </c>
      <c r="B555" s="12" t="s">
        <v>1019</v>
      </c>
      <c r="C555" s="12" t="s">
        <v>1018</v>
      </c>
      <c r="D555" s="12" t="s">
        <v>1410</v>
      </c>
      <c r="E555" s="12" t="s">
        <v>2750</v>
      </c>
      <c r="F555" s="12" t="s">
        <v>4005</v>
      </c>
      <c r="G555" s="12" t="s">
        <v>4006</v>
      </c>
      <c r="H555" s="12" t="s">
        <v>3411</v>
      </c>
      <c r="I555" s="12" t="s">
        <v>2062</v>
      </c>
      <c r="J555" s="12" t="s">
        <v>1599</v>
      </c>
      <c r="K555" s="12" t="s">
        <v>2018</v>
      </c>
      <c r="L555" s="12" t="s">
        <v>2018</v>
      </c>
      <c r="M555" s="12" t="s">
        <v>3204</v>
      </c>
    </row>
    <row r="556" spans="1:13" ht="14.4" x14ac:dyDescent="0.3">
      <c r="A556" s="12" t="s">
        <v>1020</v>
      </c>
      <c r="B556" s="12" t="s">
        <v>1019</v>
      </c>
      <c r="C556" s="12" t="s">
        <v>1018</v>
      </c>
      <c r="D556" s="12" t="s">
        <v>1410</v>
      </c>
      <c r="E556" s="12" t="s">
        <v>4205</v>
      </c>
      <c r="F556" s="12" t="s">
        <v>4206</v>
      </c>
      <c r="G556" s="12" t="s">
        <v>2704</v>
      </c>
      <c r="H556" s="12" t="s">
        <v>3464</v>
      </c>
      <c r="I556" s="12" t="s">
        <v>2018</v>
      </c>
      <c r="J556" s="12" t="s">
        <v>2018</v>
      </c>
      <c r="K556" s="12" t="s">
        <v>2018</v>
      </c>
      <c r="L556" s="12" t="s">
        <v>2018</v>
      </c>
      <c r="M556" s="12" t="s">
        <v>2018</v>
      </c>
    </row>
    <row r="557" spans="1:13" ht="14.4" x14ac:dyDescent="0.3">
      <c r="A557" s="12" t="s">
        <v>19</v>
      </c>
      <c r="B557" s="12" t="s">
        <v>1022</v>
      </c>
      <c r="C557" s="12" t="s">
        <v>1021</v>
      </c>
      <c r="D557" s="12" t="s">
        <v>1410</v>
      </c>
      <c r="E557" s="12" t="s">
        <v>4051</v>
      </c>
      <c r="F557" s="12" t="s">
        <v>4052</v>
      </c>
      <c r="G557" s="12" t="s">
        <v>4053</v>
      </c>
      <c r="H557" s="12" t="s">
        <v>3300</v>
      </c>
      <c r="I557" s="12" t="s">
        <v>2018</v>
      </c>
      <c r="J557" s="12" t="s">
        <v>2435</v>
      </c>
      <c r="K557" s="12" t="s">
        <v>1551</v>
      </c>
      <c r="L557" s="12" t="s">
        <v>1551</v>
      </c>
      <c r="M557" s="12" t="s">
        <v>2018</v>
      </c>
    </row>
    <row r="558" spans="1:13" ht="14.4" x14ac:dyDescent="0.3">
      <c r="A558" s="12" t="s">
        <v>133</v>
      </c>
      <c r="B558" s="12" t="s">
        <v>1024</v>
      </c>
      <c r="C558" s="12" t="s">
        <v>1023</v>
      </c>
      <c r="D558" s="12" t="s">
        <v>1410</v>
      </c>
      <c r="E558" s="12" t="s">
        <v>3643</v>
      </c>
      <c r="F558" s="12" t="s">
        <v>3644</v>
      </c>
      <c r="G558" s="12" t="s">
        <v>3478</v>
      </c>
      <c r="H558" s="12" t="s">
        <v>3207</v>
      </c>
      <c r="I558" s="12" t="s">
        <v>1599</v>
      </c>
      <c r="J558" s="12" t="s">
        <v>1551</v>
      </c>
      <c r="K558" s="12" t="s">
        <v>1420</v>
      </c>
      <c r="L558" s="12" t="s">
        <v>1506</v>
      </c>
      <c r="M558" s="12" t="s">
        <v>2018</v>
      </c>
    </row>
    <row r="559" spans="1:13" ht="14.4" x14ac:dyDescent="0.3">
      <c r="A559" s="12" t="s">
        <v>55</v>
      </c>
      <c r="B559" s="12" t="s">
        <v>1024</v>
      </c>
      <c r="C559" s="12" t="s">
        <v>1025</v>
      </c>
      <c r="D559" s="12" t="s">
        <v>1410</v>
      </c>
      <c r="E559" s="12" t="s">
        <v>6229</v>
      </c>
      <c r="F559" s="12" t="s">
        <v>6230</v>
      </c>
      <c r="G559" s="12" t="s">
        <v>4281</v>
      </c>
      <c r="H559" s="12" t="s">
        <v>3300</v>
      </c>
      <c r="I559" s="12" t="s">
        <v>1551</v>
      </c>
      <c r="J559" s="12" t="s">
        <v>1506</v>
      </c>
      <c r="K559" s="12" t="s">
        <v>1506</v>
      </c>
      <c r="L559" s="12" t="s">
        <v>1599</v>
      </c>
      <c r="M559" s="12" t="s">
        <v>1551</v>
      </c>
    </row>
    <row r="560" spans="1:13" ht="14.4" x14ac:dyDescent="0.3">
      <c r="A560" s="12" t="s">
        <v>8</v>
      </c>
      <c r="B560" s="12" t="s">
        <v>1027</v>
      </c>
      <c r="C560" s="12" t="s">
        <v>1026</v>
      </c>
      <c r="D560" s="12" t="s">
        <v>1410</v>
      </c>
      <c r="E560" s="12" t="s">
        <v>3867</v>
      </c>
      <c r="F560" s="12" t="s">
        <v>2597</v>
      </c>
      <c r="G560" s="12" t="s">
        <v>2487</v>
      </c>
      <c r="H560" s="12" t="s">
        <v>1414</v>
      </c>
      <c r="I560" s="12" t="s">
        <v>1414</v>
      </c>
      <c r="J560" s="12" t="s">
        <v>1414</v>
      </c>
      <c r="K560" s="12" t="s">
        <v>1414</v>
      </c>
      <c r="L560" s="12" t="s">
        <v>1414</v>
      </c>
      <c r="M560" s="12" t="s">
        <v>1414</v>
      </c>
    </row>
    <row r="561" spans="1:13" ht="14.4" x14ac:dyDescent="0.3">
      <c r="A561" s="12" t="s">
        <v>8</v>
      </c>
      <c r="B561" s="12" t="s">
        <v>1029</v>
      </c>
      <c r="C561" s="12" t="s">
        <v>1028</v>
      </c>
      <c r="D561" s="12" t="s">
        <v>1410</v>
      </c>
      <c r="E561" s="12" t="s">
        <v>4402</v>
      </c>
      <c r="F561" s="12" t="s">
        <v>4403</v>
      </c>
      <c r="G561" s="12" t="s">
        <v>4404</v>
      </c>
      <c r="H561" s="12" t="s">
        <v>3258</v>
      </c>
      <c r="I561" s="12" t="s">
        <v>2018</v>
      </c>
      <c r="J561" s="12" t="s">
        <v>2018</v>
      </c>
      <c r="K561" s="12" t="s">
        <v>2018</v>
      </c>
      <c r="L561" s="12" t="s">
        <v>1599</v>
      </c>
      <c r="M561" s="12" t="s">
        <v>1551</v>
      </c>
    </row>
    <row r="562" spans="1:13" ht="14.4" x14ac:dyDescent="0.3">
      <c r="A562" s="12" t="s">
        <v>31</v>
      </c>
      <c r="B562" s="12" t="s">
        <v>1031</v>
      </c>
      <c r="C562" s="12" t="s">
        <v>1030</v>
      </c>
      <c r="D562" s="12" t="s">
        <v>1410</v>
      </c>
      <c r="E562" s="12" t="s">
        <v>3645</v>
      </c>
      <c r="F562" s="12" t="s">
        <v>3646</v>
      </c>
      <c r="G562" s="12" t="s">
        <v>3647</v>
      </c>
      <c r="H562" s="12" t="s">
        <v>3464</v>
      </c>
      <c r="I562" s="12" t="s">
        <v>2018</v>
      </c>
      <c r="J562" s="12" t="s">
        <v>2018</v>
      </c>
      <c r="K562" s="12" t="s">
        <v>2018</v>
      </c>
      <c r="L562" s="12" t="s">
        <v>2018</v>
      </c>
      <c r="M562" s="12" t="s">
        <v>2018</v>
      </c>
    </row>
    <row r="563" spans="1:13" ht="14.4" x14ac:dyDescent="0.3">
      <c r="A563" s="12" t="s">
        <v>19</v>
      </c>
      <c r="B563" s="12" t="s">
        <v>1033</v>
      </c>
      <c r="C563" s="12" t="s">
        <v>1032</v>
      </c>
      <c r="D563" s="12" t="s">
        <v>1410</v>
      </c>
      <c r="E563" s="12" t="s">
        <v>4140</v>
      </c>
      <c r="F563" s="12" t="s">
        <v>4141</v>
      </c>
      <c r="G563" s="12" t="s">
        <v>2073</v>
      </c>
      <c r="H563" s="12" t="s">
        <v>3234</v>
      </c>
      <c r="I563" s="12" t="s">
        <v>1599</v>
      </c>
      <c r="J563" s="12" t="s">
        <v>1599</v>
      </c>
      <c r="K563" s="12" t="s">
        <v>1599</v>
      </c>
      <c r="L563" s="12" t="s">
        <v>2018</v>
      </c>
      <c r="M563" s="12" t="s">
        <v>2018</v>
      </c>
    </row>
    <row r="564" spans="1:13" ht="14.4" x14ac:dyDescent="0.3">
      <c r="A564" s="12" t="s">
        <v>19</v>
      </c>
      <c r="B564" s="12" t="s">
        <v>1033</v>
      </c>
      <c r="C564" s="12" t="s">
        <v>1032</v>
      </c>
      <c r="D564" s="12" t="s">
        <v>1410</v>
      </c>
      <c r="E564" s="12" t="s">
        <v>3065</v>
      </c>
      <c r="F564" s="12" t="s">
        <v>4295</v>
      </c>
      <c r="G564" s="12" t="s">
        <v>3475</v>
      </c>
      <c r="H564" s="12" t="s">
        <v>3439</v>
      </c>
      <c r="I564" s="12" t="s">
        <v>2018</v>
      </c>
      <c r="J564" s="12" t="s">
        <v>2018</v>
      </c>
      <c r="K564" s="12" t="s">
        <v>1551</v>
      </c>
      <c r="L564" s="12" t="s">
        <v>2018</v>
      </c>
      <c r="M564" s="12" t="s">
        <v>2018</v>
      </c>
    </row>
    <row r="565" spans="1:13" ht="14.4" x14ac:dyDescent="0.3">
      <c r="A565" s="12" t="s">
        <v>28</v>
      </c>
      <c r="B565" s="12" t="s">
        <v>1035</v>
      </c>
      <c r="C565" s="12" t="s">
        <v>1034</v>
      </c>
      <c r="D565" s="12" t="s">
        <v>1410</v>
      </c>
      <c r="E565" s="12" t="s">
        <v>6231</v>
      </c>
      <c r="F565" s="12" t="s">
        <v>6232</v>
      </c>
      <c r="G565" s="12" t="s">
        <v>6233</v>
      </c>
      <c r="H565" s="12" t="s">
        <v>3439</v>
      </c>
      <c r="I565" s="12" t="s">
        <v>2018</v>
      </c>
      <c r="J565" s="12" t="s">
        <v>2018</v>
      </c>
      <c r="K565" s="12" t="s">
        <v>1551</v>
      </c>
      <c r="L565" s="12" t="s">
        <v>2018</v>
      </c>
      <c r="M565" s="12" t="s">
        <v>2018</v>
      </c>
    </row>
    <row r="566" spans="1:13" ht="14.4" x14ac:dyDescent="0.3">
      <c r="A566" s="12" t="s">
        <v>71</v>
      </c>
      <c r="B566" s="12" t="s">
        <v>6022</v>
      </c>
      <c r="C566" s="12" t="s">
        <v>6023</v>
      </c>
      <c r="D566" s="12" t="s">
        <v>1456</v>
      </c>
      <c r="E566" s="12" t="s">
        <v>6234</v>
      </c>
      <c r="F566" s="12" t="s">
        <v>1415</v>
      </c>
      <c r="G566" s="12" t="s">
        <v>1415</v>
      </c>
      <c r="H566" s="12" t="s">
        <v>1415</v>
      </c>
      <c r="I566" s="12" t="s">
        <v>1415</v>
      </c>
      <c r="J566" s="12" t="s">
        <v>1415</v>
      </c>
      <c r="K566" s="12" t="s">
        <v>1415</v>
      </c>
      <c r="L566" s="12" t="s">
        <v>1415</v>
      </c>
      <c r="M566" s="12" t="s">
        <v>1415</v>
      </c>
    </row>
    <row r="567" spans="1:13" ht="14.4" x14ac:dyDescent="0.3">
      <c r="A567" s="12" t="s">
        <v>8</v>
      </c>
      <c r="B567" s="12" t="s">
        <v>1039</v>
      </c>
      <c r="C567" s="12" t="s">
        <v>1038</v>
      </c>
      <c r="D567" s="12" t="s">
        <v>1410</v>
      </c>
      <c r="E567" s="12" t="s">
        <v>4123</v>
      </c>
      <c r="F567" s="12" t="s">
        <v>4124</v>
      </c>
      <c r="G567" s="12" t="s">
        <v>4125</v>
      </c>
      <c r="H567" s="12" t="s">
        <v>3311</v>
      </c>
      <c r="I567" s="12" t="s">
        <v>1749</v>
      </c>
      <c r="J567" s="12" t="s">
        <v>1599</v>
      </c>
      <c r="K567" s="12" t="s">
        <v>3204</v>
      </c>
      <c r="L567" s="12" t="s">
        <v>1599</v>
      </c>
      <c r="M567" s="12" t="s">
        <v>1599</v>
      </c>
    </row>
    <row r="568" spans="1:13" ht="14.4" x14ac:dyDescent="0.3">
      <c r="A568" s="12" t="s">
        <v>25</v>
      </c>
      <c r="B568" s="12" t="s">
        <v>1041</v>
      </c>
      <c r="C568" s="12" t="s">
        <v>1040</v>
      </c>
      <c r="D568" s="12" t="s">
        <v>1410</v>
      </c>
      <c r="E568" s="12" t="s">
        <v>4135</v>
      </c>
      <c r="F568" s="12" t="s">
        <v>4136</v>
      </c>
      <c r="G568" s="12" t="s">
        <v>4137</v>
      </c>
      <c r="H568" s="12" t="s">
        <v>3203</v>
      </c>
      <c r="I568" s="12" t="s">
        <v>3204</v>
      </c>
      <c r="J568" s="12" t="s">
        <v>1551</v>
      </c>
      <c r="K568" s="12" t="s">
        <v>2018</v>
      </c>
      <c r="L568" s="12" t="s">
        <v>1599</v>
      </c>
      <c r="M568" s="12" t="s">
        <v>1599</v>
      </c>
    </row>
    <row r="569" spans="1:13" ht="14.4" x14ac:dyDescent="0.3">
      <c r="A569" s="12" t="s">
        <v>8</v>
      </c>
      <c r="B569" s="12" t="s">
        <v>777</v>
      </c>
      <c r="C569" s="12" t="s">
        <v>1042</v>
      </c>
      <c r="D569" s="12" t="s">
        <v>1410</v>
      </c>
      <c r="E569" s="12" t="s">
        <v>3719</v>
      </c>
      <c r="F569" s="12" t="s">
        <v>3720</v>
      </c>
      <c r="G569" s="12" t="s">
        <v>3268</v>
      </c>
      <c r="H569" s="12" t="s">
        <v>1414</v>
      </c>
      <c r="I569" s="12" t="s">
        <v>1414</v>
      </c>
      <c r="J569" s="12" t="s">
        <v>1414</v>
      </c>
      <c r="K569" s="12" t="s">
        <v>1414</v>
      </c>
      <c r="L569" s="12" t="s">
        <v>1414</v>
      </c>
      <c r="M569" s="12" t="s">
        <v>1414</v>
      </c>
    </row>
    <row r="570" spans="1:13" ht="14.4" x14ac:dyDescent="0.3">
      <c r="A570" s="12" t="s">
        <v>8</v>
      </c>
      <c r="B570" s="12" t="s">
        <v>777</v>
      </c>
      <c r="C570" s="12" t="s">
        <v>1042</v>
      </c>
      <c r="D570" s="12" t="s">
        <v>1410</v>
      </c>
      <c r="E570" s="12" t="s">
        <v>4037</v>
      </c>
      <c r="F570" s="12" t="s">
        <v>4045</v>
      </c>
      <c r="G570" s="12" t="s">
        <v>4046</v>
      </c>
      <c r="H570" s="12" t="s">
        <v>1414</v>
      </c>
      <c r="I570" s="12" t="s">
        <v>1414</v>
      </c>
      <c r="J570" s="12" t="s">
        <v>1414</v>
      </c>
      <c r="K570" s="12" t="s">
        <v>1414</v>
      </c>
      <c r="L570" s="12" t="s">
        <v>1414</v>
      </c>
      <c r="M570" s="12" t="s">
        <v>1414</v>
      </c>
    </row>
    <row r="571" spans="1:13" ht="14.4" x14ac:dyDescent="0.3">
      <c r="A571" s="12" t="s">
        <v>8</v>
      </c>
      <c r="B571" s="12" t="s">
        <v>777</v>
      </c>
      <c r="C571" s="12" t="s">
        <v>1042</v>
      </c>
      <c r="D571" s="12" t="s">
        <v>1410</v>
      </c>
      <c r="E571" s="12" t="s">
        <v>4078</v>
      </c>
      <c r="F571" s="12" t="s">
        <v>4079</v>
      </c>
      <c r="G571" s="12" t="s">
        <v>4080</v>
      </c>
      <c r="H571" s="12" t="s">
        <v>1464</v>
      </c>
      <c r="I571" s="12" t="s">
        <v>1414</v>
      </c>
      <c r="J571" s="12" t="s">
        <v>1599</v>
      </c>
      <c r="K571" s="12" t="s">
        <v>3204</v>
      </c>
      <c r="L571" s="12" t="s">
        <v>1749</v>
      </c>
      <c r="M571" s="12" t="s">
        <v>1506</v>
      </c>
    </row>
    <row r="572" spans="1:13" ht="14.4" x14ac:dyDescent="0.3">
      <c r="A572" s="12" t="s">
        <v>8</v>
      </c>
      <c r="B572" s="12" t="s">
        <v>777</v>
      </c>
      <c r="C572" s="12" t="s">
        <v>1042</v>
      </c>
      <c r="D572" s="12" t="s">
        <v>1410</v>
      </c>
      <c r="E572" s="12" t="s">
        <v>4092</v>
      </c>
      <c r="F572" s="12" t="s">
        <v>4092</v>
      </c>
      <c r="G572" s="12" t="s">
        <v>4093</v>
      </c>
      <c r="H572" s="12" t="s">
        <v>1414</v>
      </c>
      <c r="I572" s="12" t="s">
        <v>1414</v>
      </c>
      <c r="J572" s="12" t="s">
        <v>1414</v>
      </c>
      <c r="K572" s="12" t="s">
        <v>1414</v>
      </c>
      <c r="L572" s="12" t="s">
        <v>1414</v>
      </c>
      <c r="M572" s="12" t="s">
        <v>1414</v>
      </c>
    </row>
    <row r="573" spans="1:13" ht="14.4" x14ac:dyDescent="0.3">
      <c r="A573" s="12" t="s">
        <v>25</v>
      </c>
      <c r="B573" s="12" t="s">
        <v>1044</v>
      </c>
      <c r="C573" s="12" t="s">
        <v>1043</v>
      </c>
      <c r="D573" s="12" t="s">
        <v>1410</v>
      </c>
      <c r="E573" s="12" t="s">
        <v>4017</v>
      </c>
      <c r="F573" s="12" t="s">
        <v>4018</v>
      </c>
      <c r="G573" s="12" t="s">
        <v>4019</v>
      </c>
      <c r="H573" s="12" t="s">
        <v>3240</v>
      </c>
      <c r="I573" s="12" t="s">
        <v>1506</v>
      </c>
      <c r="J573" s="12" t="s">
        <v>1551</v>
      </c>
      <c r="K573" s="12" t="s">
        <v>2018</v>
      </c>
      <c r="L573" s="12" t="s">
        <v>1551</v>
      </c>
      <c r="M573" s="12" t="s">
        <v>2018</v>
      </c>
    </row>
    <row r="574" spans="1:13" ht="14.4" x14ac:dyDescent="0.3">
      <c r="A574" s="12" t="s">
        <v>49</v>
      </c>
      <c r="B574" s="12" t="s">
        <v>1046</v>
      </c>
      <c r="C574" s="12" t="s">
        <v>1045</v>
      </c>
      <c r="D574" s="12" t="s">
        <v>1456</v>
      </c>
      <c r="E574" s="12" t="s">
        <v>6235</v>
      </c>
      <c r="F574" s="12" t="s">
        <v>1415</v>
      </c>
      <c r="G574" s="12" t="s">
        <v>1415</v>
      </c>
      <c r="H574" s="12" t="s">
        <v>1415</v>
      </c>
      <c r="I574" s="12" t="s">
        <v>2018</v>
      </c>
      <c r="J574" s="12" t="s">
        <v>1414</v>
      </c>
      <c r="K574" s="12" t="s">
        <v>1414</v>
      </c>
      <c r="L574" s="12" t="s">
        <v>1415</v>
      </c>
      <c r="M574" s="12" t="s">
        <v>1415</v>
      </c>
    </row>
    <row r="575" spans="1:13" ht="14.4" x14ac:dyDescent="0.3">
      <c r="A575" s="12" t="s">
        <v>16</v>
      </c>
      <c r="B575" s="12" t="s">
        <v>1048</v>
      </c>
      <c r="C575" s="12" t="s">
        <v>1047</v>
      </c>
      <c r="D575" s="12" t="s">
        <v>1410</v>
      </c>
      <c r="E575" s="12" t="s">
        <v>4216</v>
      </c>
      <c r="F575" s="12" t="s">
        <v>4217</v>
      </c>
      <c r="G575" s="12" t="s">
        <v>4218</v>
      </c>
      <c r="H575" s="12" t="s">
        <v>3411</v>
      </c>
      <c r="I575" s="12" t="s">
        <v>3204</v>
      </c>
      <c r="J575" s="12" t="s">
        <v>1599</v>
      </c>
      <c r="K575" s="12" t="s">
        <v>1599</v>
      </c>
      <c r="L575" s="12" t="s">
        <v>1551</v>
      </c>
      <c r="M575" s="12" t="s">
        <v>1599</v>
      </c>
    </row>
    <row r="576" spans="1:13" ht="14.4" x14ac:dyDescent="0.3">
      <c r="A576" s="12" t="s">
        <v>8</v>
      </c>
      <c r="B576" s="12" t="s">
        <v>1050</v>
      </c>
      <c r="C576" s="12" t="s">
        <v>1049</v>
      </c>
      <c r="D576" s="12" t="s">
        <v>1410</v>
      </c>
      <c r="E576" s="12" t="s">
        <v>4214</v>
      </c>
      <c r="F576" s="12" t="s">
        <v>4215</v>
      </c>
      <c r="G576" s="12" t="s">
        <v>2366</v>
      </c>
      <c r="H576" s="12" t="s">
        <v>1414</v>
      </c>
      <c r="I576" s="12" t="s">
        <v>1414</v>
      </c>
      <c r="J576" s="12" t="s">
        <v>1414</v>
      </c>
      <c r="K576" s="12" t="s">
        <v>1414</v>
      </c>
      <c r="L576" s="12" t="s">
        <v>1414</v>
      </c>
      <c r="M576" s="12" t="s">
        <v>1414</v>
      </c>
    </row>
    <row r="577" spans="1:13" ht="14.4" x14ac:dyDescent="0.3">
      <c r="A577" s="12" t="s">
        <v>8</v>
      </c>
      <c r="B577" s="12" t="s">
        <v>1050</v>
      </c>
      <c r="C577" s="12" t="s">
        <v>1049</v>
      </c>
      <c r="D577" s="12" t="s">
        <v>1410</v>
      </c>
      <c r="E577" s="12" t="s">
        <v>6232</v>
      </c>
      <c r="F577" s="12" t="s">
        <v>6236</v>
      </c>
      <c r="G577" s="12" t="s">
        <v>1842</v>
      </c>
      <c r="H577" s="12" t="s">
        <v>1414</v>
      </c>
      <c r="I577" s="12" t="s">
        <v>1414</v>
      </c>
      <c r="J577" s="12" t="s">
        <v>1414</v>
      </c>
      <c r="K577" s="12" t="s">
        <v>1414</v>
      </c>
      <c r="L577" s="12" t="s">
        <v>1414</v>
      </c>
      <c r="M577" s="12" t="s">
        <v>1414</v>
      </c>
    </row>
    <row r="578" spans="1:13" ht="14.4" x14ac:dyDescent="0.3">
      <c r="A578" s="12" t="s">
        <v>8</v>
      </c>
      <c r="B578" s="12" t="s">
        <v>1050</v>
      </c>
      <c r="C578" s="12" t="s">
        <v>1049</v>
      </c>
      <c r="D578" s="12" t="s">
        <v>1410</v>
      </c>
      <c r="E578" s="12" t="s">
        <v>6237</v>
      </c>
      <c r="F578" s="12" t="s">
        <v>6238</v>
      </c>
      <c r="G578" s="12" t="s">
        <v>1509</v>
      </c>
      <c r="H578" s="12" t="s">
        <v>3234</v>
      </c>
      <c r="I578" s="12" t="s">
        <v>2018</v>
      </c>
      <c r="J578" s="12" t="s">
        <v>1506</v>
      </c>
      <c r="K578" s="12" t="s">
        <v>2018</v>
      </c>
      <c r="L578" s="12" t="s">
        <v>1599</v>
      </c>
      <c r="M578" s="12" t="s">
        <v>1551</v>
      </c>
    </row>
    <row r="579" spans="1:13" ht="14.4" x14ac:dyDescent="0.3">
      <c r="A579" s="12" t="s">
        <v>19</v>
      </c>
      <c r="B579" s="12" t="s">
        <v>827</v>
      </c>
      <c r="C579" s="12" t="s">
        <v>1051</v>
      </c>
      <c r="D579" s="12" t="s">
        <v>1410</v>
      </c>
      <c r="E579" s="12" t="s">
        <v>4259</v>
      </c>
      <c r="F579" s="12" t="s">
        <v>4260</v>
      </c>
      <c r="G579" s="12" t="s">
        <v>3491</v>
      </c>
      <c r="H579" s="12" t="s">
        <v>3300</v>
      </c>
      <c r="I579" s="12" t="s">
        <v>1599</v>
      </c>
      <c r="J579" s="12" t="s">
        <v>1506</v>
      </c>
      <c r="K579" s="12" t="s">
        <v>3204</v>
      </c>
      <c r="L579" s="12" t="s">
        <v>2018</v>
      </c>
      <c r="M579" s="12" t="s">
        <v>1551</v>
      </c>
    </row>
    <row r="580" spans="1:13" ht="14.4" x14ac:dyDescent="0.3">
      <c r="A580" s="12" t="s">
        <v>49</v>
      </c>
      <c r="B580" s="12" t="s">
        <v>79</v>
      </c>
      <c r="C580" s="12" t="s">
        <v>1052</v>
      </c>
      <c r="D580" s="12" t="s">
        <v>1410</v>
      </c>
      <c r="E580" s="12" t="s">
        <v>6239</v>
      </c>
      <c r="F580" s="12" t="s">
        <v>6240</v>
      </c>
      <c r="G580" s="12" t="s">
        <v>4349</v>
      </c>
      <c r="H580" s="12" t="s">
        <v>1448</v>
      </c>
      <c r="I580" s="12" t="s">
        <v>1414</v>
      </c>
      <c r="J580" s="12" t="s">
        <v>1414</v>
      </c>
      <c r="K580" s="12" t="s">
        <v>1414</v>
      </c>
      <c r="L580" s="12" t="s">
        <v>2018</v>
      </c>
      <c r="M580" s="12" t="s">
        <v>2018</v>
      </c>
    </row>
    <row r="581" spans="1:13" ht="14.4" x14ac:dyDescent="0.3">
      <c r="A581" s="12" t="s">
        <v>11</v>
      </c>
      <c r="B581" s="12" t="s">
        <v>5685</v>
      </c>
      <c r="C581" s="12" t="s">
        <v>5686</v>
      </c>
      <c r="D581" s="12" t="s">
        <v>1410</v>
      </c>
      <c r="E581" s="12" t="s">
        <v>6109</v>
      </c>
      <c r="F581" s="12" t="s">
        <v>6241</v>
      </c>
      <c r="G581" s="12" t="s">
        <v>6242</v>
      </c>
      <c r="H581" s="12" t="s">
        <v>3240</v>
      </c>
      <c r="I581" s="12" t="s">
        <v>2018</v>
      </c>
      <c r="J581" s="12" t="s">
        <v>2018</v>
      </c>
      <c r="K581" s="12" t="s">
        <v>1506</v>
      </c>
      <c r="L581" s="12" t="s">
        <v>2018</v>
      </c>
      <c r="M581" s="12" t="s">
        <v>1599</v>
      </c>
    </row>
    <row r="582" spans="1:13" ht="14.4" x14ac:dyDescent="0.3">
      <c r="A582" s="12" t="s">
        <v>123</v>
      </c>
      <c r="B582" s="12" t="s">
        <v>1056</v>
      </c>
      <c r="C582" s="12" t="s">
        <v>1055</v>
      </c>
      <c r="D582" s="12" t="s">
        <v>1410</v>
      </c>
      <c r="E582" s="12" t="s">
        <v>4102</v>
      </c>
      <c r="F582" s="12" t="s">
        <v>4103</v>
      </c>
      <c r="G582" s="12" t="s">
        <v>3268</v>
      </c>
      <c r="H582" s="12" t="s">
        <v>1464</v>
      </c>
      <c r="I582" s="12" t="s">
        <v>1414</v>
      </c>
      <c r="J582" s="12" t="s">
        <v>1551</v>
      </c>
      <c r="K582" s="12" t="s">
        <v>1506</v>
      </c>
      <c r="L582" s="12" t="s">
        <v>1551</v>
      </c>
      <c r="M582" s="12" t="s">
        <v>1414</v>
      </c>
    </row>
    <row r="583" spans="1:13" ht="14.4" x14ac:dyDescent="0.3">
      <c r="A583" s="12" t="s">
        <v>123</v>
      </c>
      <c r="B583" s="12" t="s">
        <v>1056</v>
      </c>
      <c r="C583" s="12" t="s">
        <v>1055</v>
      </c>
      <c r="D583" s="12" t="s">
        <v>1410</v>
      </c>
      <c r="E583" s="12" t="s">
        <v>4103</v>
      </c>
      <c r="F583" s="12" t="s">
        <v>6243</v>
      </c>
      <c r="G583" s="12" t="s">
        <v>3268</v>
      </c>
      <c r="H583" s="12" t="s">
        <v>1414</v>
      </c>
      <c r="I583" s="12" t="s">
        <v>1414</v>
      </c>
      <c r="J583" s="12" t="s">
        <v>1414</v>
      </c>
      <c r="K583" s="12" t="s">
        <v>1414</v>
      </c>
      <c r="L583" s="12" t="s">
        <v>1414</v>
      </c>
      <c r="M583" s="12" t="s">
        <v>1414</v>
      </c>
    </row>
    <row r="584" spans="1:13" ht="15" customHeight="1" x14ac:dyDescent="0.3">
      <c r="A584" s="12" t="s">
        <v>49</v>
      </c>
      <c r="B584" s="12" t="s">
        <v>1063</v>
      </c>
      <c r="C584" s="12" t="s">
        <v>1062</v>
      </c>
      <c r="D584" s="12" t="s">
        <v>1410</v>
      </c>
      <c r="E584" s="12" t="s">
        <v>6244</v>
      </c>
      <c r="F584" s="12" t="s">
        <v>6245</v>
      </c>
      <c r="G584" s="12" t="s">
        <v>3268</v>
      </c>
      <c r="H584" s="12" t="s">
        <v>1414</v>
      </c>
      <c r="I584" s="12" t="s">
        <v>1414</v>
      </c>
      <c r="J584" s="12" t="s">
        <v>1414</v>
      </c>
      <c r="K584" s="12" t="s">
        <v>1414</v>
      </c>
      <c r="L584" s="12" t="s">
        <v>1414</v>
      </c>
      <c r="M584" s="12" t="s">
        <v>1414</v>
      </c>
    </row>
    <row r="585" spans="1:13" ht="15" customHeight="1" x14ac:dyDescent="0.3">
      <c r="A585" s="12" t="s">
        <v>49</v>
      </c>
      <c r="B585" s="12" t="s">
        <v>1063</v>
      </c>
      <c r="C585" s="12" t="s">
        <v>1062</v>
      </c>
      <c r="D585" s="12" t="s">
        <v>1410</v>
      </c>
      <c r="E585" s="12" t="s">
        <v>5681</v>
      </c>
      <c r="F585" s="12" t="s">
        <v>6194</v>
      </c>
      <c r="G585" s="12" t="s">
        <v>6246</v>
      </c>
      <c r="H585" s="12" t="s">
        <v>3210</v>
      </c>
      <c r="I585" s="12" t="s">
        <v>1599</v>
      </c>
      <c r="J585" s="12" t="s">
        <v>3204</v>
      </c>
      <c r="K585" s="12" t="s">
        <v>2018</v>
      </c>
      <c r="L585" s="12" t="s">
        <v>1551</v>
      </c>
      <c r="M585" s="12" t="s">
        <v>1551</v>
      </c>
    </row>
    <row r="586" spans="1:13" ht="15" customHeight="1" x14ac:dyDescent="0.3">
      <c r="A586" s="12" t="s">
        <v>31</v>
      </c>
      <c r="B586" s="12" t="s">
        <v>1065</v>
      </c>
      <c r="C586" s="12" t="s">
        <v>1064</v>
      </c>
      <c r="D586" s="12" t="s">
        <v>1410</v>
      </c>
      <c r="E586" s="12" t="s">
        <v>3650</v>
      </c>
      <c r="F586" s="12" t="s">
        <v>2334</v>
      </c>
      <c r="G586" s="12" t="s">
        <v>3651</v>
      </c>
      <c r="H586" s="12" t="s">
        <v>1599</v>
      </c>
      <c r="I586" s="12" t="s">
        <v>1599</v>
      </c>
      <c r="J586" s="12" t="s">
        <v>1414</v>
      </c>
      <c r="K586" s="12" t="s">
        <v>1414</v>
      </c>
      <c r="L586" s="12" t="s">
        <v>1414</v>
      </c>
      <c r="M586" s="12" t="s">
        <v>1414</v>
      </c>
    </row>
    <row r="587" spans="1:13" ht="15" customHeight="1" x14ac:dyDescent="0.3">
      <c r="A587" s="12" t="s">
        <v>31</v>
      </c>
      <c r="B587" s="12" t="s">
        <v>1065</v>
      </c>
      <c r="C587" s="12" t="s">
        <v>1064</v>
      </c>
      <c r="D587" s="12" t="s">
        <v>1456</v>
      </c>
      <c r="E587" s="12" t="s">
        <v>2726</v>
      </c>
      <c r="F587" s="12" t="s">
        <v>1415</v>
      </c>
      <c r="G587" s="12" t="s">
        <v>1415</v>
      </c>
      <c r="H587" s="12" t="s">
        <v>1415</v>
      </c>
      <c r="I587" s="12" t="s">
        <v>1415</v>
      </c>
      <c r="J587" s="12" t="s">
        <v>1415</v>
      </c>
      <c r="K587" s="12" t="s">
        <v>1415</v>
      </c>
      <c r="L587" s="12" t="s">
        <v>1415</v>
      </c>
      <c r="M587" s="12" t="s">
        <v>1415</v>
      </c>
    </row>
    <row r="588" spans="1:13" ht="15" customHeight="1" x14ac:dyDescent="0.3">
      <c r="A588" s="12" t="s">
        <v>1070</v>
      </c>
      <c r="B588" s="12" t="s">
        <v>1069</v>
      </c>
      <c r="C588" s="12" t="s">
        <v>1068</v>
      </c>
      <c r="D588" s="12" t="s">
        <v>1410</v>
      </c>
      <c r="E588" s="12" t="s">
        <v>6247</v>
      </c>
      <c r="F588" s="12" t="s">
        <v>6248</v>
      </c>
      <c r="G588" s="12" t="s">
        <v>6190</v>
      </c>
      <c r="H588" s="12" t="s">
        <v>3240</v>
      </c>
      <c r="I588" s="12" t="s">
        <v>1599</v>
      </c>
      <c r="J588" s="12" t="s">
        <v>1599</v>
      </c>
      <c r="K588" s="12" t="s">
        <v>1551</v>
      </c>
      <c r="L588" s="12" t="s">
        <v>2018</v>
      </c>
      <c r="M588" s="12" t="s">
        <v>2018</v>
      </c>
    </row>
    <row r="589" spans="1:13" ht="15" customHeight="1" x14ac:dyDescent="0.3">
      <c r="A589" s="12" t="s">
        <v>8</v>
      </c>
      <c r="B589" s="12" t="s">
        <v>1072</v>
      </c>
      <c r="C589" s="12" t="s">
        <v>1071</v>
      </c>
      <c r="D589" s="12" t="s">
        <v>1410</v>
      </c>
      <c r="E589" s="12" t="s">
        <v>3057</v>
      </c>
      <c r="F589" s="12" t="s">
        <v>3071</v>
      </c>
      <c r="G589" s="12" t="s">
        <v>4292</v>
      </c>
      <c r="H589" s="12" t="s">
        <v>3246</v>
      </c>
      <c r="I589" s="12" t="s">
        <v>1551</v>
      </c>
      <c r="J589" s="12" t="s">
        <v>2018</v>
      </c>
      <c r="K589" s="12" t="s">
        <v>1599</v>
      </c>
      <c r="L589" s="12" t="s">
        <v>1599</v>
      </c>
      <c r="M589" s="12" t="s">
        <v>1599</v>
      </c>
    </row>
    <row r="590" spans="1:13" ht="15" customHeight="1" x14ac:dyDescent="0.3">
      <c r="A590" s="12" t="s">
        <v>25</v>
      </c>
      <c r="B590" s="12" t="s">
        <v>1074</v>
      </c>
      <c r="C590" s="12" t="s">
        <v>1073</v>
      </c>
      <c r="D590" s="12" t="s">
        <v>1410</v>
      </c>
      <c r="E590" s="12" t="s">
        <v>1511</v>
      </c>
      <c r="F590" s="12" t="s">
        <v>3238</v>
      </c>
      <c r="G590" s="12" t="s">
        <v>3239</v>
      </c>
      <c r="H590" s="12" t="s">
        <v>3240</v>
      </c>
      <c r="I590" s="12" t="s">
        <v>1551</v>
      </c>
      <c r="J590" s="12" t="s">
        <v>1599</v>
      </c>
      <c r="K590" s="12" t="s">
        <v>2018</v>
      </c>
      <c r="L590" s="12" t="s">
        <v>1551</v>
      </c>
      <c r="M590" s="12" t="s">
        <v>1551</v>
      </c>
    </row>
    <row r="591" spans="1:13" ht="15" customHeight="1" x14ac:dyDescent="0.3">
      <c r="A591" s="12" t="s">
        <v>1077</v>
      </c>
      <c r="B591" s="12" t="s">
        <v>1076</v>
      </c>
      <c r="C591" s="12" t="s">
        <v>1075</v>
      </c>
      <c r="D591" s="12" t="s">
        <v>1410</v>
      </c>
      <c r="E591" s="12" t="s">
        <v>6249</v>
      </c>
      <c r="F591" s="12" t="s">
        <v>6250</v>
      </c>
      <c r="G591" s="12" t="s">
        <v>6251</v>
      </c>
      <c r="H591" s="12" t="s">
        <v>3439</v>
      </c>
      <c r="I591" s="12" t="s">
        <v>2018</v>
      </c>
      <c r="J591" s="12" t="s">
        <v>2018</v>
      </c>
      <c r="K591" s="12" t="s">
        <v>1551</v>
      </c>
      <c r="L591" s="12" t="s">
        <v>2018</v>
      </c>
      <c r="M591" s="12" t="s">
        <v>2018</v>
      </c>
    </row>
    <row r="592" spans="1:13" ht="15" customHeight="1" x14ac:dyDescent="0.3">
      <c r="A592" s="12" t="s">
        <v>8</v>
      </c>
      <c r="B592" s="12" t="s">
        <v>59</v>
      </c>
      <c r="C592" s="12" t="s">
        <v>1082</v>
      </c>
      <c r="D592" s="12" t="s">
        <v>1410</v>
      </c>
      <c r="E592" s="12" t="s">
        <v>6252</v>
      </c>
      <c r="F592" s="12" t="s">
        <v>6253</v>
      </c>
      <c r="G592" s="12" t="s">
        <v>3268</v>
      </c>
      <c r="H592" s="12" t="s">
        <v>1755</v>
      </c>
      <c r="I592" s="12" t="s">
        <v>1414</v>
      </c>
      <c r="J592" s="12" t="s">
        <v>1599</v>
      </c>
      <c r="K592" s="12" t="s">
        <v>1414</v>
      </c>
      <c r="L592" s="12" t="s">
        <v>1414</v>
      </c>
      <c r="M592" s="12" t="s">
        <v>1506</v>
      </c>
    </row>
    <row r="593" spans="1:13" ht="15" customHeight="1" x14ac:dyDescent="0.3">
      <c r="A593" s="12" t="s">
        <v>1085</v>
      </c>
      <c r="B593" s="12" t="s">
        <v>1084</v>
      </c>
      <c r="C593" s="12" t="s">
        <v>1083</v>
      </c>
      <c r="D593" s="12" t="s">
        <v>1410</v>
      </c>
      <c r="E593" s="12" t="s">
        <v>3888</v>
      </c>
      <c r="F593" s="12" t="s">
        <v>3889</v>
      </c>
      <c r="G593" s="12" t="s">
        <v>3890</v>
      </c>
      <c r="H593" s="12" t="s">
        <v>1785</v>
      </c>
      <c r="I593" s="12" t="s">
        <v>2062</v>
      </c>
      <c r="J593" s="12" t="s">
        <v>1414</v>
      </c>
      <c r="K593" s="12" t="s">
        <v>2062</v>
      </c>
      <c r="L593" s="12" t="s">
        <v>1414</v>
      </c>
      <c r="M593" s="12" t="s">
        <v>3214</v>
      </c>
    </row>
    <row r="594" spans="1:13" ht="15" customHeight="1" x14ac:dyDescent="0.3">
      <c r="A594" s="12" t="s">
        <v>123</v>
      </c>
      <c r="B594" s="12" t="s">
        <v>530</v>
      </c>
      <c r="C594" s="12" t="s">
        <v>1086</v>
      </c>
      <c r="D594" s="12" t="s">
        <v>1410</v>
      </c>
      <c r="E594" s="12" t="s">
        <v>3981</v>
      </c>
      <c r="F594" s="12" t="s">
        <v>3982</v>
      </c>
      <c r="G594" s="12" t="s">
        <v>3983</v>
      </c>
      <c r="H594" s="12" t="s">
        <v>3275</v>
      </c>
      <c r="I594" s="12" t="s">
        <v>3204</v>
      </c>
      <c r="J594" s="12" t="s">
        <v>1506</v>
      </c>
      <c r="K594" s="12" t="s">
        <v>2062</v>
      </c>
      <c r="L594" s="12" t="s">
        <v>2018</v>
      </c>
      <c r="M594" s="12" t="s">
        <v>1414</v>
      </c>
    </row>
    <row r="595" spans="1:13" ht="15" customHeight="1" x14ac:dyDescent="0.3">
      <c r="A595" s="12" t="s">
        <v>31</v>
      </c>
      <c r="B595" s="12" t="s">
        <v>1088</v>
      </c>
      <c r="C595" s="12" t="s">
        <v>1087</v>
      </c>
      <c r="D595" s="12" t="s">
        <v>1410</v>
      </c>
      <c r="E595" s="12" t="s">
        <v>3947</v>
      </c>
      <c r="F595" s="12" t="s">
        <v>3948</v>
      </c>
      <c r="G595" s="12" t="s">
        <v>3268</v>
      </c>
      <c r="H595" s="12" t="s">
        <v>1452</v>
      </c>
      <c r="I595" s="12" t="s">
        <v>1414</v>
      </c>
      <c r="J595" s="12" t="s">
        <v>1506</v>
      </c>
      <c r="K595" s="12" t="s">
        <v>1599</v>
      </c>
      <c r="L595" s="12" t="s">
        <v>1551</v>
      </c>
      <c r="M595" s="12" t="s">
        <v>1414</v>
      </c>
    </row>
    <row r="596" spans="1:13" ht="15" customHeight="1" x14ac:dyDescent="0.3">
      <c r="A596" s="12" t="s">
        <v>31</v>
      </c>
      <c r="B596" s="12" t="s">
        <v>1092</v>
      </c>
      <c r="C596" s="12" t="s">
        <v>1091</v>
      </c>
      <c r="D596" s="12" t="s">
        <v>1410</v>
      </c>
      <c r="E596" s="12" t="s">
        <v>3044</v>
      </c>
      <c r="F596" s="12" t="s">
        <v>3091</v>
      </c>
      <c r="G596" s="12" t="s">
        <v>3268</v>
      </c>
      <c r="H596" s="12" t="s">
        <v>1551</v>
      </c>
      <c r="I596" s="12" t="s">
        <v>1551</v>
      </c>
      <c r="J596" s="12" t="s">
        <v>1414</v>
      </c>
      <c r="K596" s="12" t="s">
        <v>1414</v>
      </c>
      <c r="L596" s="12" t="s">
        <v>1414</v>
      </c>
      <c r="M596" s="12" t="s">
        <v>1414</v>
      </c>
    </row>
    <row r="597" spans="1:13" ht="15" customHeight="1" x14ac:dyDescent="0.3">
      <c r="A597" s="12" t="s">
        <v>31</v>
      </c>
      <c r="B597" s="12" t="s">
        <v>1092</v>
      </c>
      <c r="C597" s="12" t="s">
        <v>1091</v>
      </c>
      <c r="D597" s="12" t="s">
        <v>1410</v>
      </c>
      <c r="E597" s="12" t="s">
        <v>3113</v>
      </c>
      <c r="F597" s="12" t="s">
        <v>6254</v>
      </c>
      <c r="G597" s="12" t="s">
        <v>3268</v>
      </c>
      <c r="H597" s="12" t="s">
        <v>1414</v>
      </c>
      <c r="I597" s="12" t="s">
        <v>1414</v>
      </c>
      <c r="J597" s="12" t="s">
        <v>1414</v>
      </c>
      <c r="K597" s="12" t="s">
        <v>1414</v>
      </c>
      <c r="L597" s="12" t="s">
        <v>1414</v>
      </c>
      <c r="M597" s="12" t="s">
        <v>1414</v>
      </c>
    </row>
    <row r="598" spans="1:13" ht="15" customHeight="1" x14ac:dyDescent="0.3">
      <c r="A598" s="12" t="s">
        <v>31</v>
      </c>
      <c r="B598" s="12" t="s">
        <v>1092</v>
      </c>
      <c r="C598" s="12" t="s">
        <v>1091</v>
      </c>
      <c r="D598" s="12" t="s">
        <v>1410</v>
      </c>
      <c r="E598" s="12" t="s">
        <v>6255</v>
      </c>
      <c r="F598" s="12" t="s">
        <v>6256</v>
      </c>
      <c r="G598" s="12" t="s">
        <v>6257</v>
      </c>
      <c r="H598" s="12" t="s">
        <v>3240</v>
      </c>
      <c r="I598" s="12" t="s">
        <v>2018</v>
      </c>
      <c r="J598" s="12" t="s">
        <v>1551</v>
      </c>
      <c r="K598" s="12" t="s">
        <v>2018</v>
      </c>
      <c r="L598" s="12" t="s">
        <v>1551</v>
      </c>
      <c r="M598" s="12" t="s">
        <v>1506</v>
      </c>
    </row>
    <row r="599" spans="1:13" ht="15" customHeight="1" x14ac:dyDescent="0.3">
      <c r="A599" s="12" t="s">
        <v>8</v>
      </c>
      <c r="B599" s="12" t="s">
        <v>1099</v>
      </c>
      <c r="C599" s="12" t="s">
        <v>1098</v>
      </c>
      <c r="D599" s="12" t="s">
        <v>1410</v>
      </c>
      <c r="E599" s="12" t="s">
        <v>4061</v>
      </c>
      <c r="F599" s="12" t="s">
        <v>4062</v>
      </c>
      <c r="G599" s="12" t="s">
        <v>3553</v>
      </c>
      <c r="H599" s="12" t="s">
        <v>3234</v>
      </c>
      <c r="I599" s="12" t="s">
        <v>1551</v>
      </c>
      <c r="J599" s="12" t="s">
        <v>1551</v>
      </c>
      <c r="K599" s="12" t="s">
        <v>1551</v>
      </c>
      <c r="L599" s="12" t="s">
        <v>2018</v>
      </c>
      <c r="M599" s="12" t="s">
        <v>1506</v>
      </c>
    </row>
    <row r="600" spans="1:13" ht="15" customHeight="1" x14ac:dyDescent="0.3">
      <c r="A600" s="12" t="s">
        <v>133</v>
      </c>
      <c r="B600" s="12" t="s">
        <v>1103</v>
      </c>
      <c r="C600" s="12" t="s">
        <v>1102</v>
      </c>
      <c r="D600" s="12" t="s">
        <v>1410</v>
      </c>
      <c r="E600" s="12" t="s">
        <v>4316</v>
      </c>
      <c r="F600" s="12" t="s">
        <v>4319</v>
      </c>
      <c r="G600" s="12" t="s">
        <v>4320</v>
      </c>
      <c r="H600" s="12" t="s">
        <v>3258</v>
      </c>
      <c r="I600" s="12" t="s">
        <v>1599</v>
      </c>
      <c r="J600" s="12" t="s">
        <v>2018</v>
      </c>
      <c r="K600" s="12" t="s">
        <v>1551</v>
      </c>
      <c r="L600" s="12" t="s">
        <v>2018</v>
      </c>
      <c r="M600" s="12" t="s">
        <v>2018</v>
      </c>
    </row>
    <row r="601" spans="1:13" ht="15" customHeight="1" x14ac:dyDescent="0.3">
      <c r="A601" s="12" t="s">
        <v>133</v>
      </c>
      <c r="B601" s="12" t="s">
        <v>1110</v>
      </c>
      <c r="C601" s="12" t="s">
        <v>1109</v>
      </c>
      <c r="D601" s="12" t="s">
        <v>1410</v>
      </c>
      <c r="E601" s="12" t="s">
        <v>6258</v>
      </c>
      <c r="F601" s="12" t="s">
        <v>6259</v>
      </c>
      <c r="G601" s="12" t="s">
        <v>3268</v>
      </c>
      <c r="H601" s="12" t="s">
        <v>1414</v>
      </c>
      <c r="I601" s="12" t="s">
        <v>1414</v>
      </c>
      <c r="J601" s="12" t="s">
        <v>1414</v>
      </c>
      <c r="K601" s="12" t="s">
        <v>1414</v>
      </c>
      <c r="L601" s="12" t="s">
        <v>1414</v>
      </c>
      <c r="M601" s="12" t="s">
        <v>1414</v>
      </c>
    </row>
    <row r="602" spans="1:13" ht="15" customHeight="1" x14ac:dyDescent="0.3">
      <c r="A602" s="12" t="s">
        <v>133</v>
      </c>
      <c r="B602" s="12" t="s">
        <v>1110</v>
      </c>
      <c r="C602" s="12" t="s">
        <v>1109</v>
      </c>
      <c r="D602" s="12" t="s">
        <v>1410</v>
      </c>
      <c r="E602" s="12" t="s">
        <v>6260</v>
      </c>
      <c r="F602" s="12" t="s">
        <v>6261</v>
      </c>
      <c r="G602" s="12" t="s">
        <v>6262</v>
      </c>
      <c r="H602" s="12" t="s">
        <v>3223</v>
      </c>
      <c r="I602" s="12" t="s">
        <v>1599</v>
      </c>
      <c r="J602" s="12" t="s">
        <v>2018</v>
      </c>
      <c r="K602" s="12" t="s">
        <v>1599</v>
      </c>
      <c r="L602" s="12" t="s">
        <v>2018</v>
      </c>
      <c r="M602" s="12" t="s">
        <v>2018</v>
      </c>
    </row>
    <row r="603" spans="1:13" ht="15" customHeight="1" x14ac:dyDescent="0.3">
      <c r="A603" s="12" t="s">
        <v>25</v>
      </c>
      <c r="B603" s="12" t="s">
        <v>1118</v>
      </c>
      <c r="C603" s="12" t="s">
        <v>1117</v>
      </c>
      <c r="D603" s="12" t="s">
        <v>1410</v>
      </c>
      <c r="E603" s="12" t="s">
        <v>3495</v>
      </c>
      <c r="F603" s="12" t="s">
        <v>2164</v>
      </c>
      <c r="G603" s="12" t="s">
        <v>3496</v>
      </c>
      <c r="H603" s="12" t="s">
        <v>3311</v>
      </c>
      <c r="I603" s="12" t="s">
        <v>3204</v>
      </c>
      <c r="J603" s="12" t="s">
        <v>3204</v>
      </c>
      <c r="K603" s="12" t="s">
        <v>2018</v>
      </c>
      <c r="L603" s="12" t="s">
        <v>1599</v>
      </c>
      <c r="M603" s="12" t="s">
        <v>1749</v>
      </c>
    </row>
    <row r="604" spans="1:13" ht="15" customHeight="1" x14ac:dyDescent="0.3">
      <c r="A604" s="12" t="s">
        <v>49</v>
      </c>
      <c r="B604" s="12" t="s">
        <v>1122</v>
      </c>
      <c r="C604" s="12" t="s">
        <v>1121</v>
      </c>
      <c r="D604" s="12" t="s">
        <v>1410</v>
      </c>
      <c r="E604" s="12" t="s">
        <v>2128</v>
      </c>
      <c r="F604" s="12" t="s">
        <v>3497</v>
      </c>
      <c r="G604" s="12" t="s">
        <v>3498</v>
      </c>
      <c r="H604" s="12" t="s">
        <v>3294</v>
      </c>
      <c r="I604" s="12" t="s">
        <v>2062</v>
      </c>
      <c r="J604" s="12" t="s">
        <v>1551</v>
      </c>
      <c r="K604" s="12" t="s">
        <v>1551</v>
      </c>
      <c r="L604" s="12" t="s">
        <v>2018</v>
      </c>
      <c r="M604" s="12" t="s">
        <v>1749</v>
      </c>
    </row>
    <row r="605" spans="1:13" ht="15" customHeight="1" x14ac:dyDescent="0.3">
      <c r="A605" s="12" t="s">
        <v>31</v>
      </c>
      <c r="B605" s="12" t="s">
        <v>1124</v>
      </c>
      <c r="C605" s="12" t="s">
        <v>1123</v>
      </c>
      <c r="D605" s="12" t="s">
        <v>1410</v>
      </c>
      <c r="E605" s="12" t="s">
        <v>4036</v>
      </c>
      <c r="F605" s="12" t="s">
        <v>4037</v>
      </c>
      <c r="G605" s="12" t="s">
        <v>4038</v>
      </c>
      <c r="H605" s="12" t="s">
        <v>3246</v>
      </c>
      <c r="I605" s="12" t="s">
        <v>3204</v>
      </c>
      <c r="J605" s="12" t="s">
        <v>2018</v>
      </c>
      <c r="K605" s="12" t="s">
        <v>1506</v>
      </c>
      <c r="L605" s="12" t="s">
        <v>2018</v>
      </c>
      <c r="M605" s="12" t="s">
        <v>2018</v>
      </c>
    </row>
    <row r="606" spans="1:13" ht="15" customHeight="1" x14ac:dyDescent="0.3">
      <c r="A606" s="12" t="s">
        <v>1127</v>
      </c>
      <c r="B606" s="12" t="s">
        <v>1126</v>
      </c>
      <c r="C606" s="12" t="s">
        <v>1125</v>
      </c>
      <c r="D606" s="12" t="s">
        <v>1410</v>
      </c>
      <c r="E606" s="12" t="s">
        <v>3374</v>
      </c>
      <c r="F606" s="12" t="s">
        <v>3375</v>
      </c>
      <c r="G606" s="12" t="s">
        <v>1729</v>
      </c>
      <c r="H606" s="12" t="s">
        <v>3258</v>
      </c>
      <c r="I606" s="12" t="s">
        <v>1599</v>
      </c>
      <c r="J606" s="12" t="s">
        <v>1551</v>
      </c>
      <c r="K606" s="12" t="s">
        <v>2018</v>
      </c>
      <c r="L606" s="12" t="s">
        <v>2018</v>
      </c>
      <c r="M606" s="12" t="s">
        <v>2018</v>
      </c>
    </row>
    <row r="607" spans="1:13" ht="15" customHeight="1" x14ac:dyDescent="0.3">
      <c r="A607" s="12" t="s">
        <v>126</v>
      </c>
      <c r="B607" s="12" t="s">
        <v>1131</v>
      </c>
      <c r="C607" s="12" t="s">
        <v>1130</v>
      </c>
      <c r="D607" s="12" t="s">
        <v>1410</v>
      </c>
      <c r="E607" s="12" t="s">
        <v>6263</v>
      </c>
      <c r="F607" s="12" t="s">
        <v>6264</v>
      </c>
      <c r="G607" s="12" t="s">
        <v>6265</v>
      </c>
      <c r="H607" s="12" t="s">
        <v>3246</v>
      </c>
      <c r="I607" s="12" t="s">
        <v>1506</v>
      </c>
      <c r="J607" s="12" t="s">
        <v>1551</v>
      </c>
      <c r="K607" s="12" t="s">
        <v>1506</v>
      </c>
      <c r="L607" s="12" t="s">
        <v>2018</v>
      </c>
      <c r="M607" s="12" t="s">
        <v>2018</v>
      </c>
    </row>
    <row r="608" spans="1:13" ht="15" customHeight="1" x14ac:dyDescent="0.3">
      <c r="A608" s="12" t="s">
        <v>1134</v>
      </c>
      <c r="B608" s="12" t="s">
        <v>1133</v>
      </c>
      <c r="C608" s="12" t="s">
        <v>1132</v>
      </c>
      <c r="D608" s="12" t="s">
        <v>1410</v>
      </c>
      <c r="E608" s="12" t="s">
        <v>3812</v>
      </c>
      <c r="F608" s="12" t="s">
        <v>3813</v>
      </c>
      <c r="G608" s="12" t="s">
        <v>3814</v>
      </c>
      <c r="H608" s="12" t="s">
        <v>3269</v>
      </c>
      <c r="I608" s="12" t="s">
        <v>1414</v>
      </c>
      <c r="J608" s="12" t="s">
        <v>1599</v>
      </c>
      <c r="K608" s="12" t="s">
        <v>1551</v>
      </c>
      <c r="L608" s="12" t="s">
        <v>1551</v>
      </c>
      <c r="M608" s="12" t="s">
        <v>3204</v>
      </c>
    </row>
    <row r="609" spans="1:13" ht="15" customHeight="1" x14ac:dyDescent="0.3">
      <c r="A609" s="12" t="s">
        <v>939</v>
      </c>
      <c r="B609" s="12" t="s">
        <v>1136</v>
      </c>
      <c r="C609" s="12" t="s">
        <v>1135</v>
      </c>
      <c r="D609" s="12" t="s">
        <v>1410</v>
      </c>
      <c r="E609" s="12" t="s">
        <v>6266</v>
      </c>
      <c r="F609" s="12" t="s">
        <v>6267</v>
      </c>
      <c r="G609" s="12" t="s">
        <v>2365</v>
      </c>
      <c r="H609" s="12" t="s">
        <v>3223</v>
      </c>
      <c r="I609" s="12" t="s">
        <v>1551</v>
      </c>
      <c r="J609" s="12" t="s">
        <v>1599</v>
      </c>
      <c r="K609" s="12" t="s">
        <v>1551</v>
      </c>
      <c r="L609" s="12" t="s">
        <v>2018</v>
      </c>
      <c r="M609" s="12" t="s">
        <v>2018</v>
      </c>
    </row>
    <row r="610" spans="1:13" ht="15" customHeight="1" x14ac:dyDescent="0.3">
      <c r="A610" s="12" t="s">
        <v>19</v>
      </c>
      <c r="B610" s="12" t="s">
        <v>1147</v>
      </c>
      <c r="C610" s="12" t="s">
        <v>1146</v>
      </c>
      <c r="D610" s="12" t="s">
        <v>1410</v>
      </c>
      <c r="E610" s="12" t="s">
        <v>6268</v>
      </c>
      <c r="F610" s="12" t="s">
        <v>6269</v>
      </c>
      <c r="G610" s="12" t="s">
        <v>6270</v>
      </c>
      <c r="H610" s="12" t="s">
        <v>3234</v>
      </c>
      <c r="I610" s="12" t="s">
        <v>1551</v>
      </c>
      <c r="J610" s="12" t="s">
        <v>1599</v>
      </c>
      <c r="K610" s="12" t="s">
        <v>1599</v>
      </c>
      <c r="L610" s="12" t="s">
        <v>1551</v>
      </c>
      <c r="M610" s="12" t="s">
        <v>2018</v>
      </c>
    </row>
    <row r="611" spans="1:13" ht="15" customHeight="1" x14ac:dyDescent="0.3">
      <c r="A611" s="12" t="s">
        <v>794</v>
      </c>
      <c r="B611" s="12" t="s">
        <v>436</v>
      </c>
      <c r="C611" s="12" t="s">
        <v>1148</v>
      </c>
      <c r="D611" s="12" t="s">
        <v>1410</v>
      </c>
      <c r="E611" s="12" t="s">
        <v>2500</v>
      </c>
      <c r="F611" s="12" t="s">
        <v>2510</v>
      </c>
      <c r="G611" s="12" t="s">
        <v>2752</v>
      </c>
      <c r="H611" s="12" t="s">
        <v>3234</v>
      </c>
      <c r="I611" s="12" t="s">
        <v>2018</v>
      </c>
      <c r="J611" s="12" t="s">
        <v>1506</v>
      </c>
      <c r="K611" s="12" t="s">
        <v>1551</v>
      </c>
      <c r="L611" s="12" t="s">
        <v>1551</v>
      </c>
      <c r="M611" s="12" t="s">
        <v>1551</v>
      </c>
    </row>
    <row r="612" spans="1:13" ht="15" customHeight="1" x14ac:dyDescent="0.3">
      <c r="A612" s="12" t="s">
        <v>8</v>
      </c>
      <c r="B612" s="12" t="s">
        <v>1150</v>
      </c>
      <c r="C612" s="12" t="s">
        <v>1149</v>
      </c>
      <c r="D612" s="12" t="s">
        <v>1410</v>
      </c>
      <c r="E612" s="12" t="s">
        <v>4264</v>
      </c>
      <c r="F612" s="12" t="s">
        <v>4265</v>
      </c>
      <c r="G612" s="12" t="s">
        <v>4266</v>
      </c>
      <c r="H612" s="12" t="s">
        <v>3269</v>
      </c>
      <c r="I612" s="12" t="s">
        <v>2062</v>
      </c>
      <c r="J612" s="12" t="s">
        <v>2062</v>
      </c>
      <c r="K612" s="12" t="s">
        <v>1506</v>
      </c>
      <c r="L612" s="12" t="s">
        <v>1551</v>
      </c>
      <c r="M612" s="12" t="s">
        <v>3204</v>
      </c>
    </row>
    <row r="613" spans="1:13" ht="15" customHeight="1" x14ac:dyDescent="0.3">
      <c r="A613" s="12" t="s">
        <v>25</v>
      </c>
      <c r="B613" s="12" t="s">
        <v>1152</v>
      </c>
      <c r="C613" s="12" t="s">
        <v>1151</v>
      </c>
      <c r="D613" s="12" t="s">
        <v>1410</v>
      </c>
      <c r="E613" s="12" t="s">
        <v>4370</v>
      </c>
      <c r="F613" s="12" t="s">
        <v>4371</v>
      </c>
      <c r="G613" s="12" t="s">
        <v>4372</v>
      </c>
      <c r="H613" s="12" t="s">
        <v>3240</v>
      </c>
      <c r="I613" s="12" t="s">
        <v>1551</v>
      </c>
      <c r="J613" s="12" t="s">
        <v>1599</v>
      </c>
      <c r="K613" s="12" t="s">
        <v>1599</v>
      </c>
      <c r="L613" s="12" t="s">
        <v>2018</v>
      </c>
      <c r="M613" s="12" t="s">
        <v>2018</v>
      </c>
    </row>
    <row r="614" spans="1:13" ht="15" customHeight="1" x14ac:dyDescent="0.3">
      <c r="A614" s="12" t="s">
        <v>170</v>
      </c>
      <c r="B614" s="12" t="s">
        <v>1154</v>
      </c>
      <c r="C614" s="12" t="s">
        <v>1153</v>
      </c>
      <c r="D614" s="12" t="s">
        <v>1410</v>
      </c>
      <c r="E614" s="12" t="s">
        <v>1442</v>
      </c>
      <c r="F614" s="12" t="s">
        <v>3205</v>
      </c>
      <c r="G614" s="12" t="s">
        <v>3206</v>
      </c>
      <c r="H614" s="12" t="s">
        <v>3207</v>
      </c>
      <c r="I614" s="12" t="s">
        <v>1749</v>
      </c>
      <c r="J614" s="12" t="s">
        <v>1506</v>
      </c>
      <c r="K614" s="12" t="s">
        <v>1599</v>
      </c>
      <c r="L614" s="12" t="s">
        <v>1551</v>
      </c>
      <c r="M614" s="12" t="s">
        <v>1506</v>
      </c>
    </row>
    <row r="615" spans="1:13" ht="15" customHeight="1" x14ac:dyDescent="0.3">
      <c r="A615" s="12" t="s">
        <v>8</v>
      </c>
      <c r="B615" s="12" t="s">
        <v>1156</v>
      </c>
      <c r="C615" s="12" t="s">
        <v>1155</v>
      </c>
      <c r="D615" s="12" t="s">
        <v>1410</v>
      </c>
      <c r="E615" s="12" t="s">
        <v>2994</v>
      </c>
      <c r="F615" s="12" t="s">
        <v>2997</v>
      </c>
      <c r="G615" s="12" t="s">
        <v>2443</v>
      </c>
      <c r="H615" s="12" t="s">
        <v>3246</v>
      </c>
      <c r="I615" s="12" t="s">
        <v>1599</v>
      </c>
      <c r="J615" s="12" t="s">
        <v>1599</v>
      </c>
      <c r="K615" s="12" t="s">
        <v>2018</v>
      </c>
      <c r="L615" s="12" t="s">
        <v>1506</v>
      </c>
      <c r="M615" s="12" t="s">
        <v>2018</v>
      </c>
    </row>
    <row r="616" spans="1:13" ht="15" customHeight="1" x14ac:dyDescent="0.3">
      <c r="A616" s="12" t="s">
        <v>547</v>
      </c>
      <c r="B616" s="12" t="s">
        <v>1158</v>
      </c>
      <c r="C616" s="12" t="s">
        <v>1157</v>
      </c>
      <c r="D616" s="12" t="s">
        <v>1410</v>
      </c>
      <c r="E616" s="12" t="s">
        <v>6271</v>
      </c>
      <c r="F616" s="12" t="s">
        <v>6272</v>
      </c>
      <c r="G616" s="12" t="s">
        <v>1725</v>
      </c>
      <c r="H616" s="12" t="s">
        <v>3203</v>
      </c>
      <c r="I616" s="12" t="s">
        <v>1599</v>
      </c>
      <c r="J616" s="12" t="s">
        <v>2018</v>
      </c>
      <c r="K616" s="12" t="s">
        <v>1599</v>
      </c>
      <c r="L616" s="12" t="s">
        <v>1599</v>
      </c>
      <c r="M616" s="12" t="s">
        <v>1506</v>
      </c>
    </row>
    <row r="617" spans="1:13" ht="15" customHeight="1" x14ac:dyDescent="0.3">
      <c r="A617" s="12" t="s">
        <v>8</v>
      </c>
      <c r="B617" s="12" t="s">
        <v>1160</v>
      </c>
      <c r="C617" s="12" t="s">
        <v>1159</v>
      </c>
      <c r="D617" s="12" t="s">
        <v>1410</v>
      </c>
      <c r="E617" s="12" t="s">
        <v>3078</v>
      </c>
      <c r="F617" s="12" t="s">
        <v>4297</v>
      </c>
      <c r="G617" s="12" t="s">
        <v>4298</v>
      </c>
      <c r="H617" s="12" t="s">
        <v>3385</v>
      </c>
      <c r="I617" s="12" t="s">
        <v>1506</v>
      </c>
      <c r="J617" s="12" t="s">
        <v>3204</v>
      </c>
      <c r="K617" s="12" t="s">
        <v>1551</v>
      </c>
      <c r="L617" s="12" t="s">
        <v>1551</v>
      </c>
      <c r="M617" s="12" t="s">
        <v>2435</v>
      </c>
    </row>
    <row r="618" spans="1:13" ht="15" customHeight="1" x14ac:dyDescent="0.3">
      <c r="A618" s="12" t="s">
        <v>8</v>
      </c>
      <c r="B618" s="12" t="s">
        <v>1160</v>
      </c>
      <c r="C618" s="12" t="s">
        <v>1159</v>
      </c>
      <c r="D618" s="12" t="s">
        <v>1410</v>
      </c>
      <c r="E618" s="12" t="s">
        <v>3124</v>
      </c>
      <c r="F618" s="12" t="s">
        <v>3116</v>
      </c>
      <c r="G618" s="12" t="s">
        <v>2666</v>
      </c>
      <c r="H618" s="12" t="s">
        <v>3240</v>
      </c>
      <c r="I618" s="12" t="s">
        <v>2018</v>
      </c>
      <c r="J618" s="12" t="s">
        <v>1599</v>
      </c>
      <c r="K618" s="12" t="s">
        <v>1599</v>
      </c>
      <c r="L618" s="12" t="s">
        <v>1551</v>
      </c>
      <c r="M618" s="12" t="s">
        <v>2018</v>
      </c>
    </row>
    <row r="619" spans="1:13" ht="15" customHeight="1" x14ac:dyDescent="0.3">
      <c r="A619" s="12" t="s">
        <v>16</v>
      </c>
      <c r="B619" s="12" t="s">
        <v>1162</v>
      </c>
      <c r="C619" s="12" t="s">
        <v>1161</v>
      </c>
      <c r="D619" s="12" t="s">
        <v>1410</v>
      </c>
      <c r="E619" s="12" t="s">
        <v>4317</v>
      </c>
      <c r="F619" s="12" t="s">
        <v>4333</v>
      </c>
      <c r="G619" s="12" t="s">
        <v>1548</v>
      </c>
      <c r="H619" s="12" t="s">
        <v>3210</v>
      </c>
      <c r="I619" s="12" t="s">
        <v>2062</v>
      </c>
      <c r="J619" s="12" t="s">
        <v>2018</v>
      </c>
      <c r="K619" s="12" t="s">
        <v>1551</v>
      </c>
      <c r="L619" s="12" t="s">
        <v>1551</v>
      </c>
      <c r="M619" s="12" t="s">
        <v>1551</v>
      </c>
    </row>
    <row r="620" spans="1:13" ht="15" customHeight="1" x14ac:dyDescent="0.3">
      <c r="A620" s="12" t="s">
        <v>25</v>
      </c>
      <c r="B620" s="12" t="s">
        <v>1164</v>
      </c>
      <c r="C620" s="12" t="s">
        <v>1163</v>
      </c>
      <c r="D620" s="12" t="s">
        <v>1410</v>
      </c>
      <c r="E620" s="12" t="s">
        <v>3228</v>
      </c>
      <c r="F620" s="12" t="s">
        <v>3229</v>
      </c>
      <c r="G620" s="12" t="s">
        <v>3230</v>
      </c>
      <c r="H620" s="12" t="s">
        <v>3207</v>
      </c>
      <c r="I620" s="12" t="s">
        <v>2062</v>
      </c>
      <c r="J620" s="12" t="s">
        <v>1506</v>
      </c>
      <c r="K620" s="12" t="s">
        <v>3204</v>
      </c>
      <c r="L620" s="12" t="s">
        <v>1599</v>
      </c>
      <c r="M620" s="12" t="s">
        <v>1551</v>
      </c>
    </row>
    <row r="621" spans="1:13" ht="15" customHeight="1" x14ac:dyDescent="0.3">
      <c r="A621" s="12" t="s">
        <v>16</v>
      </c>
      <c r="B621" s="12" t="s">
        <v>5512</v>
      </c>
      <c r="C621" s="12" t="s">
        <v>5513</v>
      </c>
      <c r="D621" s="12" t="s">
        <v>1410</v>
      </c>
      <c r="E621" s="12" t="s">
        <v>6273</v>
      </c>
      <c r="F621" s="12" t="s">
        <v>6274</v>
      </c>
      <c r="G621" s="12" t="s">
        <v>6275</v>
      </c>
      <c r="H621" s="12" t="s">
        <v>1506</v>
      </c>
      <c r="I621" s="12" t="s">
        <v>1506</v>
      </c>
      <c r="J621" s="12" t="s">
        <v>1414</v>
      </c>
      <c r="K621" s="12" t="s">
        <v>1414</v>
      </c>
      <c r="L621" s="12" t="s">
        <v>1414</v>
      </c>
      <c r="M621" s="12" t="s">
        <v>1414</v>
      </c>
    </row>
    <row r="622" spans="1:13" ht="15" customHeight="1" x14ac:dyDescent="0.3">
      <c r="A622" s="12" t="s">
        <v>80</v>
      </c>
      <c r="B622" s="12" t="s">
        <v>468</v>
      </c>
      <c r="C622" s="12" t="s">
        <v>1165</v>
      </c>
      <c r="D622" s="12" t="s">
        <v>1410</v>
      </c>
      <c r="E622" s="12" t="s">
        <v>3465</v>
      </c>
      <c r="F622" s="12" t="s">
        <v>2003</v>
      </c>
      <c r="G622" s="12" t="s">
        <v>3367</v>
      </c>
      <c r="H622" s="12" t="s">
        <v>3311</v>
      </c>
      <c r="I622" s="12" t="s">
        <v>3204</v>
      </c>
      <c r="J622" s="12" t="s">
        <v>1551</v>
      </c>
      <c r="K622" s="12" t="s">
        <v>1749</v>
      </c>
      <c r="L622" s="12" t="s">
        <v>1506</v>
      </c>
      <c r="M622" s="12" t="s">
        <v>1599</v>
      </c>
    </row>
    <row r="623" spans="1:13" ht="15" customHeight="1" x14ac:dyDescent="0.3">
      <c r="A623" s="12" t="s">
        <v>31</v>
      </c>
      <c r="B623" s="12" t="s">
        <v>470</v>
      </c>
      <c r="C623" s="12" t="s">
        <v>5517</v>
      </c>
      <c r="D623" s="12" t="s">
        <v>1410</v>
      </c>
      <c r="E623" s="12" t="s">
        <v>6276</v>
      </c>
      <c r="F623" s="12" t="s">
        <v>6277</v>
      </c>
      <c r="G623" s="12" t="s">
        <v>6278</v>
      </c>
      <c r="H623" s="12" t="s">
        <v>3269</v>
      </c>
      <c r="I623" s="12" t="s">
        <v>1506</v>
      </c>
      <c r="J623" s="12" t="s">
        <v>1551</v>
      </c>
      <c r="K623" s="12" t="s">
        <v>3204</v>
      </c>
      <c r="L623" s="12" t="s">
        <v>2018</v>
      </c>
      <c r="M623" s="12" t="s">
        <v>1414</v>
      </c>
    </row>
    <row r="624" spans="1:13" ht="15" customHeight="1" x14ac:dyDescent="0.3">
      <c r="A624" s="12" t="s">
        <v>11</v>
      </c>
      <c r="B624" s="12" t="s">
        <v>5524</v>
      </c>
      <c r="C624" s="12" t="s">
        <v>5525</v>
      </c>
      <c r="D624" s="12" t="s">
        <v>1410</v>
      </c>
      <c r="E624" s="12" t="s">
        <v>5514</v>
      </c>
      <c r="F624" s="12" t="s">
        <v>5841</v>
      </c>
      <c r="G624" s="12" t="s">
        <v>6279</v>
      </c>
      <c r="H624" s="12" t="s">
        <v>3294</v>
      </c>
      <c r="I624" s="12" t="s">
        <v>1749</v>
      </c>
      <c r="J624" s="12" t="s">
        <v>1599</v>
      </c>
      <c r="K624" s="12" t="s">
        <v>3204</v>
      </c>
      <c r="L624" s="12" t="s">
        <v>1551</v>
      </c>
      <c r="M624" s="12" t="s">
        <v>2018</v>
      </c>
    </row>
    <row r="625" spans="1:13" ht="15" customHeight="1" x14ac:dyDescent="0.3">
      <c r="A625" s="12" t="s">
        <v>8</v>
      </c>
      <c r="B625" s="12" t="s">
        <v>1167</v>
      </c>
      <c r="C625" s="12" t="s">
        <v>1166</v>
      </c>
      <c r="D625" s="12" t="s">
        <v>1410</v>
      </c>
      <c r="E625" s="12" t="s">
        <v>1983</v>
      </c>
      <c r="F625" s="12" t="s">
        <v>3458</v>
      </c>
      <c r="G625" s="12" t="s">
        <v>2132</v>
      </c>
      <c r="H625" s="12" t="s">
        <v>3240</v>
      </c>
      <c r="I625" s="12" t="s">
        <v>1506</v>
      </c>
      <c r="J625" s="12" t="s">
        <v>2018</v>
      </c>
      <c r="K625" s="12" t="s">
        <v>2018</v>
      </c>
      <c r="L625" s="12" t="s">
        <v>1551</v>
      </c>
      <c r="M625" s="12" t="s">
        <v>1551</v>
      </c>
    </row>
    <row r="626" spans="1:13" ht="15" customHeight="1" x14ac:dyDescent="0.3">
      <c r="A626" s="12" t="s">
        <v>16</v>
      </c>
      <c r="B626" s="12" t="s">
        <v>1169</v>
      </c>
      <c r="C626" s="12" t="s">
        <v>1168</v>
      </c>
      <c r="D626" s="12" t="s">
        <v>1410</v>
      </c>
      <c r="E626" s="12" t="s">
        <v>3112</v>
      </c>
      <c r="F626" s="12" t="s">
        <v>4333</v>
      </c>
      <c r="G626" s="12" t="s">
        <v>3781</v>
      </c>
      <c r="H626" s="12" t="s">
        <v>3210</v>
      </c>
      <c r="I626" s="12" t="s">
        <v>1599</v>
      </c>
      <c r="J626" s="12" t="s">
        <v>1506</v>
      </c>
      <c r="K626" s="12" t="s">
        <v>1551</v>
      </c>
      <c r="L626" s="12" t="s">
        <v>2018</v>
      </c>
      <c r="M626" s="12" t="s">
        <v>1599</v>
      </c>
    </row>
    <row r="627" spans="1:13" ht="15" customHeight="1" x14ac:dyDescent="0.3">
      <c r="A627" s="12" t="s">
        <v>8</v>
      </c>
      <c r="B627" s="12" t="s">
        <v>5533</v>
      </c>
      <c r="C627" s="12" t="s">
        <v>5534</v>
      </c>
      <c r="D627" s="12" t="s">
        <v>1410</v>
      </c>
      <c r="E627" s="12" t="s">
        <v>6280</v>
      </c>
      <c r="F627" s="12" t="s">
        <v>6269</v>
      </c>
      <c r="G627" s="12" t="s">
        <v>6281</v>
      </c>
      <c r="H627" s="12" t="s">
        <v>3411</v>
      </c>
      <c r="I627" s="12" t="s">
        <v>3204</v>
      </c>
      <c r="J627" s="12" t="s">
        <v>2018</v>
      </c>
      <c r="K627" s="12" t="s">
        <v>1749</v>
      </c>
      <c r="L627" s="12" t="s">
        <v>2018</v>
      </c>
      <c r="M627" s="12" t="s">
        <v>1551</v>
      </c>
    </row>
    <row r="628" spans="1:13" ht="15" customHeight="1" x14ac:dyDescent="0.3">
      <c r="A628" s="12" t="s">
        <v>8</v>
      </c>
      <c r="B628" s="12" t="s">
        <v>5541</v>
      </c>
      <c r="C628" s="12" t="s">
        <v>5542</v>
      </c>
      <c r="D628" s="12" t="s">
        <v>1410</v>
      </c>
      <c r="E628" s="12" t="s">
        <v>6282</v>
      </c>
      <c r="F628" s="12" t="s">
        <v>6283</v>
      </c>
      <c r="G628" s="12" t="s">
        <v>6284</v>
      </c>
      <c r="H628" s="12" t="s">
        <v>3218</v>
      </c>
      <c r="I628" s="12" t="s">
        <v>1551</v>
      </c>
      <c r="J628" s="12" t="s">
        <v>2062</v>
      </c>
      <c r="K628" s="12" t="s">
        <v>1551</v>
      </c>
      <c r="L628" s="12" t="s">
        <v>1599</v>
      </c>
      <c r="M628" s="12" t="s">
        <v>1506</v>
      </c>
    </row>
    <row r="629" spans="1:13" ht="15" customHeight="1" x14ac:dyDescent="0.3">
      <c r="A629" s="12" t="s">
        <v>25</v>
      </c>
      <c r="B629" s="12" t="s">
        <v>5545</v>
      </c>
      <c r="C629" s="12" t="s">
        <v>5546</v>
      </c>
      <c r="D629" s="12" t="s">
        <v>1410</v>
      </c>
      <c r="E629" s="12" t="s">
        <v>6285</v>
      </c>
      <c r="F629" s="12" t="s">
        <v>6286</v>
      </c>
      <c r="G629" s="12" t="s">
        <v>6287</v>
      </c>
      <c r="H629" s="12" t="s">
        <v>1414</v>
      </c>
      <c r="I629" s="12" t="s">
        <v>1414</v>
      </c>
      <c r="J629" s="12" t="s">
        <v>1414</v>
      </c>
      <c r="K629" s="12" t="s">
        <v>1414</v>
      </c>
      <c r="L629" s="12" t="s">
        <v>1414</v>
      </c>
      <c r="M629" s="12" t="s">
        <v>1414</v>
      </c>
    </row>
    <row r="630" spans="1:13" ht="15" customHeight="1" x14ac:dyDescent="0.3">
      <c r="A630" s="12" t="s">
        <v>42</v>
      </c>
      <c r="B630" s="12" t="s">
        <v>1171</v>
      </c>
      <c r="C630" s="12" t="s">
        <v>1170</v>
      </c>
      <c r="D630" s="12" t="s">
        <v>1410</v>
      </c>
      <c r="E630" s="12" t="s">
        <v>6288</v>
      </c>
      <c r="F630" s="12" t="s">
        <v>6289</v>
      </c>
      <c r="G630" s="12" t="s">
        <v>6290</v>
      </c>
      <c r="H630" s="12" t="s">
        <v>3264</v>
      </c>
      <c r="I630" s="12" t="s">
        <v>2018</v>
      </c>
      <c r="J630" s="12" t="s">
        <v>1551</v>
      </c>
      <c r="K630" s="12" t="s">
        <v>2018</v>
      </c>
      <c r="L630" s="12" t="s">
        <v>2018</v>
      </c>
      <c r="M630" s="12" t="s">
        <v>1551</v>
      </c>
    </row>
    <row r="631" spans="1:13" ht="15" customHeight="1" x14ac:dyDescent="0.3">
      <c r="A631" s="12" t="s">
        <v>42</v>
      </c>
      <c r="B631" s="12" t="s">
        <v>1173</v>
      </c>
      <c r="C631" s="12" t="s">
        <v>1172</v>
      </c>
      <c r="D631" s="12" t="s">
        <v>1410</v>
      </c>
      <c r="E631" s="12" t="s">
        <v>4344</v>
      </c>
      <c r="F631" s="12" t="s">
        <v>4345</v>
      </c>
      <c r="G631" s="12" t="s">
        <v>4346</v>
      </c>
      <c r="H631" s="12" t="s">
        <v>3294</v>
      </c>
      <c r="I631" s="12" t="s">
        <v>2018</v>
      </c>
      <c r="J631" s="12" t="s">
        <v>1506</v>
      </c>
      <c r="K631" s="12" t="s">
        <v>1506</v>
      </c>
      <c r="L631" s="12" t="s">
        <v>2062</v>
      </c>
      <c r="M631" s="12" t="s">
        <v>1599</v>
      </c>
    </row>
    <row r="632" spans="1:13" ht="15" customHeight="1" x14ac:dyDescent="0.3">
      <c r="A632" s="12" t="s">
        <v>31</v>
      </c>
      <c r="B632" s="12" t="s">
        <v>489</v>
      </c>
      <c r="C632" s="12" t="s">
        <v>1174</v>
      </c>
      <c r="D632" s="12" t="s">
        <v>1410</v>
      </c>
      <c r="E632" s="12" t="s">
        <v>3081</v>
      </c>
      <c r="F632" s="12" t="s">
        <v>3089</v>
      </c>
      <c r="G632" s="12" t="s">
        <v>4301</v>
      </c>
      <c r="H632" s="12" t="s">
        <v>3240</v>
      </c>
      <c r="I632" s="12" t="s">
        <v>2018</v>
      </c>
      <c r="J632" s="12" t="s">
        <v>1506</v>
      </c>
      <c r="K632" s="12" t="s">
        <v>1551</v>
      </c>
      <c r="L632" s="12" t="s">
        <v>1551</v>
      </c>
      <c r="M632" s="12" t="s">
        <v>2018</v>
      </c>
    </row>
    <row r="633" spans="1:13" ht="15" customHeight="1" x14ac:dyDescent="0.3">
      <c r="A633" s="12" t="s">
        <v>22</v>
      </c>
      <c r="B633" s="12" t="s">
        <v>489</v>
      </c>
      <c r="C633" s="12" t="s">
        <v>1175</v>
      </c>
      <c r="D633" s="12" t="s">
        <v>1410</v>
      </c>
      <c r="E633" s="12" t="s">
        <v>3166</v>
      </c>
      <c r="F633" s="12" t="s">
        <v>3158</v>
      </c>
      <c r="G633" s="12" t="s">
        <v>4373</v>
      </c>
      <c r="H633" s="12" t="s">
        <v>3234</v>
      </c>
      <c r="I633" s="12" t="s">
        <v>1551</v>
      </c>
      <c r="J633" s="12" t="s">
        <v>1551</v>
      </c>
      <c r="K633" s="12" t="s">
        <v>1551</v>
      </c>
      <c r="L633" s="12" t="s">
        <v>1599</v>
      </c>
      <c r="M633" s="12" t="s">
        <v>1551</v>
      </c>
    </row>
    <row r="634" spans="1:13" ht="15" customHeight="1" x14ac:dyDescent="0.3">
      <c r="A634" s="12" t="s">
        <v>31</v>
      </c>
      <c r="B634" s="12" t="s">
        <v>492</v>
      </c>
      <c r="C634" s="12" t="s">
        <v>5562</v>
      </c>
      <c r="D634" s="12" t="s">
        <v>1410</v>
      </c>
      <c r="E634" s="12" t="s">
        <v>6291</v>
      </c>
      <c r="F634" s="12" t="s">
        <v>6292</v>
      </c>
      <c r="G634" s="12" t="s">
        <v>6293</v>
      </c>
      <c r="H634" s="12" t="s">
        <v>1785</v>
      </c>
      <c r="I634" s="12" t="s">
        <v>1414</v>
      </c>
      <c r="J634" s="12" t="s">
        <v>1414</v>
      </c>
      <c r="K634" s="12" t="s">
        <v>3214</v>
      </c>
      <c r="L634" s="12" t="s">
        <v>1749</v>
      </c>
      <c r="M634" s="12" t="s">
        <v>3204</v>
      </c>
    </row>
    <row r="635" spans="1:13" ht="15" customHeight="1" x14ac:dyDescent="0.3">
      <c r="A635" s="12" t="s">
        <v>28</v>
      </c>
      <c r="B635" s="12" t="s">
        <v>5570</v>
      </c>
      <c r="C635" s="12" t="s">
        <v>5571</v>
      </c>
      <c r="D635" s="12" t="s">
        <v>1410</v>
      </c>
      <c r="E635" s="12" t="s">
        <v>6294</v>
      </c>
      <c r="F635" s="12" t="s">
        <v>6295</v>
      </c>
      <c r="G635" s="12" t="s">
        <v>4512</v>
      </c>
      <c r="H635" s="12" t="s">
        <v>3223</v>
      </c>
      <c r="I635" s="12" t="s">
        <v>1551</v>
      </c>
      <c r="J635" s="12" t="s">
        <v>2018</v>
      </c>
      <c r="K635" s="12" t="s">
        <v>1599</v>
      </c>
      <c r="L635" s="12" t="s">
        <v>2018</v>
      </c>
      <c r="M635" s="12" t="s">
        <v>1551</v>
      </c>
    </row>
    <row r="636" spans="1:13" ht="15" customHeight="1" x14ac:dyDescent="0.3">
      <c r="A636" s="12" t="s">
        <v>8</v>
      </c>
      <c r="B636" s="12" t="s">
        <v>1177</v>
      </c>
      <c r="C636" s="12" t="s">
        <v>1176</v>
      </c>
      <c r="D636" s="12" t="s">
        <v>1410</v>
      </c>
      <c r="E636" s="12" t="s">
        <v>4327</v>
      </c>
      <c r="F636" s="12" t="s">
        <v>4328</v>
      </c>
      <c r="G636" s="12" t="s">
        <v>4329</v>
      </c>
      <c r="H636" s="12" t="s">
        <v>3332</v>
      </c>
      <c r="I636" s="12" t="s">
        <v>1420</v>
      </c>
      <c r="J636" s="12" t="s">
        <v>3204</v>
      </c>
      <c r="K636" s="12" t="s">
        <v>3214</v>
      </c>
      <c r="L636" s="12" t="s">
        <v>1599</v>
      </c>
      <c r="M636" s="12" t="s">
        <v>1599</v>
      </c>
    </row>
    <row r="637" spans="1:13" ht="15" customHeight="1" x14ac:dyDescent="0.3">
      <c r="A637" s="12" t="s">
        <v>8</v>
      </c>
      <c r="B637" s="12" t="s">
        <v>5585</v>
      </c>
      <c r="C637" s="12" t="s">
        <v>5586</v>
      </c>
      <c r="D637" s="12" t="s">
        <v>1410</v>
      </c>
      <c r="E637" s="12" t="s">
        <v>6273</v>
      </c>
      <c r="F637" s="12" t="s">
        <v>6296</v>
      </c>
      <c r="G637" s="12" t="s">
        <v>3775</v>
      </c>
      <c r="H637" s="12" t="s">
        <v>1488</v>
      </c>
      <c r="I637" s="12" t="s">
        <v>1414</v>
      </c>
      <c r="J637" s="12" t="s">
        <v>2062</v>
      </c>
      <c r="K637" s="12" t="s">
        <v>2435</v>
      </c>
      <c r="L637" s="12" t="s">
        <v>2018</v>
      </c>
      <c r="M637" s="12" t="s">
        <v>1749</v>
      </c>
    </row>
    <row r="638" spans="1:13" ht="15" customHeight="1" x14ac:dyDescent="0.3">
      <c r="A638" s="12" t="s">
        <v>42</v>
      </c>
      <c r="B638" s="12" t="s">
        <v>5588</v>
      </c>
      <c r="C638" s="12" t="s">
        <v>5589</v>
      </c>
      <c r="D638" s="12" t="s">
        <v>1410</v>
      </c>
      <c r="E638" s="12" t="s">
        <v>6285</v>
      </c>
      <c r="F638" s="12" t="s">
        <v>6297</v>
      </c>
      <c r="G638" s="12" t="s">
        <v>6298</v>
      </c>
      <c r="H638" s="12" t="s">
        <v>3332</v>
      </c>
      <c r="I638" s="12" t="s">
        <v>1749</v>
      </c>
      <c r="J638" s="12" t="s">
        <v>3204</v>
      </c>
      <c r="K638" s="12" t="s">
        <v>2018</v>
      </c>
      <c r="L638" s="12" t="s">
        <v>1414</v>
      </c>
      <c r="M638" s="12" t="s">
        <v>3204</v>
      </c>
    </row>
    <row r="639" spans="1:13" ht="15" customHeight="1" x14ac:dyDescent="0.3">
      <c r="A639" s="12" t="s">
        <v>19</v>
      </c>
      <c r="B639" s="12" t="s">
        <v>1179</v>
      </c>
      <c r="C639" s="12" t="s">
        <v>1178</v>
      </c>
      <c r="D639" s="12" t="s">
        <v>1410</v>
      </c>
      <c r="E639" s="12" t="s">
        <v>3226</v>
      </c>
      <c r="F639" s="12" t="s">
        <v>3227</v>
      </c>
      <c r="G639" s="12" t="s">
        <v>2129</v>
      </c>
      <c r="H639" s="12" t="s">
        <v>1464</v>
      </c>
      <c r="I639" s="12" t="s">
        <v>1551</v>
      </c>
      <c r="J639" s="12" t="s">
        <v>1599</v>
      </c>
      <c r="K639" s="12" t="s">
        <v>2435</v>
      </c>
      <c r="L639" s="12" t="s">
        <v>1420</v>
      </c>
      <c r="M639" s="12" t="s">
        <v>2062</v>
      </c>
    </row>
    <row r="640" spans="1:13" ht="15" customHeight="1" x14ac:dyDescent="0.3">
      <c r="A640" s="12" t="s">
        <v>25</v>
      </c>
      <c r="B640" s="12" t="s">
        <v>5596</v>
      </c>
      <c r="C640" s="12" t="s">
        <v>5597</v>
      </c>
      <c r="D640" s="12" t="s">
        <v>1410</v>
      </c>
      <c r="E640" s="12" t="s">
        <v>5841</v>
      </c>
      <c r="F640" s="12" t="s">
        <v>6299</v>
      </c>
      <c r="G640" s="12" t="s">
        <v>6300</v>
      </c>
      <c r="H640" s="12" t="s">
        <v>3385</v>
      </c>
      <c r="I640" s="12" t="s">
        <v>2062</v>
      </c>
      <c r="J640" s="12" t="s">
        <v>1414</v>
      </c>
      <c r="K640" s="12" t="s">
        <v>1551</v>
      </c>
      <c r="L640" s="12" t="s">
        <v>1551</v>
      </c>
      <c r="M640" s="12" t="s">
        <v>2018</v>
      </c>
    </row>
    <row r="641" spans="1:13" ht="15" customHeight="1" x14ac:dyDescent="0.3">
      <c r="A641" s="12" t="s">
        <v>192</v>
      </c>
      <c r="B641" s="12" t="s">
        <v>1181</v>
      </c>
      <c r="C641" s="12" t="s">
        <v>1180</v>
      </c>
      <c r="D641" s="12" t="s">
        <v>1410</v>
      </c>
      <c r="E641" s="12" t="s">
        <v>6301</v>
      </c>
      <c r="F641" s="12" t="s">
        <v>6302</v>
      </c>
      <c r="G641" s="12" t="s">
        <v>6303</v>
      </c>
      <c r="H641" s="12" t="s">
        <v>3246</v>
      </c>
      <c r="I641" s="12" t="s">
        <v>1551</v>
      </c>
      <c r="J641" s="12" t="s">
        <v>1599</v>
      </c>
      <c r="K641" s="12" t="s">
        <v>2018</v>
      </c>
      <c r="L641" s="12" t="s">
        <v>2018</v>
      </c>
      <c r="M641" s="12" t="s">
        <v>3204</v>
      </c>
    </row>
    <row r="642" spans="1:13" ht="15" customHeight="1" x14ac:dyDescent="0.3">
      <c r="A642" s="12" t="s">
        <v>5600</v>
      </c>
      <c r="B642" s="12" t="s">
        <v>5601</v>
      </c>
      <c r="C642" s="12" t="s">
        <v>5602</v>
      </c>
      <c r="D642" s="12" t="s">
        <v>1410</v>
      </c>
      <c r="E642" s="12" t="s">
        <v>6304</v>
      </c>
      <c r="F642" s="12" t="s">
        <v>6305</v>
      </c>
      <c r="G642" s="12" t="s">
        <v>3041</v>
      </c>
      <c r="H642" s="12" t="s">
        <v>3258</v>
      </c>
      <c r="I642" s="12" t="s">
        <v>1551</v>
      </c>
      <c r="J642" s="12" t="s">
        <v>1551</v>
      </c>
      <c r="K642" s="12" t="s">
        <v>2018</v>
      </c>
      <c r="L642" s="12" t="s">
        <v>2018</v>
      </c>
      <c r="M642" s="12" t="s">
        <v>1551</v>
      </c>
    </row>
    <row r="643" spans="1:13" ht="15" customHeight="1" x14ac:dyDescent="0.3">
      <c r="A643" s="12" t="s">
        <v>31</v>
      </c>
      <c r="B643" s="12" t="s">
        <v>1183</v>
      </c>
      <c r="C643" s="12" t="s">
        <v>1182</v>
      </c>
      <c r="D643" s="12" t="s">
        <v>1410</v>
      </c>
      <c r="E643" s="12" t="s">
        <v>3235</v>
      </c>
      <c r="F643" s="12" t="s">
        <v>3236</v>
      </c>
      <c r="G643" s="12" t="s">
        <v>3237</v>
      </c>
      <c r="H643" s="12" t="s">
        <v>3207</v>
      </c>
      <c r="I643" s="12" t="s">
        <v>3204</v>
      </c>
      <c r="J643" s="12" t="s">
        <v>1551</v>
      </c>
      <c r="K643" s="12" t="s">
        <v>2062</v>
      </c>
      <c r="L643" s="12" t="s">
        <v>1599</v>
      </c>
      <c r="M643" s="12" t="s">
        <v>1506</v>
      </c>
    </row>
    <row r="644" spans="1:13" ht="15" customHeight="1" x14ac:dyDescent="0.3">
      <c r="A644" s="12" t="s">
        <v>28</v>
      </c>
      <c r="B644" s="12" t="s">
        <v>1185</v>
      </c>
      <c r="C644" s="12" t="s">
        <v>1184</v>
      </c>
      <c r="D644" s="12" t="s">
        <v>1410</v>
      </c>
      <c r="E644" s="12" t="s">
        <v>6306</v>
      </c>
      <c r="F644" s="12" t="s">
        <v>5738</v>
      </c>
      <c r="G644" s="12" t="s">
        <v>2801</v>
      </c>
      <c r="H644" s="12" t="s">
        <v>3223</v>
      </c>
      <c r="I644" s="12" t="s">
        <v>1551</v>
      </c>
      <c r="J644" s="12" t="s">
        <v>1599</v>
      </c>
      <c r="K644" s="12" t="s">
        <v>2018</v>
      </c>
      <c r="L644" s="12" t="s">
        <v>2018</v>
      </c>
      <c r="M644" s="12" t="s">
        <v>1551</v>
      </c>
    </row>
    <row r="645" spans="1:13" ht="15" customHeight="1" x14ac:dyDescent="0.3">
      <c r="A645" s="12" t="s">
        <v>19</v>
      </c>
      <c r="B645" s="12" t="s">
        <v>5610</v>
      </c>
      <c r="C645" s="12" t="s">
        <v>5611</v>
      </c>
      <c r="D645" s="12" t="s">
        <v>1410</v>
      </c>
      <c r="E645" s="12" t="s">
        <v>6307</v>
      </c>
      <c r="F645" s="12" t="s">
        <v>6308</v>
      </c>
      <c r="G645" s="12" t="s">
        <v>6309</v>
      </c>
      <c r="H645" s="12" t="s">
        <v>3332</v>
      </c>
      <c r="I645" s="12" t="s">
        <v>1551</v>
      </c>
      <c r="J645" s="12" t="s">
        <v>1420</v>
      </c>
      <c r="K645" s="12" t="s">
        <v>1414</v>
      </c>
      <c r="L645" s="12" t="s">
        <v>1599</v>
      </c>
      <c r="M645" s="12" t="s">
        <v>1599</v>
      </c>
    </row>
    <row r="646" spans="1:13" ht="15" customHeight="1" x14ac:dyDescent="0.3">
      <c r="A646" s="12" t="s">
        <v>22</v>
      </c>
      <c r="B646" s="12" t="s">
        <v>1187</v>
      </c>
      <c r="C646" s="12" t="s">
        <v>1186</v>
      </c>
      <c r="D646" s="12" t="s">
        <v>1410</v>
      </c>
      <c r="E646" s="12" t="s">
        <v>6310</v>
      </c>
      <c r="F646" s="12" t="s">
        <v>6311</v>
      </c>
      <c r="G646" s="12" t="s">
        <v>6270</v>
      </c>
      <c r="H646" s="12" t="s">
        <v>3258</v>
      </c>
      <c r="I646" s="12" t="s">
        <v>1551</v>
      </c>
      <c r="J646" s="12" t="s">
        <v>1551</v>
      </c>
      <c r="K646" s="12" t="s">
        <v>1551</v>
      </c>
      <c r="L646" s="12" t="s">
        <v>2018</v>
      </c>
      <c r="M646" s="12" t="s">
        <v>2018</v>
      </c>
    </row>
    <row r="647" spans="1:13" ht="15" customHeight="1" x14ac:dyDescent="0.3">
      <c r="A647" s="12" t="s">
        <v>8</v>
      </c>
      <c r="B647" s="12" t="s">
        <v>5631</v>
      </c>
      <c r="C647" s="12" t="s">
        <v>5632</v>
      </c>
      <c r="D647" s="12" t="s">
        <v>1410</v>
      </c>
      <c r="E647" s="12" t="s">
        <v>6312</v>
      </c>
      <c r="F647" s="12" t="s">
        <v>6313</v>
      </c>
      <c r="G647" s="12" t="s">
        <v>6314</v>
      </c>
      <c r="H647" s="12" t="s">
        <v>3300</v>
      </c>
      <c r="I647" s="12" t="s">
        <v>2062</v>
      </c>
      <c r="J647" s="12" t="s">
        <v>1551</v>
      </c>
      <c r="K647" s="12" t="s">
        <v>1506</v>
      </c>
      <c r="L647" s="12" t="s">
        <v>1551</v>
      </c>
      <c r="M647" s="12" t="s">
        <v>2018</v>
      </c>
    </row>
    <row r="648" spans="1:13" ht="15" customHeight="1" x14ac:dyDescent="0.3">
      <c r="A648" s="12" t="s">
        <v>28</v>
      </c>
      <c r="B648" s="12" t="s">
        <v>1189</v>
      </c>
      <c r="C648" s="12" t="s">
        <v>1188</v>
      </c>
      <c r="D648" s="12" t="s">
        <v>1410</v>
      </c>
      <c r="E648" s="12" t="s">
        <v>6315</v>
      </c>
      <c r="F648" s="12" t="s">
        <v>6286</v>
      </c>
      <c r="G648" s="12" t="s">
        <v>6316</v>
      </c>
      <c r="H648" s="12" t="s">
        <v>3294</v>
      </c>
      <c r="I648" s="12" t="s">
        <v>2018</v>
      </c>
      <c r="J648" s="12" t="s">
        <v>1749</v>
      </c>
      <c r="K648" s="12" t="s">
        <v>1551</v>
      </c>
      <c r="L648" s="12" t="s">
        <v>1506</v>
      </c>
      <c r="M648" s="12" t="s">
        <v>1506</v>
      </c>
    </row>
    <row r="649" spans="1:13" ht="15" customHeight="1" x14ac:dyDescent="0.3">
      <c r="A649" s="12" t="s">
        <v>31</v>
      </c>
      <c r="B649" s="12" t="s">
        <v>1191</v>
      </c>
      <c r="C649" s="12" t="s">
        <v>1190</v>
      </c>
      <c r="D649" s="12" t="s">
        <v>1410</v>
      </c>
      <c r="E649" s="12" t="s">
        <v>4409</v>
      </c>
      <c r="F649" s="12" t="s">
        <v>4410</v>
      </c>
      <c r="G649" s="12" t="s">
        <v>4411</v>
      </c>
      <c r="H649" s="12" t="s">
        <v>3332</v>
      </c>
      <c r="I649" s="12" t="s">
        <v>3204</v>
      </c>
      <c r="J649" s="12" t="s">
        <v>3204</v>
      </c>
      <c r="K649" s="12" t="s">
        <v>2018</v>
      </c>
      <c r="L649" s="12" t="s">
        <v>1749</v>
      </c>
      <c r="M649" s="12" t="s">
        <v>1414</v>
      </c>
    </row>
    <row r="650" spans="1:13" ht="15" customHeight="1" x14ac:dyDescent="0.3">
      <c r="A650" s="12" t="s">
        <v>25</v>
      </c>
      <c r="B650" s="12" t="s">
        <v>1193</v>
      </c>
      <c r="C650" s="12" t="s">
        <v>1192</v>
      </c>
      <c r="D650" s="12" t="s">
        <v>1410</v>
      </c>
      <c r="E650" s="12" t="s">
        <v>4269</v>
      </c>
      <c r="F650" s="12" t="s">
        <v>2994</v>
      </c>
      <c r="G650" s="12" t="s">
        <v>4270</v>
      </c>
      <c r="H650" s="12" t="s">
        <v>3203</v>
      </c>
      <c r="I650" s="12" t="s">
        <v>1551</v>
      </c>
      <c r="J650" s="12" t="s">
        <v>1551</v>
      </c>
      <c r="K650" s="12" t="s">
        <v>2018</v>
      </c>
      <c r="L650" s="12" t="s">
        <v>1551</v>
      </c>
      <c r="M650" s="12" t="s">
        <v>1749</v>
      </c>
    </row>
    <row r="651" spans="1:13" ht="15" customHeight="1" x14ac:dyDescent="0.3">
      <c r="A651" s="12" t="s">
        <v>55</v>
      </c>
      <c r="B651" s="12" t="s">
        <v>5652</v>
      </c>
      <c r="C651" s="12" t="s">
        <v>5653</v>
      </c>
      <c r="D651" s="12" t="s">
        <v>1410</v>
      </c>
      <c r="E651" s="12" t="s">
        <v>6317</v>
      </c>
      <c r="F651" s="12" t="s">
        <v>6318</v>
      </c>
      <c r="G651" s="12" t="s">
        <v>6319</v>
      </c>
      <c r="H651" s="12" t="s">
        <v>3223</v>
      </c>
      <c r="I651" s="12" t="s">
        <v>1551</v>
      </c>
      <c r="J651" s="12" t="s">
        <v>1551</v>
      </c>
      <c r="K651" s="12" t="s">
        <v>2018</v>
      </c>
      <c r="L651" s="12" t="s">
        <v>1599</v>
      </c>
      <c r="M651" s="12" t="s">
        <v>2018</v>
      </c>
    </row>
    <row r="652" spans="1:13" ht="15" customHeight="1" x14ac:dyDescent="0.3">
      <c r="A652" s="12" t="s">
        <v>25</v>
      </c>
      <c r="B652" s="12" t="s">
        <v>5664</v>
      </c>
      <c r="C652" s="12" t="s">
        <v>5665</v>
      </c>
      <c r="D652" s="12" t="s">
        <v>1410</v>
      </c>
      <c r="E652" s="12" t="s">
        <v>6320</v>
      </c>
      <c r="F652" s="12" t="s">
        <v>6321</v>
      </c>
      <c r="G652" s="12" t="s">
        <v>2489</v>
      </c>
      <c r="H652" s="12" t="s">
        <v>1908</v>
      </c>
      <c r="I652" s="12" t="s">
        <v>1414</v>
      </c>
      <c r="J652" s="12" t="s">
        <v>1599</v>
      </c>
      <c r="K652" s="12" t="s">
        <v>1414</v>
      </c>
      <c r="L652" s="12" t="s">
        <v>1599</v>
      </c>
      <c r="M652" s="12" t="s">
        <v>1414</v>
      </c>
    </row>
    <row r="653" spans="1:13" ht="15" customHeight="1" x14ac:dyDescent="0.3">
      <c r="A653" s="12" t="s">
        <v>8</v>
      </c>
      <c r="B653" s="12" t="s">
        <v>1195</v>
      </c>
      <c r="C653" s="12" t="s">
        <v>1194</v>
      </c>
      <c r="D653" s="12" t="s">
        <v>1410</v>
      </c>
      <c r="E653" s="12" t="s">
        <v>6322</v>
      </c>
      <c r="F653" s="12" t="s">
        <v>5856</v>
      </c>
      <c r="G653" s="12" t="s">
        <v>6323</v>
      </c>
      <c r="H653" s="12" t="s">
        <v>3210</v>
      </c>
      <c r="I653" s="12" t="s">
        <v>3204</v>
      </c>
      <c r="J653" s="12" t="s">
        <v>1551</v>
      </c>
      <c r="K653" s="12" t="s">
        <v>1551</v>
      </c>
      <c r="L653" s="12" t="s">
        <v>1599</v>
      </c>
      <c r="M653" s="12" t="s">
        <v>2018</v>
      </c>
    </row>
    <row r="654" spans="1:13" ht="15" customHeight="1" x14ac:dyDescent="0.3">
      <c r="A654" s="12" t="s">
        <v>71</v>
      </c>
      <c r="B654" s="12" t="s">
        <v>5682</v>
      </c>
      <c r="C654" s="12" t="s">
        <v>5683</v>
      </c>
      <c r="D654" s="12" t="s">
        <v>1410</v>
      </c>
      <c r="E654" s="12" t="s">
        <v>5504</v>
      </c>
      <c r="F654" s="12" t="s">
        <v>6324</v>
      </c>
      <c r="G654" s="12" t="s">
        <v>3310</v>
      </c>
      <c r="H654" s="12" t="s">
        <v>3240</v>
      </c>
      <c r="I654" s="12" t="s">
        <v>2018</v>
      </c>
      <c r="J654" s="12" t="s">
        <v>1506</v>
      </c>
      <c r="K654" s="12" t="s">
        <v>2018</v>
      </c>
      <c r="L654" s="12" t="s">
        <v>2018</v>
      </c>
      <c r="M654" s="12" t="s">
        <v>1599</v>
      </c>
    </row>
    <row r="655" spans="1:13" ht="15" customHeight="1" x14ac:dyDescent="0.3">
      <c r="A655" s="12" t="s">
        <v>25</v>
      </c>
      <c r="B655" s="12" t="s">
        <v>1199</v>
      </c>
      <c r="C655" s="12" t="s">
        <v>1198</v>
      </c>
      <c r="D655" s="12" t="s">
        <v>1410</v>
      </c>
      <c r="E655" s="12" t="s">
        <v>3103</v>
      </c>
      <c r="F655" s="12" t="s">
        <v>3116</v>
      </c>
      <c r="G655" s="12" t="s">
        <v>4323</v>
      </c>
      <c r="H655" s="12" t="s">
        <v>3385</v>
      </c>
      <c r="I655" s="12" t="s">
        <v>1749</v>
      </c>
      <c r="J655" s="12" t="s">
        <v>1506</v>
      </c>
      <c r="K655" s="12" t="s">
        <v>1506</v>
      </c>
      <c r="L655" s="12" t="s">
        <v>3204</v>
      </c>
      <c r="M655" s="12" t="s">
        <v>1551</v>
      </c>
    </row>
    <row r="656" spans="1:13" ht="15" customHeight="1" x14ac:dyDescent="0.3">
      <c r="A656" s="12" t="s">
        <v>1202</v>
      </c>
      <c r="B656" s="12" t="s">
        <v>1201</v>
      </c>
      <c r="C656" s="12" t="s">
        <v>1200</v>
      </c>
      <c r="D656" s="12" t="s">
        <v>1410</v>
      </c>
      <c r="E656" s="12" t="s">
        <v>6325</v>
      </c>
      <c r="F656" s="12" t="s">
        <v>6320</v>
      </c>
      <c r="G656" s="12" t="s">
        <v>5192</v>
      </c>
      <c r="H656" s="12" t="s">
        <v>3218</v>
      </c>
      <c r="I656" s="12" t="s">
        <v>3214</v>
      </c>
      <c r="J656" s="12" t="s">
        <v>1551</v>
      </c>
      <c r="K656" s="12" t="s">
        <v>1599</v>
      </c>
      <c r="L656" s="12" t="s">
        <v>1551</v>
      </c>
      <c r="M656" s="12" t="s">
        <v>1551</v>
      </c>
    </row>
    <row r="657" spans="1:13" ht="15" customHeight="1" x14ac:dyDescent="0.3">
      <c r="A657" s="12" t="s">
        <v>19</v>
      </c>
      <c r="B657" s="12" t="s">
        <v>5699</v>
      </c>
      <c r="C657" s="12" t="s">
        <v>5700</v>
      </c>
      <c r="D657" s="12" t="s">
        <v>1410</v>
      </c>
      <c r="E657" s="12" t="s">
        <v>6326</v>
      </c>
      <c r="F657" s="12" t="s">
        <v>6327</v>
      </c>
      <c r="G657" s="12" t="s">
        <v>6328</v>
      </c>
      <c r="H657" s="12" t="s">
        <v>1414</v>
      </c>
      <c r="I657" s="12" t="s">
        <v>1414</v>
      </c>
      <c r="J657" s="12" t="s">
        <v>1414</v>
      </c>
      <c r="K657" s="12" t="s">
        <v>1414</v>
      </c>
      <c r="L657" s="12" t="s">
        <v>1414</v>
      </c>
      <c r="M657" s="12" t="s">
        <v>1414</v>
      </c>
    </row>
    <row r="658" spans="1:13" ht="15" customHeight="1" x14ac:dyDescent="0.3">
      <c r="A658" s="12" t="s">
        <v>19</v>
      </c>
      <c r="B658" s="12" t="s">
        <v>868</v>
      </c>
      <c r="C658" s="12" t="s">
        <v>5712</v>
      </c>
      <c r="D658" s="12" t="s">
        <v>1410</v>
      </c>
      <c r="E658" s="12" t="s">
        <v>6329</v>
      </c>
      <c r="F658" s="12" t="s">
        <v>6330</v>
      </c>
      <c r="G658" s="12" t="s">
        <v>3581</v>
      </c>
      <c r="H658" s="12" t="s">
        <v>3210</v>
      </c>
      <c r="I658" s="12" t="s">
        <v>1551</v>
      </c>
      <c r="J658" s="12" t="s">
        <v>1551</v>
      </c>
      <c r="K658" s="12" t="s">
        <v>2062</v>
      </c>
      <c r="L658" s="12" t="s">
        <v>1551</v>
      </c>
      <c r="M658" s="12" t="s">
        <v>2018</v>
      </c>
    </row>
    <row r="659" spans="1:13" ht="15" customHeight="1" x14ac:dyDescent="0.3">
      <c r="A659" s="12" t="s">
        <v>42</v>
      </c>
      <c r="B659" s="12" t="s">
        <v>1204</v>
      </c>
      <c r="C659" s="12" t="s">
        <v>1203</v>
      </c>
      <c r="D659" s="12" t="s">
        <v>1410</v>
      </c>
      <c r="E659" s="12" t="s">
        <v>4332</v>
      </c>
      <c r="F659" s="12" t="s">
        <v>4333</v>
      </c>
      <c r="G659" s="12" t="s">
        <v>3517</v>
      </c>
      <c r="H659" s="12" t="s">
        <v>3246</v>
      </c>
      <c r="I659" s="12" t="s">
        <v>1749</v>
      </c>
      <c r="J659" s="12" t="s">
        <v>2018</v>
      </c>
      <c r="K659" s="12" t="s">
        <v>2018</v>
      </c>
      <c r="L659" s="12" t="s">
        <v>1551</v>
      </c>
      <c r="M659" s="12" t="s">
        <v>2018</v>
      </c>
    </row>
    <row r="660" spans="1:13" ht="15" customHeight="1" x14ac:dyDescent="0.3">
      <c r="A660" s="12" t="s">
        <v>22</v>
      </c>
      <c r="B660" s="12" t="s">
        <v>1206</v>
      </c>
      <c r="C660" s="12" t="s">
        <v>1205</v>
      </c>
      <c r="D660" s="12" t="s">
        <v>1410</v>
      </c>
      <c r="E660" s="12" t="s">
        <v>3807</v>
      </c>
      <c r="F660" s="12" t="s">
        <v>3815</v>
      </c>
      <c r="G660" s="12" t="s">
        <v>3816</v>
      </c>
      <c r="H660" s="12" t="s">
        <v>3240</v>
      </c>
      <c r="I660" s="12" t="s">
        <v>1551</v>
      </c>
      <c r="J660" s="12" t="s">
        <v>1506</v>
      </c>
      <c r="K660" s="12" t="s">
        <v>2018</v>
      </c>
      <c r="L660" s="12" t="s">
        <v>1551</v>
      </c>
      <c r="M660" s="12" t="s">
        <v>2018</v>
      </c>
    </row>
    <row r="661" spans="1:13" ht="15" customHeight="1" x14ac:dyDescent="0.3">
      <c r="A661" s="12" t="s">
        <v>133</v>
      </c>
      <c r="B661" s="12" t="s">
        <v>1208</v>
      </c>
      <c r="C661" s="12" t="s">
        <v>1207</v>
      </c>
      <c r="D661" s="12" t="s">
        <v>1410</v>
      </c>
      <c r="E661" s="12" t="s">
        <v>6331</v>
      </c>
      <c r="F661" s="12" t="s">
        <v>5543</v>
      </c>
      <c r="G661" s="12" t="s">
        <v>1455</v>
      </c>
      <c r="H661" s="12" t="s">
        <v>3234</v>
      </c>
      <c r="I661" s="12" t="s">
        <v>2018</v>
      </c>
      <c r="J661" s="12" t="s">
        <v>2018</v>
      </c>
      <c r="K661" s="12" t="s">
        <v>1749</v>
      </c>
      <c r="L661" s="12" t="s">
        <v>2018</v>
      </c>
      <c r="M661" s="12" t="s">
        <v>2018</v>
      </c>
    </row>
    <row r="662" spans="1:13" ht="15" customHeight="1" x14ac:dyDescent="0.3">
      <c r="A662" s="12" t="s">
        <v>8</v>
      </c>
      <c r="B662" s="12" t="s">
        <v>1210</v>
      </c>
      <c r="C662" s="12" t="s">
        <v>1209</v>
      </c>
      <c r="D662" s="12" t="s">
        <v>1410</v>
      </c>
      <c r="E662" s="12" t="s">
        <v>3200</v>
      </c>
      <c r="F662" s="12" t="s">
        <v>3201</v>
      </c>
      <c r="G662" s="12" t="s">
        <v>3202</v>
      </c>
      <c r="H662" s="12" t="s">
        <v>3203</v>
      </c>
      <c r="I662" s="12" t="s">
        <v>1551</v>
      </c>
      <c r="J662" s="12" t="s">
        <v>1599</v>
      </c>
      <c r="K662" s="12" t="s">
        <v>1599</v>
      </c>
      <c r="L662" s="12" t="s">
        <v>3204</v>
      </c>
      <c r="M662" s="12" t="s">
        <v>2018</v>
      </c>
    </row>
    <row r="663" spans="1:13" ht="15" customHeight="1" x14ac:dyDescent="0.3">
      <c r="A663" s="12" t="s">
        <v>5734</v>
      </c>
      <c r="B663" s="12" t="s">
        <v>5735</v>
      </c>
      <c r="C663" s="12" t="s">
        <v>5736</v>
      </c>
      <c r="D663" s="12" t="s">
        <v>1410</v>
      </c>
      <c r="E663" s="12" t="s">
        <v>6332</v>
      </c>
      <c r="F663" s="12" t="s">
        <v>6333</v>
      </c>
      <c r="G663" s="12" t="s">
        <v>6334</v>
      </c>
      <c r="H663" s="12" t="s">
        <v>3246</v>
      </c>
      <c r="I663" s="12" t="s">
        <v>1599</v>
      </c>
      <c r="J663" s="12" t="s">
        <v>1551</v>
      </c>
      <c r="K663" s="12" t="s">
        <v>1599</v>
      </c>
      <c r="L663" s="12" t="s">
        <v>2018</v>
      </c>
      <c r="M663" s="12" t="s">
        <v>1599</v>
      </c>
    </row>
    <row r="664" spans="1:13" ht="15" customHeight="1" x14ac:dyDescent="0.3">
      <c r="A664" s="12" t="s">
        <v>28</v>
      </c>
      <c r="B664" s="12" t="s">
        <v>5740</v>
      </c>
      <c r="C664" s="12" t="s">
        <v>5741</v>
      </c>
      <c r="D664" s="12" t="s">
        <v>1410</v>
      </c>
      <c r="E664" s="12" t="s">
        <v>6335</v>
      </c>
      <c r="F664" s="12" t="s">
        <v>6336</v>
      </c>
      <c r="G664" s="12" t="s">
        <v>3944</v>
      </c>
      <c r="H664" s="12" t="s">
        <v>1452</v>
      </c>
      <c r="I664" s="12" t="s">
        <v>1749</v>
      </c>
      <c r="J664" s="12" t="s">
        <v>1414</v>
      </c>
      <c r="K664" s="12" t="s">
        <v>1551</v>
      </c>
      <c r="L664" s="12" t="s">
        <v>1420</v>
      </c>
      <c r="M664" s="12" t="s">
        <v>2018</v>
      </c>
    </row>
    <row r="665" spans="1:13" ht="15" customHeight="1" x14ac:dyDescent="0.3">
      <c r="A665" s="12" t="s">
        <v>794</v>
      </c>
      <c r="B665" s="12" t="s">
        <v>5750</v>
      </c>
      <c r="C665" s="12" t="s">
        <v>5751</v>
      </c>
      <c r="D665" s="12" t="s">
        <v>1410</v>
      </c>
      <c r="E665" s="12" t="s">
        <v>6337</v>
      </c>
      <c r="F665" s="12" t="s">
        <v>6338</v>
      </c>
      <c r="G665" s="12" t="s">
        <v>2004</v>
      </c>
      <c r="H665" s="12" t="s">
        <v>3439</v>
      </c>
      <c r="I665" s="12" t="s">
        <v>1551</v>
      </c>
      <c r="J665" s="12" t="s">
        <v>2018</v>
      </c>
      <c r="K665" s="12" t="s">
        <v>2018</v>
      </c>
      <c r="L665" s="12" t="s">
        <v>2018</v>
      </c>
      <c r="M665" s="12" t="s">
        <v>2018</v>
      </c>
    </row>
    <row r="666" spans="1:13" ht="15" customHeight="1" x14ac:dyDescent="0.3">
      <c r="A666" s="12" t="s">
        <v>8</v>
      </c>
      <c r="B666" s="12" t="s">
        <v>5767</v>
      </c>
      <c r="C666" s="12" t="s">
        <v>5768</v>
      </c>
      <c r="D666" s="12" t="s">
        <v>1410</v>
      </c>
      <c r="E666" s="12" t="s">
        <v>6274</v>
      </c>
      <c r="F666" s="12" t="s">
        <v>6339</v>
      </c>
      <c r="G666" s="12" t="s">
        <v>6340</v>
      </c>
      <c r="H666" s="12" t="s">
        <v>3246</v>
      </c>
      <c r="I666" s="12" t="s">
        <v>1599</v>
      </c>
      <c r="J666" s="12" t="s">
        <v>1506</v>
      </c>
      <c r="K666" s="12" t="s">
        <v>1551</v>
      </c>
      <c r="L666" s="12" t="s">
        <v>1551</v>
      </c>
      <c r="M666" s="12" t="s">
        <v>2018</v>
      </c>
    </row>
    <row r="667" spans="1:13" ht="15" customHeight="1" x14ac:dyDescent="0.3">
      <c r="A667" s="12" t="s">
        <v>947</v>
      </c>
      <c r="B667" s="12" t="s">
        <v>1212</v>
      </c>
      <c r="C667" s="12" t="s">
        <v>1211</v>
      </c>
      <c r="D667" s="12" t="s">
        <v>1410</v>
      </c>
      <c r="E667" s="12" t="s">
        <v>3906</v>
      </c>
      <c r="F667" s="12" t="s">
        <v>3907</v>
      </c>
      <c r="G667" s="12" t="s">
        <v>3908</v>
      </c>
      <c r="H667" s="12" t="s">
        <v>3258</v>
      </c>
      <c r="I667" s="12" t="s">
        <v>2018</v>
      </c>
      <c r="J667" s="12" t="s">
        <v>2018</v>
      </c>
      <c r="K667" s="12" t="s">
        <v>1551</v>
      </c>
      <c r="L667" s="12" t="s">
        <v>1551</v>
      </c>
      <c r="M667" s="12" t="s">
        <v>1551</v>
      </c>
    </row>
    <row r="668" spans="1:13" ht="15" customHeight="1" x14ac:dyDescent="0.3">
      <c r="A668" s="12" t="s">
        <v>42</v>
      </c>
      <c r="B668" s="12" t="s">
        <v>1214</v>
      </c>
      <c r="C668" s="12" t="s">
        <v>1213</v>
      </c>
      <c r="D668" s="12" t="s">
        <v>1410</v>
      </c>
      <c r="E668" s="12" t="s">
        <v>4282</v>
      </c>
      <c r="F668" s="12" t="s">
        <v>3048</v>
      </c>
      <c r="G668" s="12" t="s">
        <v>4283</v>
      </c>
      <c r="H668" s="12" t="s">
        <v>3322</v>
      </c>
      <c r="I668" s="12" t="s">
        <v>3214</v>
      </c>
      <c r="J668" s="12" t="s">
        <v>2018</v>
      </c>
      <c r="K668" s="12" t="s">
        <v>1551</v>
      </c>
      <c r="L668" s="12" t="s">
        <v>1551</v>
      </c>
      <c r="M668" s="12" t="s">
        <v>1414</v>
      </c>
    </row>
    <row r="669" spans="1:13" ht="15" customHeight="1" x14ac:dyDescent="0.3">
      <c r="A669" s="12" t="s">
        <v>28</v>
      </c>
      <c r="B669" s="12" t="s">
        <v>1216</v>
      </c>
      <c r="C669" s="12" t="s">
        <v>1215</v>
      </c>
      <c r="D669" s="12" t="s">
        <v>1410</v>
      </c>
      <c r="E669" s="12" t="s">
        <v>6341</v>
      </c>
      <c r="F669" s="12" t="s">
        <v>6342</v>
      </c>
      <c r="G669" s="12" t="s">
        <v>6343</v>
      </c>
      <c r="H669" s="12" t="s">
        <v>3269</v>
      </c>
      <c r="I669" s="12" t="s">
        <v>1414</v>
      </c>
      <c r="J669" s="12" t="s">
        <v>1506</v>
      </c>
      <c r="K669" s="12" t="s">
        <v>1551</v>
      </c>
      <c r="L669" s="12" t="s">
        <v>1506</v>
      </c>
      <c r="M669" s="12" t="s">
        <v>1551</v>
      </c>
    </row>
    <row r="670" spans="1:13" ht="15" customHeight="1" x14ac:dyDescent="0.3">
      <c r="A670" s="12" t="s">
        <v>66</v>
      </c>
      <c r="B670" s="12" t="s">
        <v>1218</v>
      </c>
      <c r="C670" s="12" t="s">
        <v>1217</v>
      </c>
      <c r="D670" s="12" t="s">
        <v>1410</v>
      </c>
      <c r="E670" s="12" t="s">
        <v>4191</v>
      </c>
      <c r="F670" s="12" t="s">
        <v>4192</v>
      </c>
      <c r="G670" s="12" t="s">
        <v>4056</v>
      </c>
      <c r="H670" s="12" t="s">
        <v>3234</v>
      </c>
      <c r="I670" s="12" t="s">
        <v>1551</v>
      </c>
      <c r="J670" s="12" t="s">
        <v>1551</v>
      </c>
      <c r="K670" s="12" t="s">
        <v>1599</v>
      </c>
      <c r="L670" s="12" t="s">
        <v>2018</v>
      </c>
      <c r="M670" s="12" t="s">
        <v>1599</v>
      </c>
    </row>
    <row r="671" spans="1:13" ht="15" customHeight="1" x14ac:dyDescent="0.3">
      <c r="A671" s="12" t="s">
        <v>42</v>
      </c>
      <c r="B671" s="12" t="s">
        <v>1220</v>
      </c>
      <c r="C671" s="12" t="s">
        <v>1219</v>
      </c>
      <c r="D671" s="12" t="s">
        <v>1410</v>
      </c>
      <c r="E671" s="12" t="s">
        <v>3925</v>
      </c>
      <c r="F671" s="12" t="s">
        <v>3930</v>
      </c>
      <c r="G671" s="12" t="s">
        <v>3931</v>
      </c>
      <c r="H671" s="12" t="s">
        <v>3439</v>
      </c>
      <c r="I671" s="12" t="s">
        <v>2018</v>
      </c>
      <c r="J671" s="12" t="s">
        <v>2018</v>
      </c>
      <c r="K671" s="12" t="s">
        <v>1551</v>
      </c>
      <c r="L671" s="12" t="s">
        <v>2018</v>
      </c>
      <c r="M671" s="12" t="s">
        <v>2018</v>
      </c>
    </row>
    <row r="672" spans="1:13" ht="15" customHeight="1" x14ac:dyDescent="0.3">
      <c r="A672" s="12" t="s">
        <v>31</v>
      </c>
      <c r="B672" s="12" t="s">
        <v>1222</v>
      </c>
      <c r="C672" s="12" t="s">
        <v>1221</v>
      </c>
      <c r="D672" s="12" t="s">
        <v>1410</v>
      </c>
      <c r="E672" s="12" t="s">
        <v>3015</v>
      </c>
      <c r="F672" s="12" t="s">
        <v>3050</v>
      </c>
      <c r="G672" s="12" t="s">
        <v>4279</v>
      </c>
      <c r="H672" s="12" t="s">
        <v>3203</v>
      </c>
      <c r="I672" s="12" t="s">
        <v>1551</v>
      </c>
      <c r="J672" s="12" t="s">
        <v>1551</v>
      </c>
      <c r="K672" s="12" t="s">
        <v>1551</v>
      </c>
      <c r="L672" s="12" t="s">
        <v>1506</v>
      </c>
      <c r="M672" s="12" t="s">
        <v>1506</v>
      </c>
    </row>
    <row r="673" spans="1:13" ht="15" customHeight="1" x14ac:dyDescent="0.3">
      <c r="A673" s="12" t="s">
        <v>8</v>
      </c>
      <c r="B673" s="12" t="s">
        <v>1224</v>
      </c>
      <c r="C673" s="12" t="s">
        <v>1223</v>
      </c>
      <c r="D673" s="12" t="s">
        <v>1410</v>
      </c>
      <c r="E673" s="12" t="s">
        <v>4299</v>
      </c>
      <c r="F673" s="12" t="s">
        <v>3085</v>
      </c>
      <c r="G673" s="12" t="s">
        <v>3745</v>
      </c>
      <c r="H673" s="12" t="s">
        <v>3300</v>
      </c>
      <c r="I673" s="12" t="s">
        <v>1599</v>
      </c>
      <c r="J673" s="12" t="s">
        <v>1599</v>
      </c>
      <c r="K673" s="12" t="s">
        <v>1599</v>
      </c>
      <c r="L673" s="12" t="s">
        <v>1506</v>
      </c>
      <c r="M673" s="12" t="s">
        <v>1551</v>
      </c>
    </row>
    <row r="674" spans="1:13" ht="15" customHeight="1" x14ac:dyDescent="0.3">
      <c r="A674" s="12" t="s">
        <v>31</v>
      </c>
      <c r="B674" s="12" t="s">
        <v>1226</v>
      </c>
      <c r="C674" s="12" t="s">
        <v>1225</v>
      </c>
      <c r="D674" s="12" t="s">
        <v>1410</v>
      </c>
      <c r="E674" s="12" t="s">
        <v>3596</v>
      </c>
      <c r="F674" s="12" t="s">
        <v>3597</v>
      </c>
      <c r="G674" s="12" t="s">
        <v>3598</v>
      </c>
      <c r="H674" s="12" t="s">
        <v>3213</v>
      </c>
      <c r="I674" s="12" t="s">
        <v>2062</v>
      </c>
      <c r="J674" s="12" t="s">
        <v>1551</v>
      </c>
      <c r="K674" s="12" t="s">
        <v>1599</v>
      </c>
      <c r="L674" s="12" t="s">
        <v>2062</v>
      </c>
      <c r="M674" s="12" t="s">
        <v>1551</v>
      </c>
    </row>
    <row r="675" spans="1:13" ht="15" customHeight="1" x14ac:dyDescent="0.3">
      <c r="A675" s="12" t="s">
        <v>31</v>
      </c>
      <c r="B675" s="12" t="s">
        <v>1228</v>
      </c>
      <c r="C675" s="12" t="s">
        <v>1227</v>
      </c>
      <c r="D675" s="12" t="s">
        <v>1410</v>
      </c>
      <c r="E675" s="12" t="s">
        <v>4020</v>
      </c>
      <c r="F675" s="12" t="s">
        <v>4021</v>
      </c>
      <c r="G675" s="12" t="s">
        <v>4022</v>
      </c>
      <c r="H675" s="12" t="s">
        <v>3203</v>
      </c>
      <c r="I675" s="12" t="s">
        <v>1599</v>
      </c>
      <c r="J675" s="12" t="s">
        <v>2018</v>
      </c>
      <c r="K675" s="12" t="s">
        <v>1551</v>
      </c>
      <c r="L675" s="12" t="s">
        <v>1506</v>
      </c>
      <c r="M675" s="12" t="s">
        <v>1506</v>
      </c>
    </row>
    <row r="676" spans="1:13" ht="15" customHeight="1" x14ac:dyDescent="0.3">
      <c r="A676" s="12" t="s">
        <v>55</v>
      </c>
      <c r="B676" s="12" t="s">
        <v>148</v>
      </c>
      <c r="C676" s="12" t="s">
        <v>5822</v>
      </c>
      <c r="D676" s="12" t="s">
        <v>1410</v>
      </c>
      <c r="E676" s="12" t="s">
        <v>6344</v>
      </c>
      <c r="F676" s="12" t="s">
        <v>6345</v>
      </c>
      <c r="G676" s="12" t="s">
        <v>2666</v>
      </c>
      <c r="H676" s="12" t="s">
        <v>1551</v>
      </c>
      <c r="I676" s="12" t="s">
        <v>1551</v>
      </c>
      <c r="J676" s="12" t="s">
        <v>1414</v>
      </c>
      <c r="K676" s="12" t="s">
        <v>1414</v>
      </c>
      <c r="L676" s="12" t="s">
        <v>1414</v>
      </c>
      <c r="M676" s="12" t="s">
        <v>1414</v>
      </c>
    </row>
    <row r="677" spans="1:13" ht="15" customHeight="1" x14ac:dyDescent="0.3">
      <c r="A677" s="12" t="s">
        <v>31</v>
      </c>
      <c r="B677" s="12" t="s">
        <v>1230</v>
      </c>
      <c r="C677" s="12" t="s">
        <v>1229</v>
      </c>
      <c r="D677" s="12" t="s">
        <v>1410</v>
      </c>
      <c r="E677" s="12" t="s">
        <v>4201</v>
      </c>
      <c r="F677" s="12" t="s">
        <v>4194</v>
      </c>
      <c r="G677" s="12" t="s">
        <v>2157</v>
      </c>
      <c r="H677" s="12" t="s">
        <v>3246</v>
      </c>
      <c r="I677" s="12" t="s">
        <v>1551</v>
      </c>
      <c r="J677" s="12" t="s">
        <v>1599</v>
      </c>
      <c r="K677" s="12" t="s">
        <v>1506</v>
      </c>
      <c r="L677" s="12" t="s">
        <v>2018</v>
      </c>
      <c r="M677" s="12" t="s">
        <v>1551</v>
      </c>
    </row>
    <row r="678" spans="1:13" ht="15" customHeight="1" x14ac:dyDescent="0.3">
      <c r="A678" s="12" t="s">
        <v>8</v>
      </c>
      <c r="B678" s="12" t="s">
        <v>1232</v>
      </c>
      <c r="C678" s="12" t="s">
        <v>1231</v>
      </c>
      <c r="D678" s="12" t="s">
        <v>1410</v>
      </c>
      <c r="E678" s="12" t="s">
        <v>4365</v>
      </c>
      <c r="F678" s="12" t="s">
        <v>3159</v>
      </c>
      <c r="G678" s="12" t="s">
        <v>4366</v>
      </c>
      <c r="H678" s="12" t="s">
        <v>3246</v>
      </c>
      <c r="I678" s="12" t="s">
        <v>1551</v>
      </c>
      <c r="J678" s="12" t="s">
        <v>1551</v>
      </c>
      <c r="K678" s="12" t="s">
        <v>2062</v>
      </c>
      <c r="L678" s="12" t="s">
        <v>2018</v>
      </c>
      <c r="M678" s="12" t="s">
        <v>2018</v>
      </c>
    </row>
    <row r="679" spans="1:13" ht="15" customHeight="1" x14ac:dyDescent="0.3">
      <c r="A679" s="12" t="s">
        <v>28</v>
      </c>
      <c r="B679" s="12" t="s">
        <v>5839</v>
      </c>
      <c r="C679" s="12" t="s">
        <v>5840</v>
      </c>
      <c r="D679" s="12" t="s">
        <v>1410</v>
      </c>
      <c r="E679" s="12" t="s">
        <v>5898</v>
      </c>
      <c r="F679" s="12" t="s">
        <v>6049</v>
      </c>
      <c r="G679" s="12" t="s">
        <v>6346</v>
      </c>
      <c r="H679" s="12" t="s">
        <v>3322</v>
      </c>
      <c r="I679" s="12" t="s">
        <v>1599</v>
      </c>
      <c r="J679" s="12" t="s">
        <v>2018</v>
      </c>
      <c r="K679" s="12" t="s">
        <v>1551</v>
      </c>
      <c r="L679" s="12" t="s">
        <v>1749</v>
      </c>
      <c r="M679" s="12" t="s">
        <v>1414</v>
      </c>
    </row>
    <row r="680" spans="1:13" ht="15" customHeight="1" x14ac:dyDescent="0.3">
      <c r="A680" s="12" t="s">
        <v>8</v>
      </c>
      <c r="B680" s="12" t="s">
        <v>5843</v>
      </c>
      <c r="C680" s="12" t="s">
        <v>5844</v>
      </c>
      <c r="D680" s="12" t="s">
        <v>1410</v>
      </c>
      <c r="E680" s="12" t="s">
        <v>5721</v>
      </c>
      <c r="F680" s="12" t="s">
        <v>6347</v>
      </c>
      <c r="G680" s="12" t="s">
        <v>6348</v>
      </c>
      <c r="H680" s="12" t="s">
        <v>3311</v>
      </c>
      <c r="I680" s="12" t="s">
        <v>1420</v>
      </c>
      <c r="J680" s="12" t="s">
        <v>3204</v>
      </c>
      <c r="K680" s="12" t="s">
        <v>2018</v>
      </c>
      <c r="L680" s="12" t="s">
        <v>1506</v>
      </c>
      <c r="M680" s="12" t="s">
        <v>2018</v>
      </c>
    </row>
    <row r="681" spans="1:13" ht="15" customHeight="1" x14ac:dyDescent="0.3">
      <c r="A681" s="12" t="s">
        <v>71</v>
      </c>
      <c r="B681" s="12" t="s">
        <v>1234</v>
      </c>
      <c r="C681" s="12" t="s">
        <v>1233</v>
      </c>
      <c r="D681" s="12" t="s">
        <v>1410</v>
      </c>
      <c r="E681" s="12" t="s">
        <v>3048</v>
      </c>
      <c r="F681" s="12" t="s">
        <v>4296</v>
      </c>
      <c r="G681" s="12" t="s">
        <v>3428</v>
      </c>
      <c r="H681" s="12" t="s">
        <v>3300</v>
      </c>
      <c r="I681" s="12" t="s">
        <v>1749</v>
      </c>
      <c r="J681" s="12" t="s">
        <v>2018</v>
      </c>
      <c r="K681" s="12" t="s">
        <v>1506</v>
      </c>
      <c r="L681" s="12" t="s">
        <v>1551</v>
      </c>
      <c r="M681" s="12" t="s">
        <v>2018</v>
      </c>
    </row>
    <row r="682" spans="1:13" ht="15" customHeight="1" x14ac:dyDescent="0.3">
      <c r="A682" s="12" t="s">
        <v>5849</v>
      </c>
      <c r="B682" s="12" t="s">
        <v>5850</v>
      </c>
      <c r="C682" s="12" t="s">
        <v>5851</v>
      </c>
      <c r="D682" s="12" t="s">
        <v>1410</v>
      </c>
      <c r="E682" s="12" t="s">
        <v>6349</v>
      </c>
      <c r="F682" s="12" t="s">
        <v>6350</v>
      </c>
      <c r="G682" s="12" t="s">
        <v>5233</v>
      </c>
      <c r="H682" s="12" t="s">
        <v>3311</v>
      </c>
      <c r="I682" s="12" t="s">
        <v>1551</v>
      </c>
      <c r="J682" s="12" t="s">
        <v>1599</v>
      </c>
      <c r="K682" s="12" t="s">
        <v>2018</v>
      </c>
      <c r="L682" s="12" t="s">
        <v>1506</v>
      </c>
      <c r="M682" s="12" t="s">
        <v>1414</v>
      </c>
    </row>
    <row r="683" spans="1:13" ht="15" customHeight="1" x14ac:dyDescent="0.3">
      <c r="A683" s="12" t="s">
        <v>42</v>
      </c>
      <c r="B683" s="12" t="s">
        <v>1236</v>
      </c>
      <c r="C683" s="12" t="s">
        <v>1235</v>
      </c>
      <c r="D683" s="12" t="s">
        <v>1410</v>
      </c>
      <c r="E683" s="12" t="s">
        <v>3089</v>
      </c>
      <c r="F683" s="12" t="s">
        <v>3118</v>
      </c>
      <c r="G683" s="12" t="s">
        <v>4313</v>
      </c>
      <c r="H683" s="12" t="s">
        <v>3218</v>
      </c>
      <c r="I683" s="12" t="s">
        <v>1551</v>
      </c>
      <c r="J683" s="12" t="s">
        <v>3204</v>
      </c>
      <c r="K683" s="12" t="s">
        <v>1551</v>
      </c>
      <c r="L683" s="12" t="s">
        <v>1551</v>
      </c>
      <c r="M683" s="12" t="s">
        <v>2062</v>
      </c>
    </row>
    <row r="684" spans="1:13" ht="15" customHeight="1" x14ac:dyDescent="0.3">
      <c r="A684" s="12" t="s">
        <v>42</v>
      </c>
      <c r="B684" s="12" t="s">
        <v>1238</v>
      </c>
      <c r="C684" s="12" t="s">
        <v>1237</v>
      </c>
      <c r="D684" s="12" t="s">
        <v>1410</v>
      </c>
      <c r="E684" s="12" t="s">
        <v>4054</v>
      </c>
      <c r="F684" s="12" t="s">
        <v>4055</v>
      </c>
      <c r="G684" s="12" t="s">
        <v>4056</v>
      </c>
      <c r="H684" s="12" t="s">
        <v>3203</v>
      </c>
      <c r="I684" s="12" t="s">
        <v>2062</v>
      </c>
      <c r="J684" s="12" t="s">
        <v>1599</v>
      </c>
      <c r="K684" s="12" t="s">
        <v>2018</v>
      </c>
      <c r="L684" s="12" t="s">
        <v>1599</v>
      </c>
      <c r="M684" s="12" t="s">
        <v>2018</v>
      </c>
    </row>
    <row r="685" spans="1:13" ht="15" customHeight="1" x14ac:dyDescent="0.3">
      <c r="A685" s="12" t="s">
        <v>8</v>
      </c>
      <c r="B685" s="12" t="s">
        <v>172</v>
      </c>
      <c r="C685" s="12" t="s">
        <v>5855</v>
      </c>
      <c r="D685" s="12" t="s">
        <v>1410</v>
      </c>
      <c r="E685" s="12" t="s">
        <v>6351</v>
      </c>
      <c r="F685" s="12" t="s">
        <v>6297</v>
      </c>
      <c r="G685" s="12" t="s">
        <v>4227</v>
      </c>
      <c r="H685" s="12" t="s">
        <v>3213</v>
      </c>
      <c r="I685" s="12" t="s">
        <v>2435</v>
      </c>
      <c r="J685" s="12" t="s">
        <v>1506</v>
      </c>
      <c r="K685" s="12" t="s">
        <v>1551</v>
      </c>
      <c r="L685" s="12" t="s">
        <v>1551</v>
      </c>
      <c r="M685" s="12" t="s">
        <v>1551</v>
      </c>
    </row>
    <row r="686" spans="1:13" ht="15" customHeight="1" x14ac:dyDescent="0.3">
      <c r="A686" s="12" t="s">
        <v>5860</v>
      </c>
      <c r="B686" s="12" t="s">
        <v>5861</v>
      </c>
      <c r="C686" s="12" t="s">
        <v>5862</v>
      </c>
      <c r="D686" s="12" t="s">
        <v>1410</v>
      </c>
      <c r="E686" s="12" t="s">
        <v>6352</v>
      </c>
      <c r="F686" s="12" t="s">
        <v>6353</v>
      </c>
      <c r="G686" s="12" t="s">
        <v>3589</v>
      </c>
      <c r="H686" s="12" t="s">
        <v>3234</v>
      </c>
      <c r="I686" s="12" t="s">
        <v>1551</v>
      </c>
      <c r="J686" s="12" t="s">
        <v>1506</v>
      </c>
      <c r="K686" s="12" t="s">
        <v>1551</v>
      </c>
      <c r="L686" s="12" t="s">
        <v>1551</v>
      </c>
      <c r="M686" s="12" t="s">
        <v>2018</v>
      </c>
    </row>
    <row r="687" spans="1:13" ht="15" customHeight="1" x14ac:dyDescent="0.3">
      <c r="A687" s="12" t="s">
        <v>8</v>
      </c>
      <c r="B687" s="12" t="s">
        <v>1240</v>
      </c>
      <c r="C687" s="12" t="s">
        <v>1239</v>
      </c>
      <c r="D687" s="12" t="s">
        <v>1410</v>
      </c>
      <c r="E687" s="12" t="s">
        <v>4287</v>
      </c>
      <c r="F687" s="12" t="s">
        <v>4288</v>
      </c>
      <c r="G687" s="12" t="s">
        <v>3438</v>
      </c>
      <c r="H687" s="12" t="s">
        <v>3300</v>
      </c>
      <c r="I687" s="12" t="s">
        <v>2062</v>
      </c>
      <c r="J687" s="12" t="s">
        <v>3204</v>
      </c>
      <c r="K687" s="12" t="s">
        <v>2018</v>
      </c>
      <c r="L687" s="12" t="s">
        <v>2018</v>
      </c>
      <c r="M687" s="12" t="s">
        <v>1551</v>
      </c>
    </row>
    <row r="688" spans="1:13" ht="15" customHeight="1" x14ac:dyDescent="0.3">
      <c r="A688" s="12" t="s">
        <v>8</v>
      </c>
      <c r="B688" s="12" t="s">
        <v>5879</v>
      </c>
      <c r="C688" s="12" t="s">
        <v>5880</v>
      </c>
      <c r="D688" s="12" t="s">
        <v>1410</v>
      </c>
      <c r="E688" s="12" t="s">
        <v>5594</v>
      </c>
      <c r="F688" s="12" t="s">
        <v>6354</v>
      </c>
      <c r="G688" s="12" t="s">
        <v>6355</v>
      </c>
      <c r="H688" s="12" t="s">
        <v>3411</v>
      </c>
      <c r="I688" s="12" t="s">
        <v>3214</v>
      </c>
      <c r="J688" s="12" t="s">
        <v>1599</v>
      </c>
      <c r="K688" s="12" t="s">
        <v>2018</v>
      </c>
      <c r="L688" s="12" t="s">
        <v>1599</v>
      </c>
      <c r="M688" s="12" t="s">
        <v>2018</v>
      </c>
    </row>
    <row r="689" spans="1:13" ht="15" customHeight="1" x14ac:dyDescent="0.3">
      <c r="A689" s="12" t="s">
        <v>825</v>
      </c>
      <c r="B689" s="12" t="s">
        <v>1242</v>
      </c>
      <c r="C689" s="12" t="s">
        <v>1241</v>
      </c>
      <c r="D689" s="12" t="s">
        <v>1410</v>
      </c>
      <c r="E689" s="12" t="s">
        <v>3121</v>
      </c>
      <c r="F689" s="12" t="s">
        <v>4342</v>
      </c>
      <c r="G689" s="12" t="s">
        <v>3305</v>
      </c>
      <c r="H689" s="12" t="s">
        <v>3246</v>
      </c>
      <c r="I689" s="12" t="s">
        <v>1551</v>
      </c>
      <c r="J689" s="12" t="s">
        <v>1551</v>
      </c>
      <c r="K689" s="12" t="s">
        <v>1506</v>
      </c>
      <c r="L689" s="12" t="s">
        <v>1599</v>
      </c>
      <c r="M689" s="12" t="s">
        <v>2018</v>
      </c>
    </row>
    <row r="690" spans="1:13" ht="15" customHeight="1" x14ac:dyDescent="0.3">
      <c r="A690" s="12" t="s">
        <v>1245</v>
      </c>
      <c r="B690" s="12" t="s">
        <v>1244</v>
      </c>
      <c r="C690" s="12" t="s">
        <v>1243</v>
      </c>
      <c r="D690" s="12" t="s">
        <v>1410</v>
      </c>
      <c r="E690" s="12" t="s">
        <v>4359</v>
      </c>
      <c r="F690" s="12" t="s">
        <v>4360</v>
      </c>
      <c r="G690" s="12" t="s">
        <v>4361</v>
      </c>
      <c r="H690" s="12" t="s">
        <v>3246</v>
      </c>
      <c r="I690" s="12" t="s">
        <v>1551</v>
      </c>
      <c r="J690" s="12" t="s">
        <v>2018</v>
      </c>
      <c r="K690" s="12" t="s">
        <v>1551</v>
      </c>
      <c r="L690" s="12" t="s">
        <v>2062</v>
      </c>
      <c r="M690" s="12" t="s">
        <v>2018</v>
      </c>
    </row>
    <row r="691" spans="1:13" ht="15" customHeight="1" x14ac:dyDescent="0.3">
      <c r="A691" s="12" t="s">
        <v>55</v>
      </c>
      <c r="B691" s="12" t="s">
        <v>5886</v>
      </c>
      <c r="C691" s="12" t="s">
        <v>5887</v>
      </c>
      <c r="D691" s="12" t="s">
        <v>1410</v>
      </c>
      <c r="E691" s="12" t="s">
        <v>6356</v>
      </c>
      <c r="F691" s="12" t="s">
        <v>6357</v>
      </c>
      <c r="G691" s="12" t="s">
        <v>5743</v>
      </c>
      <c r="H691" s="12" t="s">
        <v>3322</v>
      </c>
      <c r="I691" s="12" t="s">
        <v>3204</v>
      </c>
      <c r="J691" s="12" t="s">
        <v>1551</v>
      </c>
      <c r="K691" s="12" t="s">
        <v>2062</v>
      </c>
      <c r="L691" s="12" t="s">
        <v>1420</v>
      </c>
      <c r="M691" s="12" t="s">
        <v>2018</v>
      </c>
    </row>
    <row r="692" spans="1:13" ht="15" customHeight="1" x14ac:dyDescent="0.3">
      <c r="A692" s="12" t="s">
        <v>528</v>
      </c>
      <c r="B692" s="12" t="s">
        <v>1247</v>
      </c>
      <c r="C692" s="12" t="s">
        <v>1246</v>
      </c>
      <c r="D692" s="12" t="s">
        <v>1410</v>
      </c>
      <c r="E692" s="12" t="s">
        <v>2465</v>
      </c>
      <c r="F692" s="12" t="s">
        <v>3728</v>
      </c>
      <c r="G692" s="12" t="s">
        <v>3729</v>
      </c>
      <c r="H692" s="12" t="s">
        <v>3439</v>
      </c>
      <c r="I692" s="12" t="s">
        <v>2018</v>
      </c>
      <c r="J692" s="12" t="s">
        <v>2018</v>
      </c>
      <c r="K692" s="12" t="s">
        <v>2018</v>
      </c>
      <c r="L692" s="12" t="s">
        <v>2018</v>
      </c>
      <c r="M692" s="12" t="s">
        <v>1551</v>
      </c>
    </row>
    <row r="693" spans="1:13" ht="15" customHeight="1" x14ac:dyDescent="0.3">
      <c r="A693" s="12" t="s">
        <v>25</v>
      </c>
      <c r="B693" s="12" t="s">
        <v>622</v>
      </c>
      <c r="C693" s="12" t="s">
        <v>5897</v>
      </c>
      <c r="D693" s="12" t="s">
        <v>1410</v>
      </c>
      <c r="E693" s="12" t="s">
        <v>6336</v>
      </c>
      <c r="F693" s="12" t="s">
        <v>6358</v>
      </c>
      <c r="G693" s="12" t="s">
        <v>6359</v>
      </c>
      <c r="H693" s="12" t="s">
        <v>3210</v>
      </c>
      <c r="I693" s="12" t="s">
        <v>1551</v>
      </c>
      <c r="J693" s="12" t="s">
        <v>1506</v>
      </c>
      <c r="K693" s="12" t="s">
        <v>1506</v>
      </c>
      <c r="L693" s="12" t="s">
        <v>2018</v>
      </c>
      <c r="M693" s="12" t="s">
        <v>1551</v>
      </c>
    </row>
    <row r="694" spans="1:13" ht="15" customHeight="1" x14ac:dyDescent="0.3">
      <c r="A694" s="12" t="s">
        <v>19</v>
      </c>
      <c r="B694" s="12" t="s">
        <v>5909</v>
      </c>
      <c r="C694" s="12" t="s">
        <v>5910</v>
      </c>
      <c r="D694" s="12" t="s">
        <v>1410</v>
      </c>
      <c r="E694" s="12" t="s">
        <v>6360</v>
      </c>
      <c r="F694" s="12" t="s">
        <v>6361</v>
      </c>
      <c r="G694" s="12" t="s">
        <v>6362</v>
      </c>
      <c r="H694" s="12" t="s">
        <v>3411</v>
      </c>
      <c r="I694" s="12" t="s">
        <v>3204</v>
      </c>
      <c r="J694" s="12" t="s">
        <v>3204</v>
      </c>
      <c r="K694" s="12" t="s">
        <v>1506</v>
      </c>
      <c r="L694" s="12" t="s">
        <v>2018</v>
      </c>
      <c r="M694" s="12" t="s">
        <v>2018</v>
      </c>
    </row>
    <row r="695" spans="1:13" ht="15" customHeight="1" x14ac:dyDescent="0.3">
      <c r="A695" s="12" t="s">
        <v>31</v>
      </c>
      <c r="B695" s="12" t="s">
        <v>1249</v>
      </c>
      <c r="C695" s="12" t="s">
        <v>1248</v>
      </c>
      <c r="D695" s="12" t="s">
        <v>1410</v>
      </c>
      <c r="E695" s="12" t="s">
        <v>6363</v>
      </c>
      <c r="F695" s="12" t="s">
        <v>5515</v>
      </c>
      <c r="G695" s="12" t="s">
        <v>5565</v>
      </c>
      <c r="H695" s="12" t="s">
        <v>3223</v>
      </c>
      <c r="I695" s="12" t="s">
        <v>1506</v>
      </c>
      <c r="J695" s="12" t="s">
        <v>1551</v>
      </c>
      <c r="K695" s="12" t="s">
        <v>2018</v>
      </c>
      <c r="L695" s="12" t="s">
        <v>2018</v>
      </c>
      <c r="M695" s="12" t="s">
        <v>2018</v>
      </c>
    </row>
    <row r="696" spans="1:13" ht="15" customHeight="1" x14ac:dyDescent="0.3">
      <c r="A696" s="12" t="s">
        <v>8</v>
      </c>
      <c r="B696" s="12" t="s">
        <v>1251</v>
      </c>
      <c r="C696" s="12" t="s">
        <v>1250</v>
      </c>
      <c r="D696" s="12" t="s">
        <v>1410</v>
      </c>
      <c r="E696" s="12" t="s">
        <v>3050</v>
      </c>
      <c r="F696" s="12" t="s">
        <v>3072</v>
      </c>
      <c r="G696" s="12" t="s">
        <v>4289</v>
      </c>
      <c r="H696" s="12" t="s">
        <v>3240</v>
      </c>
      <c r="I696" s="12" t="s">
        <v>2018</v>
      </c>
      <c r="J696" s="12" t="s">
        <v>1551</v>
      </c>
      <c r="K696" s="12" t="s">
        <v>1551</v>
      </c>
      <c r="L696" s="12" t="s">
        <v>1551</v>
      </c>
      <c r="M696" s="12" t="s">
        <v>1599</v>
      </c>
    </row>
    <row r="697" spans="1:13" ht="15" customHeight="1" x14ac:dyDescent="0.3">
      <c r="A697" s="12" t="s">
        <v>133</v>
      </c>
      <c r="B697" s="12" t="s">
        <v>642</v>
      </c>
      <c r="C697" s="12" t="s">
        <v>1252</v>
      </c>
      <c r="D697" s="12" t="s">
        <v>1410</v>
      </c>
      <c r="E697" s="12" t="s">
        <v>4310</v>
      </c>
      <c r="F697" s="12" t="s">
        <v>3113</v>
      </c>
      <c r="G697" s="12" t="s">
        <v>4311</v>
      </c>
      <c r="H697" s="12" t="s">
        <v>3294</v>
      </c>
      <c r="I697" s="12" t="s">
        <v>1749</v>
      </c>
      <c r="J697" s="12" t="s">
        <v>1506</v>
      </c>
      <c r="K697" s="12" t="s">
        <v>2018</v>
      </c>
      <c r="L697" s="12" t="s">
        <v>1506</v>
      </c>
      <c r="M697" s="12" t="s">
        <v>1551</v>
      </c>
    </row>
    <row r="698" spans="1:13" ht="15" customHeight="1" x14ac:dyDescent="0.3">
      <c r="A698" s="12" t="s">
        <v>8</v>
      </c>
      <c r="B698" s="12" t="s">
        <v>642</v>
      </c>
      <c r="C698" s="12" t="s">
        <v>1253</v>
      </c>
      <c r="D698" s="12" t="s">
        <v>1410</v>
      </c>
      <c r="E698" s="12" t="s">
        <v>3861</v>
      </c>
      <c r="F698" s="12" t="s">
        <v>3862</v>
      </c>
      <c r="G698" s="12" t="s">
        <v>3863</v>
      </c>
      <c r="H698" s="12" t="s">
        <v>3246</v>
      </c>
      <c r="I698" s="12" t="s">
        <v>2018</v>
      </c>
      <c r="J698" s="12" t="s">
        <v>3204</v>
      </c>
      <c r="K698" s="12" t="s">
        <v>1551</v>
      </c>
      <c r="L698" s="12" t="s">
        <v>1599</v>
      </c>
      <c r="M698" s="12" t="s">
        <v>2018</v>
      </c>
    </row>
    <row r="699" spans="1:13" ht="15" customHeight="1" x14ac:dyDescent="0.3">
      <c r="A699" s="12" t="s">
        <v>16</v>
      </c>
      <c r="B699" s="12" t="s">
        <v>1255</v>
      </c>
      <c r="C699" s="12" t="s">
        <v>1254</v>
      </c>
      <c r="D699" s="12" t="s">
        <v>1410</v>
      </c>
      <c r="E699" s="12" t="s">
        <v>3733</v>
      </c>
      <c r="F699" s="12" t="s">
        <v>3734</v>
      </c>
      <c r="G699" s="12" t="s">
        <v>3735</v>
      </c>
      <c r="H699" s="12" t="s">
        <v>3439</v>
      </c>
      <c r="I699" s="12" t="s">
        <v>2018</v>
      </c>
      <c r="J699" s="12" t="s">
        <v>2018</v>
      </c>
      <c r="K699" s="12" t="s">
        <v>2018</v>
      </c>
      <c r="L699" s="12" t="s">
        <v>2018</v>
      </c>
      <c r="M699" s="12" t="s">
        <v>1551</v>
      </c>
    </row>
    <row r="700" spans="1:13" ht="15" customHeight="1" x14ac:dyDescent="0.3">
      <c r="A700" s="12" t="s">
        <v>22</v>
      </c>
      <c r="B700" s="12" t="s">
        <v>1257</v>
      </c>
      <c r="C700" s="12" t="s">
        <v>1256</v>
      </c>
      <c r="D700" s="12" t="s">
        <v>1410</v>
      </c>
      <c r="E700" s="12" t="s">
        <v>4302</v>
      </c>
      <c r="F700" s="12" t="s">
        <v>4303</v>
      </c>
      <c r="G700" s="12" t="s">
        <v>4304</v>
      </c>
      <c r="H700" s="12" t="s">
        <v>3203</v>
      </c>
      <c r="I700" s="12" t="s">
        <v>1551</v>
      </c>
      <c r="J700" s="12" t="s">
        <v>1506</v>
      </c>
      <c r="K700" s="12" t="s">
        <v>2018</v>
      </c>
      <c r="L700" s="12" t="s">
        <v>1551</v>
      </c>
      <c r="M700" s="12" t="s">
        <v>3204</v>
      </c>
    </row>
    <row r="701" spans="1:13" ht="15" customHeight="1" x14ac:dyDescent="0.3">
      <c r="A701" s="12" t="s">
        <v>8</v>
      </c>
      <c r="B701" s="12" t="s">
        <v>1259</v>
      </c>
      <c r="C701" s="12" t="s">
        <v>1258</v>
      </c>
      <c r="D701" s="12" t="s">
        <v>1410</v>
      </c>
      <c r="E701" s="12" t="s">
        <v>4374</v>
      </c>
      <c r="F701" s="12" t="s">
        <v>3174</v>
      </c>
      <c r="G701" s="12" t="s">
        <v>3509</v>
      </c>
      <c r="H701" s="12" t="s">
        <v>3246</v>
      </c>
      <c r="I701" s="12" t="s">
        <v>1599</v>
      </c>
      <c r="J701" s="12" t="s">
        <v>1551</v>
      </c>
      <c r="K701" s="12" t="s">
        <v>1506</v>
      </c>
      <c r="L701" s="12" t="s">
        <v>1551</v>
      </c>
      <c r="M701" s="12" t="s">
        <v>2018</v>
      </c>
    </row>
    <row r="702" spans="1:13" ht="15" customHeight="1" x14ac:dyDescent="0.3">
      <c r="A702" s="12" t="s">
        <v>28</v>
      </c>
      <c r="B702" s="12" t="s">
        <v>1259</v>
      </c>
      <c r="C702" s="12" t="s">
        <v>5940</v>
      </c>
      <c r="D702" s="12" t="s">
        <v>1410</v>
      </c>
      <c r="E702" s="12" t="s">
        <v>6364</v>
      </c>
      <c r="F702" s="12" t="s">
        <v>6365</v>
      </c>
      <c r="G702" s="12" t="s">
        <v>6366</v>
      </c>
      <c r="H702" s="12" t="s">
        <v>3275</v>
      </c>
      <c r="I702" s="12" t="s">
        <v>2435</v>
      </c>
      <c r="J702" s="12" t="s">
        <v>1599</v>
      </c>
      <c r="K702" s="12" t="s">
        <v>2018</v>
      </c>
      <c r="L702" s="12" t="s">
        <v>1599</v>
      </c>
      <c r="M702" s="12" t="s">
        <v>1414</v>
      </c>
    </row>
    <row r="703" spans="1:13" ht="15" customHeight="1" x14ac:dyDescent="0.3">
      <c r="A703" s="12" t="s">
        <v>31</v>
      </c>
      <c r="B703" s="12" t="s">
        <v>1261</v>
      </c>
      <c r="C703" s="12" t="s">
        <v>1260</v>
      </c>
      <c r="D703" s="12" t="s">
        <v>1410</v>
      </c>
      <c r="E703" s="12" t="s">
        <v>4280</v>
      </c>
      <c r="F703" s="12" t="s">
        <v>3034</v>
      </c>
      <c r="G703" s="12" t="s">
        <v>3975</v>
      </c>
      <c r="H703" s="12" t="s">
        <v>3311</v>
      </c>
      <c r="I703" s="12" t="s">
        <v>2062</v>
      </c>
      <c r="J703" s="12" t="s">
        <v>1599</v>
      </c>
      <c r="K703" s="12" t="s">
        <v>1506</v>
      </c>
      <c r="L703" s="12" t="s">
        <v>1599</v>
      </c>
      <c r="M703" s="12" t="s">
        <v>3204</v>
      </c>
    </row>
    <row r="704" spans="1:13" ht="15" customHeight="1" x14ac:dyDescent="0.3">
      <c r="A704" s="12" t="s">
        <v>55</v>
      </c>
      <c r="B704" s="12" t="s">
        <v>1263</v>
      </c>
      <c r="C704" s="12" t="s">
        <v>1262</v>
      </c>
      <c r="D704" s="12" t="s">
        <v>1410</v>
      </c>
      <c r="E704" s="12" t="s">
        <v>6299</v>
      </c>
      <c r="F704" s="12" t="s">
        <v>6367</v>
      </c>
      <c r="G704" s="12" t="s">
        <v>6368</v>
      </c>
      <c r="H704" s="12" t="s">
        <v>3240</v>
      </c>
      <c r="I704" s="12" t="s">
        <v>2018</v>
      </c>
      <c r="J704" s="12" t="s">
        <v>1506</v>
      </c>
      <c r="K704" s="12" t="s">
        <v>1599</v>
      </c>
      <c r="L704" s="12" t="s">
        <v>2018</v>
      </c>
      <c r="M704" s="12" t="s">
        <v>2018</v>
      </c>
    </row>
    <row r="705" spans="1:13" ht="15" customHeight="1" x14ac:dyDescent="0.3">
      <c r="A705" s="12" t="s">
        <v>42</v>
      </c>
      <c r="B705" s="12" t="s">
        <v>1265</v>
      </c>
      <c r="C705" s="12" t="s">
        <v>1264</v>
      </c>
      <c r="D705" s="12" t="s">
        <v>1410</v>
      </c>
      <c r="E705" s="12" t="s">
        <v>4285</v>
      </c>
      <c r="F705" s="12" t="s">
        <v>4293</v>
      </c>
      <c r="G705" s="12" t="s">
        <v>2830</v>
      </c>
      <c r="H705" s="12" t="s">
        <v>3300</v>
      </c>
      <c r="I705" s="12" t="s">
        <v>1551</v>
      </c>
      <c r="J705" s="12" t="s">
        <v>1506</v>
      </c>
      <c r="K705" s="12" t="s">
        <v>1551</v>
      </c>
      <c r="L705" s="12" t="s">
        <v>1599</v>
      </c>
      <c r="M705" s="12" t="s">
        <v>1506</v>
      </c>
    </row>
    <row r="706" spans="1:13" ht="15" customHeight="1" x14ac:dyDescent="0.3">
      <c r="A706" s="12" t="s">
        <v>8</v>
      </c>
      <c r="B706" s="12" t="s">
        <v>204</v>
      </c>
      <c r="C706" s="12" t="s">
        <v>1266</v>
      </c>
      <c r="D706" s="12" t="s">
        <v>1410</v>
      </c>
      <c r="E706" s="12" t="s">
        <v>4277</v>
      </c>
      <c r="F706" s="12" t="s">
        <v>3055</v>
      </c>
      <c r="G706" s="12" t="s">
        <v>4286</v>
      </c>
      <c r="H706" s="12" t="s">
        <v>3234</v>
      </c>
      <c r="I706" s="12" t="s">
        <v>1551</v>
      </c>
      <c r="J706" s="12" t="s">
        <v>1599</v>
      </c>
      <c r="K706" s="12" t="s">
        <v>1506</v>
      </c>
      <c r="L706" s="12" t="s">
        <v>2018</v>
      </c>
      <c r="M706" s="12" t="s">
        <v>2018</v>
      </c>
    </row>
    <row r="707" spans="1:13" ht="15" customHeight="1" x14ac:dyDescent="0.3">
      <c r="A707" s="12" t="s">
        <v>28</v>
      </c>
      <c r="B707" s="12" t="s">
        <v>5956</v>
      </c>
      <c r="C707" s="12" t="s">
        <v>5957</v>
      </c>
      <c r="D707" s="12" t="s">
        <v>1410</v>
      </c>
      <c r="E707" s="12" t="s">
        <v>6369</v>
      </c>
      <c r="F707" s="12" t="s">
        <v>6370</v>
      </c>
      <c r="G707" s="12" t="s">
        <v>6371</v>
      </c>
      <c r="H707" s="12" t="s">
        <v>3411</v>
      </c>
      <c r="I707" s="12" t="s">
        <v>2062</v>
      </c>
      <c r="J707" s="12" t="s">
        <v>1506</v>
      </c>
      <c r="K707" s="12" t="s">
        <v>1599</v>
      </c>
      <c r="L707" s="12" t="s">
        <v>1551</v>
      </c>
      <c r="M707" s="12" t="s">
        <v>2018</v>
      </c>
    </row>
    <row r="708" spans="1:13" ht="15" customHeight="1" x14ac:dyDescent="0.3">
      <c r="A708" s="12" t="s">
        <v>28</v>
      </c>
      <c r="B708" s="12" t="s">
        <v>5961</v>
      </c>
      <c r="C708" s="12" t="s">
        <v>5962</v>
      </c>
      <c r="D708" s="12" t="s">
        <v>1410</v>
      </c>
      <c r="E708" s="12" t="s">
        <v>6273</v>
      </c>
      <c r="F708" s="12" t="s">
        <v>6299</v>
      </c>
      <c r="G708" s="12" t="s">
        <v>6372</v>
      </c>
      <c r="H708" s="12" t="s">
        <v>3223</v>
      </c>
      <c r="I708" s="12" t="s">
        <v>2018</v>
      </c>
      <c r="J708" s="12" t="s">
        <v>1551</v>
      </c>
      <c r="K708" s="12" t="s">
        <v>1599</v>
      </c>
      <c r="L708" s="12" t="s">
        <v>2018</v>
      </c>
      <c r="M708" s="12" t="s">
        <v>1551</v>
      </c>
    </row>
    <row r="709" spans="1:13" ht="15" customHeight="1" x14ac:dyDescent="0.3">
      <c r="A709" s="12" t="s">
        <v>49</v>
      </c>
      <c r="B709" s="12" t="s">
        <v>1268</v>
      </c>
      <c r="C709" s="12" t="s">
        <v>1267</v>
      </c>
      <c r="D709" s="12" t="s">
        <v>1410</v>
      </c>
      <c r="E709" s="12" t="s">
        <v>4267</v>
      </c>
      <c r="F709" s="12" t="s">
        <v>4268</v>
      </c>
      <c r="G709" s="12" t="s">
        <v>3325</v>
      </c>
      <c r="H709" s="12" t="s">
        <v>3240</v>
      </c>
      <c r="I709" s="12" t="s">
        <v>1551</v>
      </c>
      <c r="J709" s="12" t="s">
        <v>2018</v>
      </c>
      <c r="K709" s="12" t="s">
        <v>3204</v>
      </c>
      <c r="L709" s="12" t="s">
        <v>2018</v>
      </c>
      <c r="M709" s="12" t="s">
        <v>2018</v>
      </c>
    </row>
    <row r="710" spans="1:13" ht="15" customHeight="1" x14ac:dyDescent="0.3">
      <c r="A710" s="12" t="s">
        <v>8</v>
      </c>
      <c r="B710" s="12" t="s">
        <v>5966</v>
      </c>
      <c r="C710" s="12" t="s">
        <v>5967</v>
      </c>
      <c r="D710" s="12" t="s">
        <v>1410</v>
      </c>
      <c r="E710" s="12" t="s">
        <v>6373</v>
      </c>
      <c r="F710" s="12" t="s">
        <v>6374</v>
      </c>
      <c r="G710" s="12" t="s">
        <v>1427</v>
      </c>
      <c r="H710" s="12" t="s">
        <v>3439</v>
      </c>
      <c r="I710" s="12" t="s">
        <v>2018</v>
      </c>
      <c r="J710" s="12" t="s">
        <v>2018</v>
      </c>
      <c r="K710" s="12" t="s">
        <v>2018</v>
      </c>
      <c r="L710" s="12" t="s">
        <v>2018</v>
      </c>
      <c r="M710" s="12" t="s">
        <v>1551</v>
      </c>
    </row>
    <row r="711" spans="1:13" ht="15" customHeight="1" x14ac:dyDescent="0.3">
      <c r="A711" s="12" t="s">
        <v>8</v>
      </c>
      <c r="B711" s="12" t="s">
        <v>1270</v>
      </c>
      <c r="C711" s="12" t="s">
        <v>1269</v>
      </c>
      <c r="D711" s="12" t="s">
        <v>1410</v>
      </c>
      <c r="E711" s="12" t="s">
        <v>4322</v>
      </c>
      <c r="F711" s="12" t="s">
        <v>3123</v>
      </c>
      <c r="G711" s="12" t="s">
        <v>2396</v>
      </c>
      <c r="H711" s="12" t="s">
        <v>3210</v>
      </c>
      <c r="I711" s="12" t="s">
        <v>1506</v>
      </c>
      <c r="J711" s="12" t="s">
        <v>1551</v>
      </c>
      <c r="K711" s="12" t="s">
        <v>3204</v>
      </c>
      <c r="L711" s="12" t="s">
        <v>2018</v>
      </c>
      <c r="M711" s="12" t="s">
        <v>2018</v>
      </c>
    </row>
    <row r="712" spans="1:13" ht="15" customHeight="1" x14ac:dyDescent="0.3">
      <c r="A712" s="12" t="s">
        <v>71</v>
      </c>
      <c r="B712" s="12" t="s">
        <v>1272</v>
      </c>
      <c r="C712" s="12" t="s">
        <v>1271</v>
      </c>
      <c r="D712" s="12" t="s">
        <v>1410</v>
      </c>
      <c r="E712" s="12" t="s">
        <v>4197</v>
      </c>
      <c r="F712" s="12" t="s">
        <v>2917</v>
      </c>
      <c r="G712" s="12" t="s">
        <v>2355</v>
      </c>
      <c r="H712" s="12" t="s">
        <v>3294</v>
      </c>
      <c r="I712" s="12" t="s">
        <v>3204</v>
      </c>
      <c r="J712" s="12" t="s">
        <v>1599</v>
      </c>
      <c r="K712" s="12" t="s">
        <v>3204</v>
      </c>
      <c r="L712" s="12" t="s">
        <v>1599</v>
      </c>
      <c r="M712" s="12" t="s">
        <v>1551</v>
      </c>
    </row>
    <row r="713" spans="1:13" ht="15" customHeight="1" x14ac:dyDescent="0.3">
      <c r="A713" s="12" t="s">
        <v>8</v>
      </c>
      <c r="B713" s="12" t="s">
        <v>5974</v>
      </c>
      <c r="C713" s="12" t="s">
        <v>5975</v>
      </c>
      <c r="D713" s="12" t="s">
        <v>1410</v>
      </c>
      <c r="E713" s="12" t="s">
        <v>5742</v>
      </c>
      <c r="F713" s="12" t="s">
        <v>6005</v>
      </c>
      <c r="G713" s="12" t="s">
        <v>2438</v>
      </c>
      <c r="H713" s="12" t="s">
        <v>3207</v>
      </c>
      <c r="I713" s="12" t="s">
        <v>2062</v>
      </c>
      <c r="J713" s="12" t="s">
        <v>1551</v>
      </c>
      <c r="K713" s="12" t="s">
        <v>1506</v>
      </c>
      <c r="L713" s="12" t="s">
        <v>3204</v>
      </c>
      <c r="M713" s="12" t="s">
        <v>1599</v>
      </c>
    </row>
    <row r="714" spans="1:13" ht="15" customHeight="1" x14ac:dyDescent="0.3">
      <c r="A714" s="12" t="s">
        <v>293</v>
      </c>
      <c r="B714" s="12" t="s">
        <v>1274</v>
      </c>
      <c r="C714" s="12" t="s">
        <v>1273</v>
      </c>
      <c r="D714" s="12" t="s">
        <v>1410</v>
      </c>
      <c r="E714" s="12" t="s">
        <v>3107</v>
      </c>
      <c r="F714" s="12" t="s">
        <v>3126</v>
      </c>
      <c r="G714" s="12" t="s">
        <v>4326</v>
      </c>
      <c r="H714" s="12" t="s">
        <v>3464</v>
      </c>
      <c r="I714" s="12" t="s">
        <v>2018</v>
      </c>
      <c r="J714" s="12" t="s">
        <v>2018</v>
      </c>
      <c r="K714" s="12" t="s">
        <v>2018</v>
      </c>
      <c r="L714" s="12" t="s">
        <v>2018</v>
      </c>
      <c r="M714" s="12" t="s">
        <v>2018</v>
      </c>
    </row>
    <row r="715" spans="1:13" ht="15" customHeight="1" x14ac:dyDescent="0.3">
      <c r="A715" s="12" t="s">
        <v>133</v>
      </c>
      <c r="B715" s="12" t="s">
        <v>1276</v>
      </c>
      <c r="C715" s="12" t="s">
        <v>1275</v>
      </c>
      <c r="D715" s="12" t="s">
        <v>1410</v>
      </c>
      <c r="E715" s="12" t="s">
        <v>6375</v>
      </c>
      <c r="F715" s="12" t="s">
        <v>6376</v>
      </c>
      <c r="G715" s="12" t="s">
        <v>3268</v>
      </c>
      <c r="H715" s="12" t="s">
        <v>1464</v>
      </c>
      <c r="I715" s="12" t="s">
        <v>1414</v>
      </c>
      <c r="J715" s="12" t="s">
        <v>2018</v>
      </c>
      <c r="K715" s="12" t="s">
        <v>2062</v>
      </c>
      <c r="L715" s="12" t="s">
        <v>2018</v>
      </c>
      <c r="M715" s="12" t="s">
        <v>1414</v>
      </c>
    </row>
    <row r="716" spans="1:13" ht="15" customHeight="1" x14ac:dyDescent="0.3">
      <c r="A716" s="12" t="s">
        <v>123</v>
      </c>
      <c r="B716" s="12" t="s">
        <v>1278</v>
      </c>
      <c r="C716" s="12" t="s">
        <v>1277</v>
      </c>
      <c r="D716" s="12" t="s">
        <v>1410</v>
      </c>
      <c r="E716" s="12" t="s">
        <v>6377</v>
      </c>
      <c r="F716" s="12" t="s">
        <v>6378</v>
      </c>
      <c r="G716" s="12" t="s">
        <v>3589</v>
      </c>
      <c r="H716" s="12" t="s">
        <v>3258</v>
      </c>
      <c r="I716" s="12" t="s">
        <v>2018</v>
      </c>
      <c r="J716" s="12" t="s">
        <v>1551</v>
      </c>
      <c r="K716" s="12" t="s">
        <v>2018</v>
      </c>
      <c r="L716" s="12" t="s">
        <v>2018</v>
      </c>
      <c r="M716" s="12" t="s">
        <v>1599</v>
      </c>
    </row>
    <row r="717" spans="1:13" ht="15" customHeight="1" x14ac:dyDescent="0.3">
      <c r="A717" s="12" t="s">
        <v>42</v>
      </c>
      <c r="B717" s="12" t="s">
        <v>5989</v>
      </c>
      <c r="C717" s="12" t="s">
        <v>5990</v>
      </c>
      <c r="D717" s="12" t="s">
        <v>1410</v>
      </c>
      <c r="E717" s="12" t="s">
        <v>5722</v>
      </c>
      <c r="F717" s="12" t="s">
        <v>6379</v>
      </c>
      <c r="G717" s="12" t="s">
        <v>3251</v>
      </c>
      <c r="H717" s="12" t="s">
        <v>3269</v>
      </c>
      <c r="I717" s="12" t="s">
        <v>1506</v>
      </c>
      <c r="J717" s="12" t="s">
        <v>1506</v>
      </c>
      <c r="K717" s="12" t="s">
        <v>1599</v>
      </c>
      <c r="L717" s="12" t="s">
        <v>2018</v>
      </c>
      <c r="M717" s="12" t="s">
        <v>1414</v>
      </c>
    </row>
    <row r="718" spans="1:13" ht="15" customHeight="1" x14ac:dyDescent="0.3">
      <c r="A718" s="12" t="s">
        <v>123</v>
      </c>
      <c r="B718" s="12" t="s">
        <v>1280</v>
      </c>
      <c r="C718" s="12" t="s">
        <v>1279</v>
      </c>
      <c r="D718" s="12" t="s">
        <v>1410</v>
      </c>
      <c r="E718" s="12" t="s">
        <v>3896</v>
      </c>
      <c r="F718" s="12" t="s">
        <v>3897</v>
      </c>
      <c r="G718" s="12" t="s">
        <v>3898</v>
      </c>
      <c r="H718" s="12" t="s">
        <v>3234</v>
      </c>
      <c r="I718" s="12" t="s">
        <v>1506</v>
      </c>
      <c r="J718" s="12" t="s">
        <v>2018</v>
      </c>
      <c r="K718" s="12" t="s">
        <v>1599</v>
      </c>
      <c r="L718" s="12" t="s">
        <v>1551</v>
      </c>
      <c r="M718" s="12" t="s">
        <v>2018</v>
      </c>
    </row>
    <row r="719" spans="1:13" ht="15" customHeight="1" x14ac:dyDescent="0.3">
      <c r="A719" s="12" t="s">
        <v>49</v>
      </c>
      <c r="B719" s="12" t="s">
        <v>5999</v>
      </c>
      <c r="C719" s="12" t="s">
        <v>6000</v>
      </c>
      <c r="D719" s="12" t="s">
        <v>1410</v>
      </c>
      <c r="E719" s="12" t="s">
        <v>6380</v>
      </c>
      <c r="F719" s="12" t="s">
        <v>6381</v>
      </c>
      <c r="G719" s="12" t="s">
        <v>6382</v>
      </c>
      <c r="H719" s="12" t="s">
        <v>3439</v>
      </c>
      <c r="I719" s="12" t="s">
        <v>2018</v>
      </c>
      <c r="J719" s="12" t="s">
        <v>2018</v>
      </c>
      <c r="K719" s="12" t="s">
        <v>2018</v>
      </c>
      <c r="L719" s="12" t="s">
        <v>2018</v>
      </c>
      <c r="M719" s="12" t="s">
        <v>1551</v>
      </c>
    </row>
    <row r="720" spans="1:13" ht="15" customHeight="1" x14ac:dyDescent="0.3">
      <c r="A720" s="12" t="s">
        <v>19</v>
      </c>
      <c r="B720" s="12" t="s">
        <v>6003</v>
      </c>
      <c r="C720" s="12" t="s">
        <v>6004</v>
      </c>
      <c r="D720" s="12" t="s">
        <v>1410</v>
      </c>
      <c r="E720" s="12" t="s">
        <v>6339</v>
      </c>
      <c r="F720" s="12" t="s">
        <v>6358</v>
      </c>
      <c r="G720" s="12" t="s">
        <v>3390</v>
      </c>
      <c r="H720" s="12" t="s">
        <v>3385</v>
      </c>
      <c r="I720" s="12" t="s">
        <v>3204</v>
      </c>
      <c r="J720" s="12" t="s">
        <v>1551</v>
      </c>
      <c r="K720" s="12" t="s">
        <v>2435</v>
      </c>
      <c r="L720" s="12" t="s">
        <v>1599</v>
      </c>
      <c r="M720" s="12" t="s">
        <v>1599</v>
      </c>
    </row>
    <row r="721" spans="1:13" ht="15" customHeight="1" x14ac:dyDescent="0.3">
      <c r="A721" s="12" t="s">
        <v>28</v>
      </c>
      <c r="B721" s="12" t="s">
        <v>1282</v>
      </c>
      <c r="C721" s="12" t="s">
        <v>1281</v>
      </c>
      <c r="D721" s="12" t="s">
        <v>1410</v>
      </c>
      <c r="E721" s="12" t="s">
        <v>3737</v>
      </c>
      <c r="F721" s="12" t="s">
        <v>3746</v>
      </c>
      <c r="G721" s="12" t="s">
        <v>3747</v>
      </c>
      <c r="H721" s="12" t="s">
        <v>3213</v>
      </c>
      <c r="I721" s="12" t="s">
        <v>1551</v>
      </c>
      <c r="J721" s="12" t="s">
        <v>1506</v>
      </c>
      <c r="K721" s="12" t="s">
        <v>1506</v>
      </c>
      <c r="L721" s="12" t="s">
        <v>3204</v>
      </c>
      <c r="M721" s="12" t="s">
        <v>1506</v>
      </c>
    </row>
    <row r="722" spans="1:13" ht="15" customHeight="1" x14ac:dyDescent="0.3">
      <c r="A722" s="12" t="s">
        <v>28</v>
      </c>
      <c r="B722" s="12" t="s">
        <v>1284</v>
      </c>
      <c r="C722" s="12" t="s">
        <v>1283</v>
      </c>
      <c r="D722" s="12" t="s">
        <v>1410</v>
      </c>
      <c r="E722" s="12" t="s">
        <v>3247</v>
      </c>
      <c r="F722" s="12" t="s">
        <v>3248</v>
      </c>
      <c r="G722" s="12" t="s">
        <v>3249</v>
      </c>
      <c r="H722" s="12" t="s">
        <v>3203</v>
      </c>
      <c r="I722" s="12" t="s">
        <v>2062</v>
      </c>
      <c r="J722" s="12" t="s">
        <v>2018</v>
      </c>
      <c r="K722" s="12" t="s">
        <v>1551</v>
      </c>
      <c r="L722" s="12" t="s">
        <v>1551</v>
      </c>
      <c r="M722" s="12" t="s">
        <v>1599</v>
      </c>
    </row>
    <row r="723" spans="1:13" ht="15" customHeight="1" x14ac:dyDescent="0.3">
      <c r="A723" s="12" t="s">
        <v>22</v>
      </c>
      <c r="B723" s="12" t="s">
        <v>6015</v>
      </c>
      <c r="C723" s="12" t="s">
        <v>6016</v>
      </c>
      <c r="D723" s="12" t="s">
        <v>1410</v>
      </c>
      <c r="E723" s="12" t="s">
        <v>6383</v>
      </c>
      <c r="F723" s="12" t="s">
        <v>6188</v>
      </c>
      <c r="G723" s="12" t="s">
        <v>6384</v>
      </c>
      <c r="H723" s="12" t="s">
        <v>3213</v>
      </c>
      <c r="I723" s="12" t="s">
        <v>1551</v>
      </c>
      <c r="J723" s="12" t="s">
        <v>1551</v>
      </c>
      <c r="K723" s="12" t="s">
        <v>1551</v>
      </c>
      <c r="L723" s="12" t="s">
        <v>1414</v>
      </c>
      <c r="M723" s="12" t="s">
        <v>1551</v>
      </c>
    </row>
    <row r="724" spans="1:13" ht="15" customHeight="1" x14ac:dyDescent="0.3">
      <c r="A724" s="12" t="s">
        <v>55</v>
      </c>
      <c r="B724" s="12" t="s">
        <v>6047</v>
      </c>
      <c r="C724" s="12" t="s">
        <v>6048</v>
      </c>
      <c r="D724" s="12" t="s">
        <v>1410</v>
      </c>
      <c r="E724" s="12" t="s">
        <v>6385</v>
      </c>
      <c r="F724" s="12" t="s">
        <v>6367</v>
      </c>
      <c r="G724" s="12" t="s">
        <v>3268</v>
      </c>
      <c r="H724" s="12" t="s">
        <v>1749</v>
      </c>
      <c r="I724" s="12" t="s">
        <v>1414</v>
      </c>
      <c r="J724" s="12" t="s">
        <v>1749</v>
      </c>
      <c r="K724" s="12" t="s">
        <v>1414</v>
      </c>
      <c r="L724" s="12" t="s">
        <v>1414</v>
      </c>
      <c r="M724" s="12" t="s">
        <v>1414</v>
      </c>
    </row>
    <row r="725" spans="1:13" ht="15" customHeight="1" x14ac:dyDescent="0.3">
      <c r="A725" s="12" t="s">
        <v>8</v>
      </c>
      <c r="B725" s="12" t="s">
        <v>1286</v>
      </c>
      <c r="C725" s="12" t="s">
        <v>1285</v>
      </c>
      <c r="D725" s="12" t="s">
        <v>1410</v>
      </c>
      <c r="E725" s="12" t="s">
        <v>4275</v>
      </c>
      <c r="F725" s="12" t="s">
        <v>3036</v>
      </c>
      <c r="G725" s="12" t="s">
        <v>3475</v>
      </c>
      <c r="H725" s="12" t="s">
        <v>3203</v>
      </c>
      <c r="I725" s="12" t="s">
        <v>1551</v>
      </c>
      <c r="J725" s="12" t="s">
        <v>1551</v>
      </c>
      <c r="K725" s="12" t="s">
        <v>2062</v>
      </c>
      <c r="L725" s="12" t="s">
        <v>2018</v>
      </c>
      <c r="M725" s="12" t="s">
        <v>1599</v>
      </c>
    </row>
    <row r="726" spans="1:13" ht="15" customHeight="1" x14ac:dyDescent="0.3">
      <c r="A726" s="12" t="s">
        <v>5500</v>
      </c>
      <c r="B726" s="12" t="s">
        <v>5501</v>
      </c>
      <c r="C726" s="12" t="s">
        <v>5502</v>
      </c>
      <c r="D726" s="12" t="s">
        <v>1410</v>
      </c>
      <c r="E726" s="12" t="s">
        <v>6274</v>
      </c>
      <c r="F726" s="12" t="s">
        <v>6339</v>
      </c>
      <c r="G726" s="12" t="s">
        <v>3070</v>
      </c>
      <c r="H726" s="12" t="s">
        <v>3234</v>
      </c>
      <c r="I726" s="12" t="s">
        <v>1551</v>
      </c>
      <c r="J726" s="12" t="s">
        <v>1506</v>
      </c>
      <c r="K726" s="12" t="s">
        <v>1551</v>
      </c>
      <c r="L726" s="12" t="s">
        <v>2018</v>
      </c>
      <c r="M726" s="12" t="s">
        <v>1551</v>
      </c>
    </row>
    <row r="727" spans="1:13" ht="15" customHeight="1" x14ac:dyDescent="0.3">
      <c r="A727" s="12" t="s">
        <v>66</v>
      </c>
      <c r="B727" s="12" t="s">
        <v>5592</v>
      </c>
      <c r="C727" s="12" t="s">
        <v>5593</v>
      </c>
      <c r="D727" s="12" t="s">
        <v>1410</v>
      </c>
      <c r="E727" s="12" t="s">
        <v>6386</v>
      </c>
      <c r="F727" s="12" t="s">
        <v>6387</v>
      </c>
      <c r="G727" s="12" t="s">
        <v>6388</v>
      </c>
      <c r="H727" s="12" t="s">
        <v>3311</v>
      </c>
      <c r="I727" s="12" t="s">
        <v>1599</v>
      </c>
      <c r="J727" s="12" t="s">
        <v>1414</v>
      </c>
      <c r="K727" s="12" t="s">
        <v>2018</v>
      </c>
      <c r="L727" s="12" t="s">
        <v>1551</v>
      </c>
      <c r="M727" s="12" t="s">
        <v>1506</v>
      </c>
    </row>
    <row r="728" spans="1:13" ht="15" customHeight="1" x14ac:dyDescent="0.3">
      <c r="A728" s="12" t="s">
        <v>5791</v>
      </c>
      <c r="B728" s="12" t="s">
        <v>5792</v>
      </c>
      <c r="C728" s="12" t="s">
        <v>5793</v>
      </c>
      <c r="D728" s="12" t="s">
        <v>1410</v>
      </c>
      <c r="E728" s="12" t="s">
        <v>5548</v>
      </c>
      <c r="F728" s="12" t="s">
        <v>6321</v>
      </c>
      <c r="G728" s="12" t="s">
        <v>6389</v>
      </c>
      <c r="H728" s="12" t="s">
        <v>3213</v>
      </c>
      <c r="I728" s="12" t="s">
        <v>3204</v>
      </c>
      <c r="J728" s="12" t="s">
        <v>1506</v>
      </c>
      <c r="K728" s="12" t="s">
        <v>1749</v>
      </c>
      <c r="L728" s="12" t="s">
        <v>2018</v>
      </c>
      <c r="M728" s="12" t="s">
        <v>1551</v>
      </c>
    </row>
    <row r="729" spans="1:13" ht="15" customHeight="1" x14ac:dyDescent="0.3">
      <c r="A729" s="12" t="s">
        <v>8</v>
      </c>
      <c r="B729" s="12" t="s">
        <v>5719</v>
      </c>
      <c r="C729" s="12" t="s">
        <v>5720</v>
      </c>
      <c r="D729" s="12" t="s">
        <v>1410</v>
      </c>
      <c r="E729" s="12" t="s">
        <v>5515</v>
      </c>
      <c r="F729" s="12" t="s">
        <v>6324</v>
      </c>
      <c r="G729" s="12" t="s">
        <v>6390</v>
      </c>
      <c r="H729" s="12" t="s">
        <v>3294</v>
      </c>
      <c r="I729" s="12" t="s">
        <v>1599</v>
      </c>
      <c r="J729" s="12" t="s">
        <v>1506</v>
      </c>
      <c r="K729" s="12" t="s">
        <v>1551</v>
      </c>
      <c r="L729" s="12" t="s">
        <v>1551</v>
      </c>
      <c r="M729" s="12" t="s">
        <v>1749</v>
      </c>
    </row>
    <row r="730" spans="1:13" ht="15" customHeight="1" x14ac:dyDescent="0.3">
      <c r="A730" s="12" t="s">
        <v>8</v>
      </c>
      <c r="B730" s="12" t="s">
        <v>5883</v>
      </c>
      <c r="C730" s="12" t="s">
        <v>5884</v>
      </c>
      <c r="D730" s="12" t="s">
        <v>1410</v>
      </c>
      <c r="E730" s="12" t="s">
        <v>6273</v>
      </c>
      <c r="F730" s="12" t="s">
        <v>6391</v>
      </c>
      <c r="G730" s="12" t="s">
        <v>6392</v>
      </c>
      <c r="H730" s="12" t="s">
        <v>3240</v>
      </c>
      <c r="I730" s="12" t="s">
        <v>1551</v>
      </c>
      <c r="J730" s="12" t="s">
        <v>2018</v>
      </c>
      <c r="K730" s="12" t="s">
        <v>1551</v>
      </c>
      <c r="L730" s="12" t="s">
        <v>1506</v>
      </c>
      <c r="M730" s="12" t="s">
        <v>2018</v>
      </c>
    </row>
    <row r="731" spans="1:13" ht="15" customHeight="1" x14ac:dyDescent="0.3">
      <c r="A731" s="12" t="s">
        <v>55</v>
      </c>
      <c r="B731" s="12" t="s">
        <v>5920</v>
      </c>
      <c r="C731" s="12" t="s">
        <v>5921</v>
      </c>
      <c r="D731" s="12" t="s">
        <v>1410</v>
      </c>
      <c r="E731" s="12" t="s">
        <v>6393</v>
      </c>
      <c r="F731" s="12" t="s">
        <v>6394</v>
      </c>
      <c r="G731" s="12" t="s">
        <v>6395</v>
      </c>
      <c r="H731" s="12" t="s">
        <v>1419</v>
      </c>
      <c r="I731" s="12" t="s">
        <v>1414</v>
      </c>
      <c r="J731" s="12" t="s">
        <v>2062</v>
      </c>
      <c r="K731" s="12" t="s">
        <v>2018</v>
      </c>
      <c r="L731" s="12" t="s">
        <v>1414</v>
      </c>
      <c r="M731" s="12" t="s">
        <v>1599</v>
      </c>
    </row>
    <row r="732" spans="1:13" ht="15" customHeight="1" x14ac:dyDescent="0.3">
      <c r="A732" s="12" t="s">
        <v>49</v>
      </c>
      <c r="B732" s="12" t="s">
        <v>5933</v>
      </c>
      <c r="C732" s="12" t="s">
        <v>5934</v>
      </c>
      <c r="D732" s="12" t="s">
        <v>1410</v>
      </c>
      <c r="E732" s="12" t="s">
        <v>6274</v>
      </c>
      <c r="F732" s="12" t="s">
        <v>6387</v>
      </c>
      <c r="G732" s="12" t="s">
        <v>6396</v>
      </c>
      <c r="H732" s="12" t="s">
        <v>1414</v>
      </c>
      <c r="I732" s="12" t="s">
        <v>1414</v>
      </c>
      <c r="J732" s="12" t="s">
        <v>1414</v>
      </c>
      <c r="K732" s="12" t="s">
        <v>1414</v>
      </c>
      <c r="L732" s="12" t="s">
        <v>1414</v>
      </c>
      <c r="M732" s="12" t="s">
        <v>1414</v>
      </c>
    </row>
    <row r="733" spans="1:13" ht="15" customHeight="1" x14ac:dyDescent="0.3">
      <c r="A733" s="12" t="s">
        <v>8</v>
      </c>
      <c r="B733" s="12" t="s">
        <v>5984</v>
      </c>
      <c r="C733" s="12" t="s">
        <v>5985</v>
      </c>
      <c r="D733" s="12" t="s">
        <v>1410</v>
      </c>
      <c r="E733" s="12" t="s">
        <v>6397</v>
      </c>
      <c r="F733" s="12" t="s">
        <v>6398</v>
      </c>
      <c r="G733" s="12" t="s">
        <v>6399</v>
      </c>
      <c r="H733" s="12" t="s">
        <v>1414</v>
      </c>
      <c r="I733" s="12" t="s">
        <v>1414</v>
      </c>
      <c r="J733" s="12" t="s">
        <v>1414</v>
      </c>
      <c r="K733" s="12" t="s">
        <v>1414</v>
      </c>
      <c r="L733" s="12" t="s">
        <v>1414</v>
      </c>
      <c r="M733" s="12" t="s">
        <v>1414</v>
      </c>
    </row>
    <row r="734" spans="1:13" ht="15" customHeight="1" x14ac:dyDescent="0.3">
      <c r="A734" s="12" t="s">
        <v>42</v>
      </c>
      <c r="B734" s="12" t="s">
        <v>1290</v>
      </c>
      <c r="C734" s="12" t="s">
        <v>1289</v>
      </c>
      <c r="D734" s="12" t="s">
        <v>1410</v>
      </c>
      <c r="E734" s="12" t="s">
        <v>3492</v>
      </c>
      <c r="F734" s="12" t="s">
        <v>3493</v>
      </c>
      <c r="G734" s="12" t="s">
        <v>3494</v>
      </c>
      <c r="H734" s="12" t="s">
        <v>3240</v>
      </c>
      <c r="I734" s="12" t="s">
        <v>2018</v>
      </c>
      <c r="J734" s="12" t="s">
        <v>1551</v>
      </c>
      <c r="K734" s="12" t="s">
        <v>1551</v>
      </c>
      <c r="L734" s="12" t="s">
        <v>2018</v>
      </c>
      <c r="M734" s="12" t="s">
        <v>1506</v>
      </c>
    </row>
    <row r="735" spans="1:13" ht="15" customHeight="1" x14ac:dyDescent="0.3">
      <c r="A735" s="12" t="s">
        <v>8</v>
      </c>
      <c r="B735" s="12" t="s">
        <v>1294</v>
      </c>
      <c r="C735" s="12" t="s">
        <v>1293</v>
      </c>
      <c r="D735" s="12" t="s">
        <v>1410</v>
      </c>
      <c r="E735" s="12" t="s">
        <v>1915</v>
      </c>
      <c r="F735" s="12" t="s">
        <v>3429</v>
      </c>
      <c r="G735" s="12" t="s">
        <v>3268</v>
      </c>
      <c r="H735" s="12" t="s">
        <v>1414</v>
      </c>
      <c r="I735" s="12" t="s">
        <v>1414</v>
      </c>
      <c r="J735" s="12" t="s">
        <v>1414</v>
      </c>
      <c r="K735" s="12" t="s">
        <v>1414</v>
      </c>
      <c r="L735" s="12" t="s">
        <v>1414</v>
      </c>
      <c r="M735" s="12" t="s">
        <v>1414</v>
      </c>
    </row>
    <row r="736" spans="1:13" ht="15" customHeight="1" x14ac:dyDescent="0.3">
      <c r="A736" s="12" t="s">
        <v>8</v>
      </c>
      <c r="B736" s="12" t="s">
        <v>1294</v>
      </c>
      <c r="C736" s="12" t="s">
        <v>1293</v>
      </c>
      <c r="D736" s="12" t="s">
        <v>1410</v>
      </c>
      <c r="E736" s="12" t="s">
        <v>3443</v>
      </c>
      <c r="F736" s="12" t="s">
        <v>3444</v>
      </c>
      <c r="G736" s="12" t="s">
        <v>3445</v>
      </c>
      <c r="H736" s="12" t="s">
        <v>3213</v>
      </c>
      <c r="I736" s="12" t="s">
        <v>3204</v>
      </c>
      <c r="J736" s="12" t="s">
        <v>1506</v>
      </c>
      <c r="K736" s="12" t="s">
        <v>1599</v>
      </c>
      <c r="L736" s="12" t="s">
        <v>1506</v>
      </c>
      <c r="M736" s="12" t="s">
        <v>1599</v>
      </c>
    </row>
    <row r="737" spans="1:13" ht="15" customHeight="1" x14ac:dyDescent="0.3">
      <c r="A737" s="12" t="s">
        <v>1307</v>
      </c>
      <c r="B737" s="12" t="s">
        <v>483</v>
      </c>
      <c r="C737" s="12" t="s">
        <v>1306</v>
      </c>
      <c r="D737" s="12" t="s">
        <v>1410</v>
      </c>
      <c r="E737" s="12" t="s">
        <v>4422</v>
      </c>
      <c r="F737" s="12" t="s">
        <v>4423</v>
      </c>
      <c r="G737" s="12" t="s">
        <v>4424</v>
      </c>
      <c r="H737" s="12" t="s">
        <v>3223</v>
      </c>
      <c r="I737" s="12" t="s">
        <v>1551</v>
      </c>
      <c r="J737" s="12" t="s">
        <v>1551</v>
      </c>
      <c r="K737" s="12" t="s">
        <v>2018</v>
      </c>
      <c r="L737" s="12" t="s">
        <v>2018</v>
      </c>
      <c r="M737" s="12" t="s">
        <v>1599</v>
      </c>
    </row>
    <row r="738" spans="1:13" ht="15" customHeight="1" x14ac:dyDescent="0.3">
      <c r="A738" s="12" t="s">
        <v>22</v>
      </c>
      <c r="B738" s="12" t="s">
        <v>483</v>
      </c>
      <c r="C738" s="12" t="s">
        <v>1309</v>
      </c>
      <c r="D738" s="12" t="s">
        <v>1410</v>
      </c>
      <c r="E738" s="12" t="s">
        <v>3720</v>
      </c>
      <c r="F738" s="12" t="s">
        <v>3738</v>
      </c>
      <c r="G738" s="12" t="s">
        <v>3739</v>
      </c>
      <c r="H738" s="12" t="s">
        <v>3271</v>
      </c>
      <c r="I738" s="12" t="s">
        <v>1414</v>
      </c>
      <c r="J738" s="12" t="s">
        <v>1551</v>
      </c>
      <c r="K738" s="12" t="s">
        <v>1506</v>
      </c>
      <c r="L738" s="12" t="s">
        <v>1749</v>
      </c>
      <c r="M738" s="12" t="s">
        <v>2018</v>
      </c>
    </row>
    <row r="739" spans="1:13" ht="15" customHeight="1" x14ac:dyDescent="0.3">
      <c r="A739" s="12" t="s">
        <v>16</v>
      </c>
      <c r="B739" s="12" t="s">
        <v>1320</v>
      </c>
      <c r="C739" s="12" t="s">
        <v>1319</v>
      </c>
      <c r="D739" s="12" t="s">
        <v>1410</v>
      </c>
      <c r="E739" s="12" t="s">
        <v>6400</v>
      </c>
      <c r="F739" s="12" t="s">
        <v>6401</v>
      </c>
      <c r="G739" s="12" t="s">
        <v>6402</v>
      </c>
      <c r="H739" s="12" t="s">
        <v>1606</v>
      </c>
      <c r="I739" s="12" t="s">
        <v>1506</v>
      </c>
      <c r="J739" s="12" t="s">
        <v>1414</v>
      </c>
      <c r="K739" s="12" t="s">
        <v>1414</v>
      </c>
      <c r="L739" s="12" t="s">
        <v>1414</v>
      </c>
      <c r="M739" s="12" t="s">
        <v>2018</v>
      </c>
    </row>
    <row r="740" spans="1:13" ht="15" customHeight="1" x14ac:dyDescent="0.3">
      <c r="A740" s="12" t="s">
        <v>31</v>
      </c>
      <c r="B740" s="12" t="s">
        <v>1322</v>
      </c>
      <c r="C740" s="12" t="s">
        <v>1321</v>
      </c>
      <c r="D740" s="12" t="s">
        <v>1456</v>
      </c>
      <c r="E740" s="12" t="s">
        <v>3500</v>
      </c>
      <c r="F740" s="12" t="s">
        <v>1415</v>
      </c>
      <c r="G740" s="12" t="s">
        <v>1415</v>
      </c>
      <c r="H740" s="12" t="s">
        <v>1415</v>
      </c>
      <c r="I740" s="12" t="s">
        <v>1414</v>
      </c>
      <c r="J740" s="12" t="s">
        <v>1414</v>
      </c>
      <c r="K740" s="12" t="s">
        <v>1415</v>
      </c>
      <c r="L740" s="12" t="s">
        <v>1415</v>
      </c>
      <c r="M740" s="12" t="s">
        <v>1415</v>
      </c>
    </row>
    <row r="741" spans="1:13" ht="15" customHeight="1" x14ac:dyDescent="0.3">
      <c r="A741" s="12" t="s">
        <v>8</v>
      </c>
      <c r="B741" s="12" t="s">
        <v>1324</v>
      </c>
      <c r="C741" s="12" t="s">
        <v>1323</v>
      </c>
      <c r="D741" s="12" t="s">
        <v>1410</v>
      </c>
      <c r="E741" s="12" t="s">
        <v>2060</v>
      </c>
      <c r="F741" s="12" t="s">
        <v>3490</v>
      </c>
      <c r="G741" s="12" t="s">
        <v>3491</v>
      </c>
      <c r="H741" s="12" t="s">
        <v>3210</v>
      </c>
      <c r="I741" s="12" t="s">
        <v>1599</v>
      </c>
      <c r="J741" s="12" t="s">
        <v>1506</v>
      </c>
      <c r="K741" s="12" t="s">
        <v>1551</v>
      </c>
      <c r="L741" s="12" t="s">
        <v>1551</v>
      </c>
      <c r="M741" s="12" t="s">
        <v>1551</v>
      </c>
    </row>
    <row r="742" spans="1:13" ht="15" customHeight="1" x14ac:dyDescent="0.3">
      <c r="A742" s="12" t="s">
        <v>11</v>
      </c>
      <c r="B742" s="12" t="s">
        <v>1334</v>
      </c>
      <c r="C742" s="12" t="s">
        <v>1333</v>
      </c>
      <c r="D742" s="12" t="s">
        <v>1410</v>
      </c>
      <c r="E742" s="12" t="s">
        <v>2079</v>
      </c>
      <c r="F742" s="12" t="s">
        <v>2075</v>
      </c>
      <c r="G742" s="12" t="s">
        <v>3398</v>
      </c>
      <c r="H742" s="12" t="s">
        <v>3234</v>
      </c>
      <c r="I742" s="12" t="s">
        <v>1749</v>
      </c>
      <c r="J742" s="12" t="s">
        <v>2018</v>
      </c>
      <c r="K742" s="12" t="s">
        <v>2018</v>
      </c>
      <c r="L742" s="12" t="s">
        <v>2018</v>
      </c>
      <c r="M742" s="12" t="s">
        <v>2018</v>
      </c>
    </row>
    <row r="743" spans="1:13" ht="15" customHeight="1" x14ac:dyDescent="0.3">
      <c r="A743" s="12" t="s">
        <v>8</v>
      </c>
      <c r="B743" s="12" t="s">
        <v>1340</v>
      </c>
      <c r="C743" s="12" t="s">
        <v>1339</v>
      </c>
      <c r="D743" s="12" t="s">
        <v>1410</v>
      </c>
      <c r="E743" s="12" t="s">
        <v>3446</v>
      </c>
      <c r="F743" s="12" t="s">
        <v>1955</v>
      </c>
      <c r="G743" s="12" t="s">
        <v>3447</v>
      </c>
      <c r="H743" s="12" t="s">
        <v>3246</v>
      </c>
      <c r="I743" s="12" t="s">
        <v>1599</v>
      </c>
      <c r="J743" s="12" t="s">
        <v>3204</v>
      </c>
      <c r="K743" s="12" t="s">
        <v>1551</v>
      </c>
      <c r="L743" s="12" t="s">
        <v>2018</v>
      </c>
      <c r="M743" s="12" t="s">
        <v>2018</v>
      </c>
    </row>
    <row r="744" spans="1:13" ht="15" customHeight="1" x14ac:dyDescent="0.3">
      <c r="A744" s="12" t="s">
        <v>25</v>
      </c>
      <c r="B744" s="12" t="s">
        <v>1342</v>
      </c>
      <c r="C744" s="12" t="s">
        <v>1341</v>
      </c>
      <c r="D744" s="12" t="s">
        <v>1410</v>
      </c>
      <c r="E744" s="12" t="s">
        <v>3215</v>
      </c>
      <c r="F744" s="12" t="s">
        <v>3216</v>
      </c>
      <c r="G744" s="12" t="s">
        <v>3217</v>
      </c>
      <c r="H744" s="12" t="s">
        <v>3218</v>
      </c>
      <c r="I744" s="12" t="s">
        <v>1749</v>
      </c>
      <c r="J744" s="12" t="s">
        <v>1551</v>
      </c>
      <c r="K744" s="12" t="s">
        <v>2018</v>
      </c>
      <c r="L744" s="12" t="s">
        <v>1551</v>
      </c>
      <c r="M744" s="12" t="s">
        <v>3204</v>
      </c>
    </row>
    <row r="745" spans="1:13" ht="15" customHeight="1" x14ac:dyDescent="0.3">
      <c r="A745" s="12" t="s">
        <v>31</v>
      </c>
      <c r="B745" s="12" t="s">
        <v>1350</v>
      </c>
      <c r="C745" s="12" t="s">
        <v>1349</v>
      </c>
      <c r="D745" s="12" t="s">
        <v>1410</v>
      </c>
      <c r="E745" s="12" t="s">
        <v>4425</v>
      </c>
      <c r="F745" s="12" t="s">
        <v>6403</v>
      </c>
      <c r="G745" s="12" t="s">
        <v>3626</v>
      </c>
      <c r="H745" s="12" t="s">
        <v>3240</v>
      </c>
      <c r="I745" s="12" t="s">
        <v>1599</v>
      </c>
      <c r="J745" s="12" t="s">
        <v>2018</v>
      </c>
      <c r="K745" s="12" t="s">
        <v>1551</v>
      </c>
      <c r="L745" s="12" t="s">
        <v>1551</v>
      </c>
      <c r="M745" s="12" t="s">
        <v>1551</v>
      </c>
    </row>
    <row r="746" spans="1:13" ht="15" customHeight="1" x14ac:dyDescent="0.3">
      <c r="A746" s="12" t="s">
        <v>31</v>
      </c>
      <c r="B746" s="12" t="s">
        <v>1352</v>
      </c>
      <c r="C746" s="12" t="s">
        <v>1351</v>
      </c>
      <c r="D746" s="12" t="s">
        <v>1410</v>
      </c>
      <c r="E746" s="12" t="s">
        <v>3684</v>
      </c>
      <c r="F746" s="12" t="s">
        <v>3685</v>
      </c>
      <c r="G746" s="12" t="s">
        <v>3686</v>
      </c>
      <c r="H746" s="12" t="s">
        <v>2062</v>
      </c>
      <c r="I746" s="12" t="s">
        <v>1414</v>
      </c>
      <c r="J746" s="12" t="s">
        <v>1414</v>
      </c>
      <c r="K746" s="12" t="s">
        <v>2062</v>
      </c>
      <c r="L746" s="12" t="s">
        <v>1414</v>
      </c>
      <c r="M746" s="12" t="s">
        <v>1414</v>
      </c>
    </row>
    <row r="747" spans="1:13" ht="15" customHeight="1" x14ac:dyDescent="0.3">
      <c r="A747" s="12" t="s">
        <v>8</v>
      </c>
      <c r="B747" s="12" t="s">
        <v>1358</v>
      </c>
      <c r="C747" s="12" t="s">
        <v>1357</v>
      </c>
      <c r="D747" s="12" t="s">
        <v>1410</v>
      </c>
      <c r="E747" s="12" t="s">
        <v>3224</v>
      </c>
      <c r="F747" s="12" t="s">
        <v>3225</v>
      </c>
      <c r="G747" s="12" t="s">
        <v>2136</v>
      </c>
      <c r="H747" s="12" t="s">
        <v>3223</v>
      </c>
      <c r="I747" s="12" t="s">
        <v>1551</v>
      </c>
      <c r="J747" s="12" t="s">
        <v>1599</v>
      </c>
      <c r="K747" s="12" t="s">
        <v>1551</v>
      </c>
      <c r="L747" s="12" t="s">
        <v>2018</v>
      </c>
      <c r="M747" s="12" t="s">
        <v>2018</v>
      </c>
    </row>
    <row r="748" spans="1:13" ht="15" customHeight="1" x14ac:dyDescent="0.3">
      <c r="A748" s="12" t="s">
        <v>19</v>
      </c>
      <c r="B748" s="12" t="s">
        <v>1375</v>
      </c>
      <c r="C748" s="12" t="s">
        <v>1374</v>
      </c>
      <c r="D748" s="12" t="s">
        <v>1410</v>
      </c>
      <c r="E748" s="12" t="s">
        <v>3554</v>
      </c>
      <c r="F748" s="12" t="s">
        <v>3555</v>
      </c>
      <c r="G748" s="12" t="s">
        <v>3556</v>
      </c>
      <c r="H748" s="12" t="s">
        <v>3218</v>
      </c>
      <c r="I748" s="12" t="s">
        <v>1551</v>
      </c>
      <c r="J748" s="12" t="s">
        <v>1414</v>
      </c>
      <c r="K748" s="12" t="s">
        <v>2018</v>
      </c>
      <c r="L748" s="12" t="s">
        <v>2018</v>
      </c>
      <c r="M748" s="12" t="s">
        <v>1551</v>
      </c>
    </row>
    <row r="749" spans="1:13" ht="15" customHeight="1" x14ac:dyDescent="0.3">
      <c r="A749" s="12" t="s">
        <v>3179</v>
      </c>
      <c r="B749" s="12"/>
      <c r="C749" s="12"/>
      <c r="D749" s="12"/>
      <c r="E749" s="12"/>
      <c r="F749" s="12"/>
      <c r="G749" s="12"/>
      <c r="H749" s="12" t="s">
        <v>6404</v>
      </c>
      <c r="I749" s="12" t="s">
        <v>6405</v>
      </c>
      <c r="J749" s="12" t="s">
        <v>6406</v>
      </c>
      <c r="K749" s="12" t="s">
        <v>6407</v>
      </c>
      <c r="L749" s="12" t="s">
        <v>6408</v>
      </c>
      <c r="M749" s="12" t="s">
        <v>6409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30"/>
  <sheetViews>
    <sheetView zoomScaleNormal="100" workbookViewId="0">
      <pane ySplit="1" topLeftCell="A2" activePane="bottomLeft" state="frozen"/>
      <selection pane="bottomLeft" sqref="A1:XFD1"/>
    </sheetView>
  </sheetViews>
  <sheetFormatPr defaultColWidth="8.6640625" defaultRowHeight="15" customHeight="1" x14ac:dyDescent="0.3"/>
  <cols>
    <col min="1" max="1" width="12" customWidth="1"/>
    <col min="2" max="2" width="19" customWidth="1"/>
    <col min="3" max="3" width="24" customWidth="1"/>
    <col min="4" max="4" width="13" customWidth="1"/>
    <col min="5" max="6" width="26" customWidth="1"/>
    <col min="7" max="7" width="17" customWidth="1"/>
    <col min="8" max="10" width="13" customWidth="1"/>
  </cols>
  <sheetData>
    <row r="1" spans="1:10" ht="14.4" x14ac:dyDescent="0.3">
      <c r="A1" s="1" t="s">
        <v>3</v>
      </c>
      <c r="B1" s="1" t="s">
        <v>2</v>
      </c>
      <c r="C1" s="1" t="s">
        <v>1</v>
      </c>
      <c r="D1" s="1" t="s">
        <v>1378</v>
      </c>
      <c r="E1" s="1" t="s">
        <v>1379</v>
      </c>
      <c r="F1" s="1" t="s">
        <v>1380</v>
      </c>
      <c r="G1" s="1" t="s">
        <v>1381</v>
      </c>
      <c r="H1" s="1" t="s">
        <v>1382</v>
      </c>
      <c r="I1" s="1" t="s">
        <v>4429</v>
      </c>
      <c r="J1" s="1" t="s">
        <v>3196</v>
      </c>
    </row>
    <row r="2" spans="1:10" ht="14.4" x14ac:dyDescent="0.3">
      <c r="A2" s="2" t="s">
        <v>8</v>
      </c>
      <c r="B2" s="2" t="s">
        <v>7</v>
      </c>
      <c r="C2" s="2" t="s">
        <v>6</v>
      </c>
      <c r="D2" s="2" t="s">
        <v>1410</v>
      </c>
      <c r="E2" s="2" t="s">
        <v>2182</v>
      </c>
      <c r="F2" s="2" t="s">
        <v>4760</v>
      </c>
      <c r="G2" s="2" t="s">
        <v>2244</v>
      </c>
      <c r="H2" s="2" t="s">
        <v>4487</v>
      </c>
      <c r="I2" s="2" t="s">
        <v>4436</v>
      </c>
      <c r="J2" s="2" t="s">
        <v>2018</v>
      </c>
    </row>
    <row r="3" spans="1:10" ht="14.4" x14ac:dyDescent="0.3">
      <c r="A3" s="2" t="s">
        <v>11</v>
      </c>
      <c r="B3" s="2" t="s">
        <v>10</v>
      </c>
      <c r="C3" s="2" t="s">
        <v>9</v>
      </c>
      <c r="D3" s="2" t="s">
        <v>1410</v>
      </c>
      <c r="E3" s="2" t="s">
        <v>4804</v>
      </c>
      <c r="F3" s="2" t="s">
        <v>2251</v>
      </c>
      <c r="G3" s="2" t="s">
        <v>4805</v>
      </c>
      <c r="H3" s="2" t="s">
        <v>4535</v>
      </c>
      <c r="I3" s="2" t="s">
        <v>4471</v>
      </c>
      <c r="J3" s="2" t="s">
        <v>1551</v>
      </c>
    </row>
    <row r="4" spans="1:10" ht="14.4" x14ac:dyDescent="0.3">
      <c r="A4" s="2" t="s">
        <v>8</v>
      </c>
      <c r="B4" s="2" t="s">
        <v>13</v>
      </c>
      <c r="C4" s="2" t="s">
        <v>12</v>
      </c>
      <c r="D4" s="2" t="s">
        <v>1410</v>
      </c>
      <c r="E4" s="2" t="s">
        <v>4778</v>
      </c>
      <c r="F4" s="2" t="s">
        <v>4779</v>
      </c>
      <c r="G4" s="2" t="s">
        <v>3432</v>
      </c>
      <c r="H4" s="2" t="s">
        <v>1424</v>
      </c>
      <c r="I4" s="2" t="s">
        <v>1843</v>
      </c>
      <c r="J4" s="2" t="s">
        <v>2018</v>
      </c>
    </row>
    <row r="5" spans="1:10" ht="14.4" x14ac:dyDescent="0.3">
      <c r="A5" s="2" t="s">
        <v>16</v>
      </c>
      <c r="B5" s="2" t="s">
        <v>15</v>
      </c>
      <c r="C5" s="2" t="s">
        <v>14</v>
      </c>
      <c r="D5" s="2" t="s">
        <v>1410</v>
      </c>
      <c r="E5" s="2" t="s">
        <v>2151</v>
      </c>
      <c r="F5" s="2" t="s">
        <v>3507</v>
      </c>
      <c r="G5" s="2" t="s">
        <v>4738</v>
      </c>
      <c r="H5" s="2" t="s">
        <v>1464</v>
      </c>
      <c r="I5" s="2" t="s">
        <v>1755</v>
      </c>
      <c r="J5" s="2" t="s">
        <v>2018</v>
      </c>
    </row>
    <row r="6" spans="1:10" ht="14.4" x14ac:dyDescent="0.3">
      <c r="A6" s="2" t="s">
        <v>19</v>
      </c>
      <c r="B6" s="2" t="s">
        <v>18</v>
      </c>
      <c r="C6" s="2" t="s">
        <v>17</v>
      </c>
      <c r="D6" s="2" t="s">
        <v>1410</v>
      </c>
      <c r="E6" s="2" t="s">
        <v>4789</v>
      </c>
      <c r="F6" s="2" t="s">
        <v>4791</v>
      </c>
      <c r="G6" s="2" t="s">
        <v>4713</v>
      </c>
      <c r="H6" s="2" t="s">
        <v>4494</v>
      </c>
      <c r="I6" s="2" t="s">
        <v>4471</v>
      </c>
      <c r="J6" s="2" t="s">
        <v>2018</v>
      </c>
    </row>
    <row r="7" spans="1:10" ht="14.4" x14ac:dyDescent="0.3">
      <c r="A7" s="2" t="s">
        <v>22</v>
      </c>
      <c r="B7" s="2" t="s">
        <v>21</v>
      </c>
      <c r="C7" s="2" t="s">
        <v>20</v>
      </c>
      <c r="D7" s="2" t="s">
        <v>1410</v>
      </c>
      <c r="E7" s="2" t="s">
        <v>3584</v>
      </c>
      <c r="F7" s="2" t="s">
        <v>4806</v>
      </c>
      <c r="G7" s="2" t="s">
        <v>4807</v>
      </c>
      <c r="H7" s="2" t="s">
        <v>1464</v>
      </c>
      <c r="I7" s="2" t="s">
        <v>1755</v>
      </c>
      <c r="J7" s="2" t="s">
        <v>2018</v>
      </c>
    </row>
    <row r="8" spans="1:10" ht="14.4" x14ac:dyDescent="0.3">
      <c r="A8" s="2" t="s">
        <v>25</v>
      </c>
      <c r="B8" s="2" t="s">
        <v>24</v>
      </c>
      <c r="C8" s="2" t="s">
        <v>23</v>
      </c>
      <c r="D8" s="2" t="s">
        <v>1410</v>
      </c>
      <c r="E8" s="2" t="s">
        <v>5230</v>
      </c>
      <c r="F8" s="2" t="s">
        <v>5231</v>
      </c>
      <c r="G8" s="2" t="s">
        <v>5232</v>
      </c>
      <c r="H8" s="2" t="s">
        <v>1464</v>
      </c>
      <c r="I8" s="2" t="s">
        <v>1755</v>
      </c>
      <c r="J8" s="2" t="s">
        <v>2018</v>
      </c>
    </row>
    <row r="9" spans="1:10" ht="14.4" x14ac:dyDescent="0.3">
      <c r="A9" s="2" t="s">
        <v>28</v>
      </c>
      <c r="B9" s="2" t="s">
        <v>27</v>
      </c>
      <c r="C9" s="2" t="s">
        <v>26</v>
      </c>
      <c r="D9" s="2" t="s">
        <v>1410</v>
      </c>
      <c r="E9" s="2" t="s">
        <v>3503</v>
      </c>
      <c r="F9" s="2" t="s">
        <v>4758</v>
      </c>
      <c r="G9" s="2" t="s">
        <v>4759</v>
      </c>
      <c r="H9" s="2" t="s">
        <v>4494</v>
      </c>
      <c r="I9" s="2" t="s">
        <v>4471</v>
      </c>
      <c r="J9" s="2" t="s">
        <v>2018</v>
      </c>
    </row>
    <row r="10" spans="1:10" ht="14.4" x14ac:dyDescent="0.3">
      <c r="A10" s="2" t="s">
        <v>31</v>
      </c>
      <c r="B10" s="2" t="s">
        <v>30</v>
      </c>
      <c r="C10" s="2" t="s">
        <v>29</v>
      </c>
      <c r="D10" s="2" t="s">
        <v>1410</v>
      </c>
      <c r="E10" s="2" t="s">
        <v>2379</v>
      </c>
      <c r="F10" s="2" t="s">
        <v>4880</v>
      </c>
      <c r="G10" s="2" t="s">
        <v>4470</v>
      </c>
      <c r="H10" s="2" t="s">
        <v>1464</v>
      </c>
      <c r="I10" s="2" t="s">
        <v>1755</v>
      </c>
      <c r="J10" s="2" t="s">
        <v>2018</v>
      </c>
    </row>
    <row r="11" spans="1:10" ht="14.4" x14ac:dyDescent="0.3">
      <c r="A11" s="2" t="s">
        <v>28</v>
      </c>
      <c r="B11" s="2" t="s">
        <v>33</v>
      </c>
      <c r="C11" s="2" t="s">
        <v>32</v>
      </c>
      <c r="D11" s="2" t="s">
        <v>1410</v>
      </c>
      <c r="E11" s="2" t="s">
        <v>2128</v>
      </c>
      <c r="F11" s="2" t="s">
        <v>3505</v>
      </c>
      <c r="G11" s="2" t="s">
        <v>4470</v>
      </c>
      <c r="H11" s="2" t="s">
        <v>1414</v>
      </c>
      <c r="I11" s="2" t="s">
        <v>1414</v>
      </c>
      <c r="J11" s="2" t="s">
        <v>1414</v>
      </c>
    </row>
    <row r="12" spans="1:10" ht="14.4" x14ac:dyDescent="0.3">
      <c r="A12" s="2" t="s">
        <v>28</v>
      </c>
      <c r="B12" s="2" t="s">
        <v>33</v>
      </c>
      <c r="C12" s="2" t="s">
        <v>32</v>
      </c>
      <c r="D12" s="2" t="s">
        <v>1410</v>
      </c>
      <c r="E12" s="2" t="s">
        <v>4836</v>
      </c>
      <c r="F12" s="2" t="s">
        <v>4837</v>
      </c>
      <c r="G12" s="2" t="s">
        <v>2123</v>
      </c>
      <c r="H12" s="2" t="s">
        <v>4838</v>
      </c>
      <c r="I12" s="2" t="s">
        <v>4471</v>
      </c>
      <c r="J12" s="2" t="s">
        <v>1599</v>
      </c>
    </row>
    <row r="13" spans="1:10" ht="14.4" x14ac:dyDescent="0.3">
      <c r="A13" s="2" t="s">
        <v>19</v>
      </c>
      <c r="B13" s="2" t="s">
        <v>35</v>
      </c>
      <c r="C13" s="2" t="s">
        <v>34</v>
      </c>
      <c r="D13" s="2" t="s">
        <v>1410</v>
      </c>
      <c r="E13" s="2" t="s">
        <v>5257</v>
      </c>
      <c r="F13" s="2" t="s">
        <v>5258</v>
      </c>
      <c r="G13" s="2" t="s">
        <v>4756</v>
      </c>
      <c r="H13" s="2" t="s">
        <v>1464</v>
      </c>
      <c r="I13" s="2" t="s">
        <v>1755</v>
      </c>
      <c r="J13" s="2" t="s">
        <v>2018</v>
      </c>
    </row>
    <row r="14" spans="1:10" ht="14.4" x14ac:dyDescent="0.3">
      <c r="A14" s="2" t="s">
        <v>28</v>
      </c>
      <c r="B14" s="2" t="s">
        <v>37</v>
      </c>
      <c r="C14" s="2" t="s">
        <v>36</v>
      </c>
      <c r="D14" s="2" t="s">
        <v>1410</v>
      </c>
      <c r="E14" s="2" t="s">
        <v>4777</v>
      </c>
      <c r="F14" s="2" t="s">
        <v>3546</v>
      </c>
      <c r="G14" s="2" t="s">
        <v>2827</v>
      </c>
      <c r="H14" s="2" t="s">
        <v>1464</v>
      </c>
      <c r="I14" s="2" t="s">
        <v>1755</v>
      </c>
      <c r="J14" s="2" t="s">
        <v>2018</v>
      </c>
    </row>
    <row r="15" spans="1:10" ht="14.4" x14ac:dyDescent="0.3">
      <c r="A15" s="2" t="s">
        <v>8</v>
      </c>
      <c r="B15" s="2" t="s">
        <v>39</v>
      </c>
      <c r="C15" s="2" t="s">
        <v>38</v>
      </c>
      <c r="D15" s="2" t="s">
        <v>1410</v>
      </c>
      <c r="E15" s="2" t="s">
        <v>4814</v>
      </c>
      <c r="F15" s="2" t="s">
        <v>4815</v>
      </c>
      <c r="G15" s="2" t="s">
        <v>4816</v>
      </c>
      <c r="H15" s="2" t="s">
        <v>1464</v>
      </c>
      <c r="I15" s="2" t="s">
        <v>1755</v>
      </c>
      <c r="J15" s="2" t="s">
        <v>2018</v>
      </c>
    </row>
    <row r="16" spans="1:10" ht="14.4" x14ac:dyDescent="0.3">
      <c r="A16" s="2" t="s">
        <v>42</v>
      </c>
      <c r="B16" s="2" t="s">
        <v>41</v>
      </c>
      <c r="C16" s="2" t="s">
        <v>40</v>
      </c>
      <c r="D16" s="2" t="s">
        <v>1410</v>
      </c>
      <c r="E16" s="2" t="s">
        <v>3552</v>
      </c>
      <c r="F16" s="2" t="s">
        <v>4787</v>
      </c>
      <c r="G16" s="2" t="s">
        <v>4788</v>
      </c>
      <c r="H16" s="2" t="s">
        <v>1424</v>
      </c>
      <c r="I16" s="2" t="s">
        <v>1843</v>
      </c>
      <c r="J16" s="2" t="s">
        <v>2018</v>
      </c>
    </row>
    <row r="17" spans="1:10" ht="14.4" x14ac:dyDescent="0.3">
      <c r="A17" s="2" t="s">
        <v>31</v>
      </c>
      <c r="B17" s="2" t="s">
        <v>44</v>
      </c>
      <c r="C17" s="2" t="s">
        <v>43</v>
      </c>
      <c r="D17" s="2" t="s">
        <v>1410</v>
      </c>
      <c r="E17" s="2" t="s">
        <v>2797</v>
      </c>
      <c r="F17" s="2" t="s">
        <v>5200</v>
      </c>
      <c r="G17" s="2" t="s">
        <v>4576</v>
      </c>
      <c r="H17" s="2" t="s">
        <v>1464</v>
      </c>
      <c r="I17" s="2" t="s">
        <v>1755</v>
      </c>
      <c r="J17" s="2" t="s">
        <v>2018</v>
      </c>
    </row>
    <row r="18" spans="1:10" ht="14.4" x14ac:dyDescent="0.3">
      <c r="A18" s="2" t="s">
        <v>28</v>
      </c>
      <c r="B18" s="2" t="s">
        <v>46</v>
      </c>
      <c r="C18" s="2" t="s">
        <v>45</v>
      </c>
      <c r="D18" s="2" t="s">
        <v>1410</v>
      </c>
      <c r="E18" s="2" t="s">
        <v>2156</v>
      </c>
      <c r="F18" s="2" t="s">
        <v>3525</v>
      </c>
      <c r="G18" s="2" t="s">
        <v>1545</v>
      </c>
      <c r="H18" s="2" t="s">
        <v>4535</v>
      </c>
      <c r="I18" s="2" t="s">
        <v>4471</v>
      </c>
      <c r="J18" s="2" t="s">
        <v>1551</v>
      </c>
    </row>
    <row r="19" spans="1:10" ht="14.4" x14ac:dyDescent="0.3">
      <c r="A19" s="2" t="s">
        <v>49</v>
      </c>
      <c r="B19" s="2" t="s">
        <v>48</v>
      </c>
      <c r="C19" s="2" t="s">
        <v>47</v>
      </c>
      <c r="D19" s="2" t="s">
        <v>1410</v>
      </c>
      <c r="E19" s="2" t="s">
        <v>4817</v>
      </c>
      <c r="F19" s="2" t="s">
        <v>4818</v>
      </c>
      <c r="G19" s="2" t="s">
        <v>4819</v>
      </c>
      <c r="H19" s="2" t="s">
        <v>4494</v>
      </c>
      <c r="I19" s="2" t="s">
        <v>4471</v>
      </c>
      <c r="J19" s="2" t="s">
        <v>2018</v>
      </c>
    </row>
    <row r="20" spans="1:10" ht="14.4" x14ac:dyDescent="0.3">
      <c r="A20" s="2" t="s">
        <v>8</v>
      </c>
      <c r="B20" s="2" t="s">
        <v>51</v>
      </c>
      <c r="C20" s="2" t="s">
        <v>50</v>
      </c>
      <c r="D20" s="2" t="s">
        <v>1410</v>
      </c>
      <c r="E20" s="2" t="s">
        <v>4824</v>
      </c>
      <c r="F20" s="2" t="s">
        <v>4825</v>
      </c>
      <c r="G20" s="2" t="s">
        <v>4826</v>
      </c>
      <c r="H20" s="2" t="s">
        <v>1606</v>
      </c>
      <c r="I20" s="2" t="s">
        <v>1551</v>
      </c>
      <c r="J20" s="2" t="s">
        <v>1599</v>
      </c>
    </row>
    <row r="21" spans="1:10" ht="14.4" x14ac:dyDescent="0.3">
      <c r="A21" s="2" t="s">
        <v>8</v>
      </c>
      <c r="B21" s="2" t="s">
        <v>48</v>
      </c>
      <c r="C21" s="2" t="s">
        <v>52</v>
      </c>
      <c r="D21" s="2" t="s">
        <v>1410</v>
      </c>
      <c r="E21" s="2" t="s">
        <v>5110</v>
      </c>
      <c r="F21" s="2" t="s">
        <v>5111</v>
      </c>
      <c r="G21" s="2" t="s">
        <v>2073</v>
      </c>
      <c r="H21" s="2" t="s">
        <v>4436</v>
      </c>
      <c r="I21" s="2" t="s">
        <v>4999</v>
      </c>
      <c r="J21" s="2" t="s">
        <v>3204</v>
      </c>
    </row>
    <row r="22" spans="1:10" ht="14.4" x14ac:dyDescent="0.3">
      <c r="A22" s="2" t="s">
        <v>8</v>
      </c>
      <c r="B22" s="2" t="s">
        <v>48</v>
      </c>
      <c r="C22" s="2" t="s">
        <v>52</v>
      </c>
      <c r="D22" s="2" t="s">
        <v>1410</v>
      </c>
      <c r="E22" s="2" t="s">
        <v>2698</v>
      </c>
      <c r="F22" s="2" t="s">
        <v>5113</v>
      </c>
      <c r="G22" s="2" t="s">
        <v>3357</v>
      </c>
      <c r="H22" s="2" t="s">
        <v>4435</v>
      </c>
      <c r="I22" s="2" t="s">
        <v>4436</v>
      </c>
      <c r="J22" s="2" t="s">
        <v>1551</v>
      </c>
    </row>
    <row r="23" spans="1:10" ht="14.4" x14ac:dyDescent="0.3">
      <c r="A23" s="2" t="s">
        <v>55</v>
      </c>
      <c r="B23" s="2" t="s">
        <v>54</v>
      </c>
      <c r="C23" s="2" t="s">
        <v>53</v>
      </c>
      <c r="D23" s="2" t="s">
        <v>1410</v>
      </c>
      <c r="E23" s="2" t="s">
        <v>4894</v>
      </c>
      <c r="F23" s="2" t="s">
        <v>4895</v>
      </c>
      <c r="G23" s="2" t="s">
        <v>4470</v>
      </c>
      <c r="H23" s="2" t="s">
        <v>1414</v>
      </c>
      <c r="I23" s="2" t="s">
        <v>1414</v>
      </c>
      <c r="J23" s="2" t="s">
        <v>1414</v>
      </c>
    </row>
    <row r="24" spans="1:10" ht="14.4" x14ac:dyDescent="0.3">
      <c r="A24" s="2" t="s">
        <v>55</v>
      </c>
      <c r="B24" s="2" t="s">
        <v>54</v>
      </c>
      <c r="C24" s="2" t="s">
        <v>53</v>
      </c>
      <c r="D24" s="2" t="s">
        <v>1410</v>
      </c>
      <c r="E24" s="2" t="s">
        <v>4909</v>
      </c>
      <c r="F24" s="2" t="s">
        <v>4910</v>
      </c>
      <c r="G24" s="2" t="s">
        <v>4911</v>
      </c>
      <c r="H24" s="2" t="s">
        <v>1464</v>
      </c>
      <c r="I24" s="2" t="s">
        <v>1755</v>
      </c>
      <c r="J24" s="2" t="s">
        <v>2018</v>
      </c>
    </row>
    <row r="25" spans="1:10" ht="14.4" x14ac:dyDescent="0.3">
      <c r="A25" s="2" t="s">
        <v>31</v>
      </c>
      <c r="B25" s="2" t="s">
        <v>57</v>
      </c>
      <c r="C25" s="2" t="s">
        <v>56</v>
      </c>
      <c r="D25" s="2" t="s">
        <v>1410</v>
      </c>
      <c r="E25" s="2" t="s">
        <v>2172</v>
      </c>
      <c r="F25" s="2" t="s">
        <v>4750</v>
      </c>
      <c r="G25" s="2" t="s">
        <v>4751</v>
      </c>
      <c r="H25" s="2" t="s">
        <v>1464</v>
      </c>
      <c r="I25" s="2" t="s">
        <v>1755</v>
      </c>
      <c r="J25" s="2" t="s">
        <v>2018</v>
      </c>
    </row>
    <row r="26" spans="1:10" ht="14.4" x14ac:dyDescent="0.3">
      <c r="A26" s="2" t="s">
        <v>8</v>
      </c>
      <c r="B26" s="2" t="s">
        <v>59</v>
      </c>
      <c r="C26" s="2" t="s">
        <v>58</v>
      </c>
      <c r="D26" s="2" t="s">
        <v>1410</v>
      </c>
      <c r="E26" s="2" t="s">
        <v>4775</v>
      </c>
      <c r="F26" s="2" t="s">
        <v>3541</v>
      </c>
      <c r="G26" s="2" t="s">
        <v>4776</v>
      </c>
      <c r="H26" s="2" t="s">
        <v>1464</v>
      </c>
      <c r="I26" s="2" t="s">
        <v>1755</v>
      </c>
      <c r="J26" s="2" t="s">
        <v>2018</v>
      </c>
    </row>
    <row r="27" spans="1:10" ht="14.4" x14ac:dyDescent="0.3">
      <c r="A27" s="2" t="s">
        <v>8</v>
      </c>
      <c r="B27" s="2" t="s">
        <v>61</v>
      </c>
      <c r="C27" s="2" t="s">
        <v>60</v>
      </c>
      <c r="D27" s="2" t="s">
        <v>1410</v>
      </c>
      <c r="E27" s="2" t="s">
        <v>2156</v>
      </c>
      <c r="F27" s="2" t="s">
        <v>3507</v>
      </c>
      <c r="G27" s="2" t="s">
        <v>4740</v>
      </c>
      <c r="H27" s="2" t="s">
        <v>1464</v>
      </c>
      <c r="I27" s="2" t="s">
        <v>1755</v>
      </c>
      <c r="J27" s="2" t="s">
        <v>2018</v>
      </c>
    </row>
    <row r="28" spans="1:10" ht="14.4" x14ac:dyDescent="0.3">
      <c r="A28" s="2" t="s">
        <v>8</v>
      </c>
      <c r="B28" s="2" t="s">
        <v>63</v>
      </c>
      <c r="C28" s="2" t="s">
        <v>62</v>
      </c>
      <c r="D28" s="2" t="s">
        <v>1410</v>
      </c>
      <c r="E28" s="2" t="s">
        <v>2093</v>
      </c>
      <c r="F28" s="2" t="s">
        <v>3525</v>
      </c>
      <c r="G28" s="2" t="s">
        <v>4737</v>
      </c>
      <c r="H28" s="2" t="s">
        <v>1464</v>
      </c>
      <c r="I28" s="2" t="s">
        <v>1755</v>
      </c>
      <c r="J28" s="2" t="s">
        <v>2018</v>
      </c>
    </row>
    <row r="29" spans="1:10" ht="14.4" x14ac:dyDescent="0.3">
      <c r="A29" s="2" t="s">
        <v>66</v>
      </c>
      <c r="B29" s="2" t="s">
        <v>65</v>
      </c>
      <c r="C29" s="2" t="s">
        <v>64</v>
      </c>
      <c r="D29" s="2" t="s">
        <v>1410</v>
      </c>
      <c r="E29" s="2" t="s">
        <v>4248</v>
      </c>
      <c r="F29" s="2" t="s">
        <v>4246</v>
      </c>
      <c r="G29" s="2" t="s">
        <v>3051</v>
      </c>
      <c r="H29" s="2" t="s">
        <v>1452</v>
      </c>
      <c r="I29" s="2" t="s">
        <v>1755</v>
      </c>
      <c r="J29" s="2" t="s">
        <v>1551</v>
      </c>
    </row>
    <row r="30" spans="1:10" ht="14.4" x14ac:dyDescent="0.3">
      <c r="A30" s="2" t="s">
        <v>19</v>
      </c>
      <c r="B30" s="2" t="s">
        <v>68</v>
      </c>
      <c r="C30" s="2" t="s">
        <v>67</v>
      </c>
      <c r="D30" s="2" t="s">
        <v>1410</v>
      </c>
      <c r="E30" s="2" t="s">
        <v>2156</v>
      </c>
      <c r="F30" s="2" t="s">
        <v>4739</v>
      </c>
      <c r="G30" s="2" t="s">
        <v>4741</v>
      </c>
      <c r="H30" s="2" t="s">
        <v>4494</v>
      </c>
      <c r="I30" s="2" t="s">
        <v>4471</v>
      </c>
      <c r="J30" s="2" t="s">
        <v>2018</v>
      </c>
    </row>
    <row r="31" spans="1:10" ht="14.4" x14ac:dyDescent="0.3">
      <c r="A31" s="2" t="s">
        <v>71</v>
      </c>
      <c r="B31" s="2" t="s">
        <v>70</v>
      </c>
      <c r="C31" s="2" t="s">
        <v>69</v>
      </c>
      <c r="D31" s="2" t="s">
        <v>1410</v>
      </c>
      <c r="E31" s="2" t="s">
        <v>2114</v>
      </c>
      <c r="F31" s="2" t="s">
        <v>2120</v>
      </c>
      <c r="G31" s="2" t="s">
        <v>4736</v>
      </c>
      <c r="H31" s="2" t="s">
        <v>1464</v>
      </c>
      <c r="I31" s="2" t="s">
        <v>1755</v>
      </c>
      <c r="J31" s="2" t="s">
        <v>2018</v>
      </c>
    </row>
    <row r="32" spans="1:10" ht="14.4" x14ac:dyDescent="0.3">
      <c r="A32" s="2" t="s">
        <v>28</v>
      </c>
      <c r="B32" s="2" t="s">
        <v>73</v>
      </c>
      <c r="C32" s="2" t="s">
        <v>72</v>
      </c>
      <c r="D32" s="2" t="s">
        <v>1410</v>
      </c>
      <c r="E32" s="2" t="s">
        <v>2169</v>
      </c>
      <c r="F32" s="2" t="s">
        <v>2171</v>
      </c>
      <c r="G32" s="2" t="s">
        <v>4744</v>
      </c>
      <c r="H32" s="2" t="s">
        <v>1464</v>
      </c>
      <c r="I32" s="2" t="s">
        <v>1755</v>
      </c>
      <c r="J32" s="2" t="s">
        <v>2018</v>
      </c>
    </row>
    <row r="33" spans="1:10" ht="14.4" x14ac:dyDescent="0.3">
      <c r="A33" s="2" t="s">
        <v>31</v>
      </c>
      <c r="B33" s="2" t="s">
        <v>75</v>
      </c>
      <c r="C33" s="2" t="s">
        <v>74</v>
      </c>
      <c r="D33" s="2" t="s">
        <v>1410</v>
      </c>
      <c r="E33" s="2" t="s">
        <v>3497</v>
      </c>
      <c r="F33" s="2" t="s">
        <v>3503</v>
      </c>
      <c r="G33" s="2" t="s">
        <v>4749</v>
      </c>
      <c r="H33" s="2" t="s">
        <v>1452</v>
      </c>
      <c r="I33" s="2" t="s">
        <v>1755</v>
      </c>
      <c r="J33" s="2" t="s">
        <v>1551</v>
      </c>
    </row>
    <row r="34" spans="1:10" ht="28.8" x14ac:dyDescent="0.3">
      <c r="A34" s="2" t="s">
        <v>31</v>
      </c>
      <c r="B34" s="2" t="s">
        <v>77</v>
      </c>
      <c r="C34" s="2" t="s">
        <v>76</v>
      </c>
      <c r="D34" s="2" t="s">
        <v>1410</v>
      </c>
      <c r="E34" s="2" t="s">
        <v>2164</v>
      </c>
      <c r="F34" s="2" t="s">
        <v>2128</v>
      </c>
      <c r="G34" s="2" t="s">
        <v>2067</v>
      </c>
      <c r="H34" s="2" t="s">
        <v>1464</v>
      </c>
      <c r="I34" s="2" t="s">
        <v>1755</v>
      </c>
      <c r="J34" s="2" t="s">
        <v>2018</v>
      </c>
    </row>
    <row r="35" spans="1:10" ht="14.4" x14ac:dyDescent="0.3">
      <c r="A35" s="2" t="s">
        <v>80</v>
      </c>
      <c r="B35" s="2" t="s">
        <v>79</v>
      </c>
      <c r="C35" s="2" t="s">
        <v>78</v>
      </c>
      <c r="D35" s="2" t="s">
        <v>1410</v>
      </c>
      <c r="E35" s="2" t="s">
        <v>4798</v>
      </c>
      <c r="F35" s="2" t="s">
        <v>2245</v>
      </c>
      <c r="G35" s="2" t="s">
        <v>4218</v>
      </c>
      <c r="H35" s="2" t="s">
        <v>1464</v>
      </c>
      <c r="I35" s="2" t="s">
        <v>1755</v>
      </c>
      <c r="J35" s="2" t="s">
        <v>2018</v>
      </c>
    </row>
    <row r="36" spans="1:10" ht="14.4" x14ac:dyDescent="0.3">
      <c r="A36" s="2" t="s">
        <v>25</v>
      </c>
      <c r="B36" s="2" t="s">
        <v>79</v>
      </c>
      <c r="C36" s="2" t="s">
        <v>81</v>
      </c>
      <c r="D36" s="2" t="s">
        <v>1410</v>
      </c>
      <c r="E36" s="2" t="s">
        <v>4808</v>
      </c>
      <c r="F36" s="2" t="s">
        <v>4813</v>
      </c>
      <c r="G36" s="2" t="s">
        <v>2366</v>
      </c>
      <c r="H36" s="2" t="s">
        <v>1424</v>
      </c>
      <c r="I36" s="2" t="s">
        <v>1843</v>
      </c>
      <c r="J36" s="2" t="s">
        <v>2018</v>
      </c>
    </row>
    <row r="37" spans="1:10" ht="14.4" x14ac:dyDescent="0.3">
      <c r="A37" s="2" t="s">
        <v>84</v>
      </c>
      <c r="B37" s="2" t="s">
        <v>83</v>
      </c>
      <c r="C37" s="2" t="s">
        <v>82</v>
      </c>
      <c r="D37" s="2" t="s">
        <v>1410</v>
      </c>
      <c r="E37" s="2" t="s">
        <v>4828</v>
      </c>
      <c r="F37" s="2" t="s">
        <v>4829</v>
      </c>
      <c r="G37" s="2" t="s">
        <v>2913</v>
      </c>
      <c r="H37" s="2" t="s">
        <v>1464</v>
      </c>
      <c r="I37" s="2" t="s">
        <v>1755</v>
      </c>
      <c r="J37" s="2" t="s">
        <v>2018</v>
      </c>
    </row>
    <row r="38" spans="1:10" ht="14.4" x14ac:dyDescent="0.3">
      <c r="A38" s="2" t="s">
        <v>55</v>
      </c>
      <c r="B38" s="2" t="s">
        <v>86</v>
      </c>
      <c r="C38" s="2" t="s">
        <v>85</v>
      </c>
      <c r="D38" s="2" t="s">
        <v>1410</v>
      </c>
      <c r="E38" s="2" t="s">
        <v>2272</v>
      </c>
      <c r="F38" s="2" t="s">
        <v>4827</v>
      </c>
      <c r="G38" s="2" t="s">
        <v>4801</v>
      </c>
      <c r="H38" s="2" t="s">
        <v>1419</v>
      </c>
      <c r="I38" s="2" t="s">
        <v>1755</v>
      </c>
      <c r="J38" s="2" t="s">
        <v>1599</v>
      </c>
    </row>
    <row r="39" spans="1:10" ht="14.4" x14ac:dyDescent="0.3">
      <c r="A39" s="2" t="s">
        <v>8</v>
      </c>
      <c r="B39" s="2" t="s">
        <v>88</v>
      </c>
      <c r="C39" s="2" t="s">
        <v>87</v>
      </c>
      <c r="D39" s="2" t="s">
        <v>1410</v>
      </c>
      <c r="E39" s="2" t="s">
        <v>2953</v>
      </c>
      <c r="F39" s="2" t="s">
        <v>5347</v>
      </c>
      <c r="G39" s="2" t="s">
        <v>5348</v>
      </c>
      <c r="H39" s="2" t="s">
        <v>1464</v>
      </c>
      <c r="I39" s="2" t="s">
        <v>1755</v>
      </c>
      <c r="J39" s="2" t="s">
        <v>2018</v>
      </c>
    </row>
    <row r="40" spans="1:10" ht="14.4" x14ac:dyDescent="0.3">
      <c r="A40" s="2" t="s">
        <v>8</v>
      </c>
      <c r="B40" s="2" t="s">
        <v>90</v>
      </c>
      <c r="C40" s="2" t="s">
        <v>89</v>
      </c>
      <c r="D40" s="2" t="s">
        <v>1410</v>
      </c>
      <c r="E40" s="2" t="s">
        <v>3500</v>
      </c>
      <c r="F40" s="2" t="s">
        <v>4752</v>
      </c>
      <c r="G40" s="2" t="s">
        <v>4753</v>
      </c>
      <c r="H40" s="2" t="s">
        <v>4754</v>
      </c>
      <c r="I40" s="2" t="s">
        <v>4556</v>
      </c>
      <c r="J40" s="2" t="s">
        <v>1551</v>
      </c>
    </row>
    <row r="41" spans="1:10" ht="14.4" x14ac:dyDescent="0.3">
      <c r="A41" s="2" t="s">
        <v>8</v>
      </c>
      <c r="B41" s="2" t="s">
        <v>90</v>
      </c>
      <c r="C41" s="2" t="s">
        <v>89</v>
      </c>
      <c r="D41" s="2" t="s">
        <v>1410</v>
      </c>
      <c r="E41" s="2" t="s">
        <v>4919</v>
      </c>
      <c r="F41" s="2" t="s">
        <v>4920</v>
      </c>
      <c r="G41" s="2" t="s">
        <v>4921</v>
      </c>
      <c r="H41" s="2" t="s">
        <v>1464</v>
      </c>
      <c r="I41" s="2" t="s">
        <v>1755</v>
      </c>
      <c r="J41" s="2" t="s">
        <v>2018</v>
      </c>
    </row>
    <row r="42" spans="1:10" ht="14.4" x14ac:dyDescent="0.3">
      <c r="A42" s="2" t="s">
        <v>80</v>
      </c>
      <c r="B42" s="2" t="s">
        <v>92</v>
      </c>
      <c r="C42" s="2" t="s">
        <v>91</v>
      </c>
      <c r="D42" s="2" t="s">
        <v>1410</v>
      </c>
      <c r="E42" s="2" t="s">
        <v>2156</v>
      </c>
      <c r="F42" s="2" t="s">
        <v>4739</v>
      </c>
      <c r="G42" s="2" t="s">
        <v>3823</v>
      </c>
      <c r="H42" s="2" t="s">
        <v>4487</v>
      </c>
      <c r="I42" s="2" t="s">
        <v>4436</v>
      </c>
      <c r="J42" s="2" t="s">
        <v>2018</v>
      </c>
    </row>
    <row r="43" spans="1:10" ht="14.4" x14ac:dyDescent="0.3">
      <c r="A43" s="2" t="s">
        <v>8</v>
      </c>
      <c r="B43" s="2" t="s">
        <v>94</v>
      </c>
      <c r="C43" s="2" t="s">
        <v>93</v>
      </c>
      <c r="D43" s="2" t="s">
        <v>1410</v>
      </c>
      <c r="E43" s="2" t="s">
        <v>5351</v>
      </c>
      <c r="F43" s="2" t="s">
        <v>5350</v>
      </c>
      <c r="G43" s="2" t="s">
        <v>1928</v>
      </c>
      <c r="H43" s="2" t="s">
        <v>1464</v>
      </c>
      <c r="I43" s="2" t="s">
        <v>1755</v>
      </c>
      <c r="J43" s="2" t="s">
        <v>2018</v>
      </c>
    </row>
    <row r="44" spans="1:10" ht="14.4" x14ac:dyDescent="0.3">
      <c r="A44" s="2" t="s">
        <v>28</v>
      </c>
      <c r="B44" s="2" t="s">
        <v>96</v>
      </c>
      <c r="C44" s="2" t="s">
        <v>95</v>
      </c>
      <c r="D44" s="2" t="s">
        <v>1410</v>
      </c>
      <c r="E44" s="2" t="s">
        <v>2096</v>
      </c>
      <c r="F44" s="2" t="s">
        <v>2114</v>
      </c>
      <c r="G44" s="2" t="s">
        <v>2899</v>
      </c>
      <c r="H44" s="2" t="s">
        <v>1464</v>
      </c>
      <c r="I44" s="2" t="s">
        <v>1755</v>
      </c>
      <c r="J44" s="2" t="s">
        <v>2018</v>
      </c>
    </row>
    <row r="45" spans="1:10" ht="14.4" x14ac:dyDescent="0.3">
      <c r="A45" s="2" t="s">
        <v>19</v>
      </c>
      <c r="B45" s="2" t="s">
        <v>98</v>
      </c>
      <c r="C45" s="2" t="s">
        <v>97</v>
      </c>
      <c r="D45" s="2" t="s">
        <v>1410</v>
      </c>
      <c r="E45" s="2" t="s">
        <v>2177</v>
      </c>
      <c r="F45" s="2" t="s">
        <v>4757</v>
      </c>
      <c r="G45" s="2" t="s">
        <v>3908</v>
      </c>
      <c r="H45" s="2" t="s">
        <v>1464</v>
      </c>
      <c r="I45" s="2" t="s">
        <v>1755</v>
      </c>
      <c r="J45" s="2" t="s">
        <v>2018</v>
      </c>
    </row>
    <row r="46" spans="1:10" ht="14.4" x14ac:dyDescent="0.3">
      <c r="A46" s="2" t="s">
        <v>28</v>
      </c>
      <c r="B46" s="2" t="s">
        <v>100</v>
      </c>
      <c r="C46" s="2" t="s">
        <v>99</v>
      </c>
      <c r="D46" s="2" t="s">
        <v>1410</v>
      </c>
      <c r="E46" s="2" t="s">
        <v>5344</v>
      </c>
      <c r="F46" s="2" t="s">
        <v>5345</v>
      </c>
      <c r="G46" s="2" t="s">
        <v>1534</v>
      </c>
      <c r="H46" s="2" t="s">
        <v>4494</v>
      </c>
      <c r="I46" s="2" t="s">
        <v>4471</v>
      </c>
      <c r="J46" s="2" t="s">
        <v>2018</v>
      </c>
    </row>
    <row r="47" spans="1:10" ht="14.4" x14ac:dyDescent="0.3">
      <c r="A47" s="2" t="s">
        <v>28</v>
      </c>
      <c r="B47" s="2" t="s">
        <v>102</v>
      </c>
      <c r="C47" s="2" t="s">
        <v>101</v>
      </c>
      <c r="D47" s="2" t="s">
        <v>1410</v>
      </c>
      <c r="E47" s="2" t="s">
        <v>2455</v>
      </c>
      <c r="F47" s="2" t="s">
        <v>4940</v>
      </c>
      <c r="G47" s="2" t="s">
        <v>4941</v>
      </c>
      <c r="H47" s="2" t="s">
        <v>4494</v>
      </c>
      <c r="I47" s="2" t="s">
        <v>4471</v>
      </c>
      <c r="J47" s="2" t="s">
        <v>2018</v>
      </c>
    </row>
    <row r="48" spans="1:10" ht="14.4" x14ac:dyDescent="0.3">
      <c r="A48" s="2" t="s">
        <v>8</v>
      </c>
      <c r="B48" s="2" t="s">
        <v>104</v>
      </c>
      <c r="C48" s="2" t="s">
        <v>103</v>
      </c>
      <c r="D48" s="2" t="s">
        <v>1410</v>
      </c>
      <c r="E48" s="2" t="s">
        <v>5430</v>
      </c>
      <c r="F48" s="2" t="s">
        <v>5431</v>
      </c>
      <c r="G48" s="2" t="s">
        <v>1974</v>
      </c>
      <c r="H48" s="2" t="s">
        <v>1424</v>
      </c>
      <c r="I48" s="2" t="s">
        <v>1843</v>
      </c>
      <c r="J48" s="2" t="s">
        <v>2018</v>
      </c>
    </row>
    <row r="49" spans="1:10" ht="14.4" x14ac:dyDescent="0.3">
      <c r="A49" s="2" t="s">
        <v>42</v>
      </c>
      <c r="B49" s="2" t="s">
        <v>106</v>
      </c>
      <c r="C49" s="2" t="s">
        <v>105</v>
      </c>
      <c r="D49" s="2" t="s">
        <v>1410</v>
      </c>
      <c r="E49" s="2" t="s">
        <v>5042</v>
      </c>
      <c r="F49" s="2" t="s">
        <v>5043</v>
      </c>
      <c r="G49" s="2" t="s">
        <v>4218</v>
      </c>
      <c r="H49" s="2" t="s">
        <v>1419</v>
      </c>
      <c r="I49" s="2" t="s">
        <v>1755</v>
      </c>
      <c r="J49" s="2" t="s">
        <v>1599</v>
      </c>
    </row>
    <row r="50" spans="1:10" ht="14.4" x14ac:dyDescent="0.3">
      <c r="A50" s="2" t="s">
        <v>25</v>
      </c>
      <c r="B50" s="2" t="s">
        <v>108</v>
      </c>
      <c r="C50" s="2" t="s">
        <v>107</v>
      </c>
      <c r="D50" s="2" t="s">
        <v>1410</v>
      </c>
      <c r="E50" s="2" t="s">
        <v>4799</v>
      </c>
      <c r="F50" s="2" t="s">
        <v>4800</v>
      </c>
      <c r="G50" s="2" t="s">
        <v>4801</v>
      </c>
      <c r="H50" s="2" t="s">
        <v>1464</v>
      </c>
      <c r="I50" s="2" t="s">
        <v>1755</v>
      </c>
      <c r="J50" s="2" t="s">
        <v>2018</v>
      </c>
    </row>
    <row r="51" spans="1:10" ht="14.4" x14ac:dyDescent="0.3">
      <c r="A51" s="2" t="s">
        <v>42</v>
      </c>
      <c r="B51" s="2" t="s">
        <v>110</v>
      </c>
      <c r="C51" s="2" t="s">
        <v>109</v>
      </c>
      <c r="D51" s="2" t="s">
        <v>1410</v>
      </c>
      <c r="E51" s="2" t="s">
        <v>5276</v>
      </c>
      <c r="F51" s="2" t="s">
        <v>5277</v>
      </c>
      <c r="G51" s="2" t="s">
        <v>4755</v>
      </c>
      <c r="H51" s="2" t="s">
        <v>1464</v>
      </c>
      <c r="I51" s="2" t="s">
        <v>1755</v>
      </c>
      <c r="J51" s="2" t="s">
        <v>2018</v>
      </c>
    </row>
    <row r="52" spans="1:10" ht="14.4" x14ac:dyDescent="0.3">
      <c r="A52" s="2" t="s">
        <v>8</v>
      </c>
      <c r="B52" s="2" t="s">
        <v>112</v>
      </c>
      <c r="C52" s="2" t="s">
        <v>111</v>
      </c>
      <c r="D52" s="2" t="s">
        <v>1410</v>
      </c>
      <c r="E52" s="2" t="s">
        <v>3507</v>
      </c>
      <c r="F52" s="2" t="s">
        <v>2148</v>
      </c>
      <c r="G52" s="2" t="s">
        <v>4743</v>
      </c>
      <c r="H52" s="2" t="s">
        <v>1452</v>
      </c>
      <c r="I52" s="2" t="s">
        <v>1755</v>
      </c>
      <c r="J52" s="2" t="s">
        <v>1551</v>
      </c>
    </row>
    <row r="53" spans="1:10" ht="14.4" x14ac:dyDescent="0.3">
      <c r="A53" s="2" t="s">
        <v>115</v>
      </c>
      <c r="B53" s="2" t="s">
        <v>114</v>
      </c>
      <c r="C53" s="2" t="s">
        <v>113</v>
      </c>
      <c r="D53" s="2" t="s">
        <v>1410</v>
      </c>
      <c r="E53" s="2" t="s">
        <v>4780</v>
      </c>
      <c r="F53" s="2" t="s">
        <v>4781</v>
      </c>
      <c r="G53" s="2" t="s">
        <v>2399</v>
      </c>
      <c r="H53" s="2" t="s">
        <v>4782</v>
      </c>
      <c r="I53" s="2" t="s">
        <v>4783</v>
      </c>
      <c r="J53" s="2" t="s">
        <v>1599</v>
      </c>
    </row>
    <row r="54" spans="1:10" ht="14.4" x14ac:dyDescent="0.3">
      <c r="A54" s="2" t="s">
        <v>115</v>
      </c>
      <c r="B54" s="2" t="s">
        <v>114</v>
      </c>
      <c r="C54" s="2" t="s">
        <v>113</v>
      </c>
      <c r="D54" s="2" t="s">
        <v>1410</v>
      </c>
      <c r="E54" s="2" t="s">
        <v>4971</v>
      </c>
      <c r="F54" s="2" t="s">
        <v>2519</v>
      </c>
      <c r="G54" s="2" t="s">
        <v>4972</v>
      </c>
      <c r="H54" s="2" t="s">
        <v>1464</v>
      </c>
      <c r="I54" s="2" t="s">
        <v>1755</v>
      </c>
      <c r="J54" s="2" t="s">
        <v>2018</v>
      </c>
    </row>
    <row r="55" spans="1:10" ht="14.4" x14ac:dyDescent="0.3">
      <c r="A55" s="2" t="s">
        <v>31</v>
      </c>
      <c r="B55" s="2" t="s">
        <v>117</v>
      </c>
      <c r="C55" s="2" t="s">
        <v>116</v>
      </c>
      <c r="D55" s="2" t="s">
        <v>1410</v>
      </c>
      <c r="E55" s="2" t="s">
        <v>2177</v>
      </c>
      <c r="F55" s="2" t="s">
        <v>3503</v>
      </c>
      <c r="G55" s="2" t="s">
        <v>4756</v>
      </c>
      <c r="H55" s="2" t="s">
        <v>1464</v>
      </c>
      <c r="I55" s="2" t="s">
        <v>1755</v>
      </c>
      <c r="J55" s="2" t="s">
        <v>2018</v>
      </c>
    </row>
    <row r="56" spans="1:10" ht="14.4" x14ac:dyDescent="0.3">
      <c r="A56" s="2" t="s">
        <v>120</v>
      </c>
      <c r="B56" s="2" t="s">
        <v>119</v>
      </c>
      <c r="C56" s="2" t="s">
        <v>118</v>
      </c>
      <c r="D56" s="2" t="s">
        <v>1410</v>
      </c>
      <c r="E56" s="2" t="s">
        <v>2109</v>
      </c>
      <c r="F56" s="2" t="s">
        <v>3516</v>
      </c>
      <c r="G56" s="2" t="s">
        <v>1993</v>
      </c>
      <c r="H56" s="2" t="s">
        <v>4494</v>
      </c>
      <c r="I56" s="2" t="s">
        <v>4471</v>
      </c>
      <c r="J56" s="2" t="s">
        <v>2018</v>
      </c>
    </row>
    <row r="57" spans="1:10" ht="14.4" x14ac:dyDescent="0.3">
      <c r="A57" s="2" t="s">
        <v>123</v>
      </c>
      <c r="B57" s="2" t="s">
        <v>122</v>
      </c>
      <c r="C57" s="2" t="s">
        <v>121</v>
      </c>
      <c r="D57" s="2" t="s">
        <v>1410</v>
      </c>
      <c r="E57" s="2" t="s">
        <v>5248</v>
      </c>
      <c r="F57" s="2" t="s">
        <v>5249</v>
      </c>
      <c r="G57" s="2" t="s">
        <v>4470</v>
      </c>
      <c r="H57" s="2" t="s">
        <v>1414</v>
      </c>
      <c r="I57" s="2" t="s">
        <v>1414</v>
      </c>
      <c r="J57" s="2" t="s">
        <v>1414</v>
      </c>
    </row>
    <row r="58" spans="1:10" ht="14.4" x14ac:dyDescent="0.3">
      <c r="A58" s="2" t="s">
        <v>123</v>
      </c>
      <c r="B58" s="2" t="s">
        <v>122</v>
      </c>
      <c r="C58" s="2" t="s">
        <v>121</v>
      </c>
      <c r="D58" s="2" t="s">
        <v>1410</v>
      </c>
      <c r="E58" s="2" t="s">
        <v>5346</v>
      </c>
      <c r="F58" s="2" t="s">
        <v>2954</v>
      </c>
      <c r="G58" s="2" t="s">
        <v>2055</v>
      </c>
      <c r="H58" s="2" t="s">
        <v>1464</v>
      </c>
      <c r="I58" s="2" t="s">
        <v>1755</v>
      </c>
      <c r="J58" s="2" t="s">
        <v>2018</v>
      </c>
    </row>
    <row r="59" spans="1:10" ht="28.8" x14ac:dyDescent="0.3">
      <c r="A59" s="2" t="s">
        <v>126</v>
      </c>
      <c r="B59" s="2" t="s">
        <v>125</v>
      </c>
      <c r="C59" s="2" t="s">
        <v>124</v>
      </c>
      <c r="D59" s="2" t="s">
        <v>1410</v>
      </c>
      <c r="E59" s="2" t="s">
        <v>2151</v>
      </c>
      <c r="F59" s="2" t="s">
        <v>3520</v>
      </c>
      <c r="G59" s="2" t="s">
        <v>3009</v>
      </c>
      <c r="H59" s="2" t="s">
        <v>4494</v>
      </c>
      <c r="I59" s="2" t="s">
        <v>4471</v>
      </c>
      <c r="J59" s="2" t="s">
        <v>2018</v>
      </c>
    </row>
    <row r="60" spans="1:10" ht="14.4" x14ac:dyDescent="0.3">
      <c r="A60" s="2" t="s">
        <v>19</v>
      </c>
      <c r="B60" s="2" t="s">
        <v>128</v>
      </c>
      <c r="C60" s="2" t="s">
        <v>127</v>
      </c>
      <c r="D60" s="2" t="s">
        <v>1410</v>
      </c>
      <c r="E60" s="2" t="s">
        <v>4765</v>
      </c>
      <c r="F60" s="2" t="s">
        <v>4766</v>
      </c>
      <c r="G60" s="2" t="s">
        <v>4470</v>
      </c>
      <c r="H60" s="2" t="s">
        <v>1464</v>
      </c>
      <c r="I60" s="2" t="s">
        <v>1755</v>
      </c>
      <c r="J60" s="2" t="s">
        <v>2018</v>
      </c>
    </row>
    <row r="61" spans="1:10" ht="14.4" x14ac:dyDescent="0.3">
      <c r="A61" s="2" t="s">
        <v>19</v>
      </c>
      <c r="B61" s="2" t="s">
        <v>128</v>
      </c>
      <c r="C61" s="2" t="s">
        <v>127</v>
      </c>
      <c r="D61" s="2" t="s">
        <v>1410</v>
      </c>
      <c r="E61" s="2" t="s">
        <v>4931</v>
      </c>
      <c r="F61" s="2" t="s">
        <v>2451</v>
      </c>
      <c r="G61" s="2" t="s">
        <v>4932</v>
      </c>
      <c r="H61" s="2" t="s">
        <v>1464</v>
      </c>
      <c r="I61" s="2" t="s">
        <v>1755</v>
      </c>
      <c r="J61" s="2" t="s">
        <v>2018</v>
      </c>
    </row>
    <row r="62" spans="1:10" ht="14.4" x14ac:dyDescent="0.3">
      <c r="A62" s="2" t="s">
        <v>11</v>
      </c>
      <c r="B62" s="2" t="s">
        <v>130</v>
      </c>
      <c r="C62" s="2" t="s">
        <v>129</v>
      </c>
      <c r="D62" s="2" t="s">
        <v>1410</v>
      </c>
      <c r="E62" s="2" t="s">
        <v>3760</v>
      </c>
      <c r="F62" s="2" t="s">
        <v>4967</v>
      </c>
      <c r="G62" s="2" t="s">
        <v>4968</v>
      </c>
      <c r="H62" s="2" t="s">
        <v>2744</v>
      </c>
      <c r="I62" s="2" t="s">
        <v>3214</v>
      </c>
      <c r="J62" s="2" t="s">
        <v>1599</v>
      </c>
    </row>
    <row r="63" spans="1:10" ht="14.4" x14ac:dyDescent="0.3">
      <c r="A63" s="2" t="s">
        <v>11</v>
      </c>
      <c r="B63" s="2" t="s">
        <v>130</v>
      </c>
      <c r="C63" s="2" t="s">
        <v>129</v>
      </c>
      <c r="D63" s="2" t="s">
        <v>1410</v>
      </c>
      <c r="E63" s="2" t="s">
        <v>4980</v>
      </c>
      <c r="F63" s="2" t="s">
        <v>3787</v>
      </c>
      <c r="G63" s="2" t="s">
        <v>4981</v>
      </c>
      <c r="H63" s="2" t="s">
        <v>1464</v>
      </c>
      <c r="I63" s="2" t="s">
        <v>1755</v>
      </c>
      <c r="J63" s="2" t="s">
        <v>2018</v>
      </c>
    </row>
    <row r="64" spans="1:10" ht="14.4" x14ac:dyDescent="0.3">
      <c r="A64" s="2" t="s">
        <v>133</v>
      </c>
      <c r="B64" s="2" t="s">
        <v>132</v>
      </c>
      <c r="C64" s="2" t="s">
        <v>131</v>
      </c>
      <c r="D64" s="2" t="s">
        <v>1410</v>
      </c>
      <c r="E64" s="2" t="s">
        <v>4745</v>
      </c>
      <c r="F64" s="2" t="s">
        <v>2167</v>
      </c>
      <c r="G64" s="2" t="s">
        <v>4746</v>
      </c>
      <c r="H64" s="2" t="s">
        <v>1464</v>
      </c>
      <c r="I64" s="2" t="s">
        <v>1755</v>
      </c>
      <c r="J64" s="2" t="s">
        <v>2018</v>
      </c>
    </row>
    <row r="65" spans="1:10" ht="14.4" x14ac:dyDescent="0.3">
      <c r="A65" s="2" t="s">
        <v>42</v>
      </c>
      <c r="B65" s="2" t="s">
        <v>135</v>
      </c>
      <c r="C65" s="2" t="s">
        <v>134</v>
      </c>
      <c r="D65" s="2" t="s">
        <v>1410</v>
      </c>
      <c r="E65" s="2" t="s">
        <v>3507</v>
      </c>
      <c r="F65" s="2" t="s">
        <v>4742</v>
      </c>
      <c r="G65" s="2" t="s">
        <v>3287</v>
      </c>
      <c r="H65" s="2" t="s">
        <v>1464</v>
      </c>
      <c r="I65" s="2" t="s">
        <v>1755</v>
      </c>
      <c r="J65" s="2" t="s">
        <v>2018</v>
      </c>
    </row>
    <row r="66" spans="1:10" ht="14.4" x14ac:dyDescent="0.3">
      <c r="A66" s="2" t="s">
        <v>8</v>
      </c>
      <c r="B66" s="2" t="s">
        <v>137</v>
      </c>
      <c r="C66" s="2" t="s">
        <v>136</v>
      </c>
      <c r="D66" s="2" t="s">
        <v>1410</v>
      </c>
      <c r="E66" s="2" t="s">
        <v>4877</v>
      </c>
      <c r="F66" s="2" t="s">
        <v>4878</v>
      </c>
      <c r="G66" s="2" t="s">
        <v>2221</v>
      </c>
      <c r="H66" s="2" t="s">
        <v>1464</v>
      </c>
      <c r="I66" s="2" t="s">
        <v>1755</v>
      </c>
      <c r="J66" s="2" t="s">
        <v>2018</v>
      </c>
    </row>
    <row r="67" spans="1:10" ht="14.4" x14ac:dyDescent="0.3">
      <c r="A67" s="2" t="s">
        <v>49</v>
      </c>
      <c r="B67" s="2" t="s">
        <v>139</v>
      </c>
      <c r="C67" s="2" t="s">
        <v>138</v>
      </c>
      <c r="D67" s="2" t="s">
        <v>1410</v>
      </c>
      <c r="E67" s="2" t="s">
        <v>2127</v>
      </c>
      <c r="F67" s="2" t="s">
        <v>2112</v>
      </c>
      <c r="G67" s="2" t="s">
        <v>4735</v>
      </c>
      <c r="H67" s="2" t="s">
        <v>1464</v>
      </c>
      <c r="I67" s="2" t="s">
        <v>1755</v>
      </c>
      <c r="J67" s="2" t="s">
        <v>2018</v>
      </c>
    </row>
    <row r="68" spans="1:10" ht="14.4" x14ac:dyDescent="0.3">
      <c r="A68" s="2" t="s">
        <v>42</v>
      </c>
      <c r="B68" s="2" t="s">
        <v>139</v>
      </c>
      <c r="C68" s="2" t="s">
        <v>140</v>
      </c>
      <c r="D68" s="2" t="s">
        <v>1410</v>
      </c>
      <c r="E68" s="2" t="s">
        <v>4517</v>
      </c>
      <c r="F68" s="2" t="s">
        <v>4518</v>
      </c>
      <c r="G68" s="2" t="s">
        <v>4519</v>
      </c>
      <c r="H68" s="2" t="s">
        <v>4494</v>
      </c>
      <c r="I68" s="2" t="s">
        <v>4471</v>
      </c>
      <c r="J68" s="2" t="s">
        <v>2018</v>
      </c>
    </row>
    <row r="69" spans="1:10" ht="14.4" x14ac:dyDescent="0.3">
      <c r="A69" s="2" t="s">
        <v>55</v>
      </c>
      <c r="B69" s="2" t="s">
        <v>142</v>
      </c>
      <c r="C69" s="2" t="s">
        <v>141</v>
      </c>
      <c r="D69" s="2" t="s">
        <v>1410</v>
      </c>
      <c r="E69" s="2" t="s">
        <v>3594</v>
      </c>
      <c r="F69" s="2" t="s">
        <v>4809</v>
      </c>
      <c r="G69" s="2" t="s">
        <v>4565</v>
      </c>
      <c r="H69" s="2" t="s">
        <v>1464</v>
      </c>
      <c r="I69" s="2" t="s">
        <v>1755</v>
      </c>
      <c r="J69" s="2" t="s">
        <v>2018</v>
      </c>
    </row>
    <row r="70" spans="1:10" ht="28.8" x14ac:dyDescent="0.3">
      <c r="A70" s="2" t="s">
        <v>49</v>
      </c>
      <c r="B70" s="2" t="s">
        <v>144</v>
      </c>
      <c r="C70" s="2" t="s">
        <v>143</v>
      </c>
      <c r="D70" s="2" t="s">
        <v>1410</v>
      </c>
      <c r="E70" s="2" t="s">
        <v>5026</v>
      </c>
      <c r="F70" s="2" t="s">
        <v>3852</v>
      </c>
      <c r="G70" s="2" t="s">
        <v>5027</v>
      </c>
      <c r="H70" s="2" t="s">
        <v>1452</v>
      </c>
      <c r="I70" s="2" t="s">
        <v>1755</v>
      </c>
      <c r="J70" s="2" t="s">
        <v>1551</v>
      </c>
    </row>
    <row r="71" spans="1:10" ht="14.4" x14ac:dyDescent="0.3">
      <c r="A71" s="2" t="s">
        <v>8</v>
      </c>
      <c r="B71" s="2" t="s">
        <v>146</v>
      </c>
      <c r="C71" s="2" t="s">
        <v>145</v>
      </c>
      <c r="D71" s="2" t="s">
        <v>1410</v>
      </c>
      <c r="E71" s="2" t="s">
        <v>2450</v>
      </c>
      <c r="F71" s="2" t="s">
        <v>2452</v>
      </c>
      <c r="G71" s="2" t="s">
        <v>4928</v>
      </c>
      <c r="H71" s="2" t="s">
        <v>1464</v>
      </c>
      <c r="I71" s="2" t="s">
        <v>1755</v>
      </c>
      <c r="J71" s="2" t="s">
        <v>2018</v>
      </c>
    </row>
    <row r="72" spans="1:10" ht="14.4" x14ac:dyDescent="0.3">
      <c r="A72" s="2" t="s">
        <v>71</v>
      </c>
      <c r="B72" s="2" t="s">
        <v>148</v>
      </c>
      <c r="C72" s="2" t="s">
        <v>147</v>
      </c>
      <c r="D72" s="2" t="s">
        <v>1410</v>
      </c>
      <c r="E72" s="2" t="s">
        <v>4922</v>
      </c>
      <c r="F72" s="2" t="s">
        <v>4923</v>
      </c>
      <c r="G72" s="2" t="s">
        <v>4736</v>
      </c>
      <c r="H72" s="2" t="s">
        <v>1464</v>
      </c>
      <c r="I72" s="2" t="s">
        <v>1755</v>
      </c>
      <c r="J72" s="2" t="s">
        <v>2018</v>
      </c>
    </row>
    <row r="73" spans="1:10" ht="14.4" x14ac:dyDescent="0.3">
      <c r="A73" s="2" t="s">
        <v>11</v>
      </c>
      <c r="B73" s="2" t="s">
        <v>150</v>
      </c>
      <c r="C73" s="2" t="s">
        <v>149</v>
      </c>
      <c r="D73" s="2" t="s">
        <v>1410</v>
      </c>
      <c r="E73" s="2" t="s">
        <v>4989</v>
      </c>
      <c r="F73" s="2" t="s">
        <v>4990</v>
      </c>
      <c r="G73" s="2" t="s">
        <v>4991</v>
      </c>
      <c r="H73" s="2" t="s">
        <v>1438</v>
      </c>
      <c r="I73" s="2" t="s">
        <v>1843</v>
      </c>
      <c r="J73" s="2" t="s">
        <v>1506</v>
      </c>
    </row>
    <row r="74" spans="1:10" ht="14.4" x14ac:dyDescent="0.3">
      <c r="A74" s="2" t="s">
        <v>153</v>
      </c>
      <c r="B74" s="2" t="s">
        <v>152</v>
      </c>
      <c r="C74" s="2" t="s">
        <v>151</v>
      </c>
      <c r="D74" s="2" t="s">
        <v>1410</v>
      </c>
      <c r="E74" s="2" t="s">
        <v>2482</v>
      </c>
      <c r="F74" s="2" t="s">
        <v>4946</v>
      </c>
      <c r="G74" s="2" t="s">
        <v>4947</v>
      </c>
      <c r="H74" s="2" t="s">
        <v>1464</v>
      </c>
      <c r="I74" s="2" t="s">
        <v>1755</v>
      </c>
      <c r="J74" s="2" t="s">
        <v>2018</v>
      </c>
    </row>
    <row r="75" spans="1:10" ht="14.4" x14ac:dyDescent="0.3">
      <c r="A75" s="2" t="s">
        <v>42</v>
      </c>
      <c r="B75" s="2" t="s">
        <v>155</v>
      </c>
      <c r="C75" s="2" t="s">
        <v>154</v>
      </c>
      <c r="D75" s="2" t="s">
        <v>1410</v>
      </c>
      <c r="E75" s="2" t="s">
        <v>2739</v>
      </c>
      <c r="F75" s="2" t="s">
        <v>4001</v>
      </c>
      <c r="G75" s="2" t="s">
        <v>5162</v>
      </c>
      <c r="H75" s="2" t="s">
        <v>4535</v>
      </c>
      <c r="I75" s="2" t="s">
        <v>4471</v>
      </c>
      <c r="J75" s="2" t="s">
        <v>1551</v>
      </c>
    </row>
    <row r="76" spans="1:10" ht="14.4" x14ac:dyDescent="0.3">
      <c r="A76" s="2" t="s">
        <v>8</v>
      </c>
      <c r="B76" s="2" t="s">
        <v>157</v>
      </c>
      <c r="C76" s="2" t="s">
        <v>156</v>
      </c>
      <c r="D76" s="2" t="s">
        <v>1410</v>
      </c>
      <c r="E76" s="2" t="s">
        <v>3865</v>
      </c>
      <c r="F76" s="2" t="s">
        <v>5040</v>
      </c>
      <c r="G76" s="2" t="s">
        <v>5041</v>
      </c>
      <c r="H76" s="2" t="s">
        <v>4494</v>
      </c>
      <c r="I76" s="2" t="s">
        <v>4471</v>
      </c>
      <c r="J76" s="2" t="s">
        <v>2018</v>
      </c>
    </row>
    <row r="77" spans="1:10" ht="14.4" x14ac:dyDescent="0.3">
      <c r="A77" s="2" t="s">
        <v>28</v>
      </c>
      <c r="B77" s="2" t="s">
        <v>159</v>
      </c>
      <c r="C77" s="2" t="s">
        <v>158</v>
      </c>
      <c r="D77" s="2" t="s">
        <v>1410</v>
      </c>
      <c r="E77" s="2" t="s">
        <v>3762</v>
      </c>
      <c r="F77" s="2" t="s">
        <v>3746</v>
      </c>
      <c r="G77" s="2" t="s">
        <v>2854</v>
      </c>
      <c r="H77" s="2" t="s">
        <v>4535</v>
      </c>
      <c r="I77" s="2" t="s">
        <v>4471</v>
      </c>
      <c r="J77" s="2" t="s">
        <v>1551</v>
      </c>
    </row>
    <row r="78" spans="1:10" ht="14.4" x14ac:dyDescent="0.3">
      <c r="A78" s="2" t="s">
        <v>31</v>
      </c>
      <c r="B78" s="2" t="s">
        <v>161</v>
      </c>
      <c r="C78" s="2" t="s">
        <v>160</v>
      </c>
      <c r="D78" s="2" t="s">
        <v>1410</v>
      </c>
      <c r="E78" s="2" t="s">
        <v>4833</v>
      </c>
      <c r="F78" s="2" t="s">
        <v>4834</v>
      </c>
      <c r="G78" s="2" t="s">
        <v>4835</v>
      </c>
      <c r="H78" s="2" t="s">
        <v>1424</v>
      </c>
      <c r="I78" s="2" t="s">
        <v>1843</v>
      </c>
      <c r="J78" s="2" t="s">
        <v>2018</v>
      </c>
    </row>
    <row r="79" spans="1:10" ht="14.4" x14ac:dyDescent="0.3">
      <c r="A79" s="2" t="s">
        <v>42</v>
      </c>
      <c r="B79" s="2" t="s">
        <v>163</v>
      </c>
      <c r="C79" s="2" t="s">
        <v>162</v>
      </c>
      <c r="D79" s="2" t="s">
        <v>1410</v>
      </c>
      <c r="E79" s="2" t="s">
        <v>4925</v>
      </c>
      <c r="F79" s="2" t="s">
        <v>2427</v>
      </c>
      <c r="G79" s="2" t="s">
        <v>4926</v>
      </c>
      <c r="H79" s="2" t="s">
        <v>1464</v>
      </c>
      <c r="I79" s="2" t="s">
        <v>1755</v>
      </c>
      <c r="J79" s="2" t="s">
        <v>2018</v>
      </c>
    </row>
    <row r="80" spans="1:10" ht="14.4" x14ac:dyDescent="0.3">
      <c r="A80" s="2" t="s">
        <v>28</v>
      </c>
      <c r="B80" s="2" t="s">
        <v>165</v>
      </c>
      <c r="C80" s="2" t="s">
        <v>164</v>
      </c>
      <c r="D80" s="2" t="s">
        <v>1410</v>
      </c>
      <c r="E80" s="2" t="s">
        <v>2560</v>
      </c>
      <c r="F80" s="2" t="s">
        <v>2574</v>
      </c>
      <c r="G80" s="2" t="s">
        <v>2233</v>
      </c>
      <c r="H80" s="2" t="s">
        <v>1428</v>
      </c>
      <c r="I80" s="2" t="s">
        <v>1551</v>
      </c>
      <c r="J80" s="2" t="s">
        <v>1551</v>
      </c>
    </row>
    <row r="81" spans="1:10" ht="14.4" x14ac:dyDescent="0.3">
      <c r="A81" s="2" t="s">
        <v>31</v>
      </c>
      <c r="B81" s="2" t="s">
        <v>167</v>
      </c>
      <c r="C81" s="2" t="s">
        <v>166</v>
      </c>
      <c r="D81" s="2" t="s">
        <v>1410</v>
      </c>
      <c r="E81" s="2" t="s">
        <v>4917</v>
      </c>
      <c r="F81" s="2" t="s">
        <v>4918</v>
      </c>
      <c r="G81" s="2" t="s">
        <v>1813</v>
      </c>
      <c r="H81" s="2" t="s">
        <v>1464</v>
      </c>
      <c r="I81" s="2" t="s">
        <v>1755</v>
      </c>
      <c r="J81" s="2" t="s">
        <v>2018</v>
      </c>
    </row>
    <row r="82" spans="1:10" ht="14.4" x14ac:dyDescent="0.3">
      <c r="A82" s="2" t="s">
        <v>170</v>
      </c>
      <c r="B82" s="2" t="s">
        <v>169</v>
      </c>
      <c r="C82" s="2" t="s">
        <v>168</v>
      </c>
      <c r="D82" s="2" t="s">
        <v>1410</v>
      </c>
      <c r="E82" s="2" t="s">
        <v>3740</v>
      </c>
      <c r="F82" s="2" t="s">
        <v>2497</v>
      </c>
      <c r="G82" s="2" t="s">
        <v>4954</v>
      </c>
      <c r="H82" s="2" t="s">
        <v>4487</v>
      </c>
      <c r="I82" s="2" t="s">
        <v>4436</v>
      </c>
      <c r="J82" s="2" t="s">
        <v>2018</v>
      </c>
    </row>
    <row r="83" spans="1:10" ht="14.4" x14ac:dyDescent="0.3">
      <c r="A83" s="2" t="s">
        <v>11</v>
      </c>
      <c r="B83" s="2" t="s">
        <v>172</v>
      </c>
      <c r="C83" s="2" t="s">
        <v>171</v>
      </c>
      <c r="D83" s="2" t="s">
        <v>1410</v>
      </c>
      <c r="E83" s="2" t="s">
        <v>3779</v>
      </c>
      <c r="F83" s="2" t="s">
        <v>3782</v>
      </c>
      <c r="G83" s="2" t="s">
        <v>2325</v>
      </c>
      <c r="H83" s="2" t="s">
        <v>1464</v>
      </c>
      <c r="I83" s="2" t="s">
        <v>1755</v>
      </c>
      <c r="J83" s="2" t="s">
        <v>2018</v>
      </c>
    </row>
    <row r="84" spans="1:10" ht="14.4" x14ac:dyDescent="0.3">
      <c r="A84" s="2" t="s">
        <v>71</v>
      </c>
      <c r="B84" s="2" t="s">
        <v>174</v>
      </c>
      <c r="C84" s="2" t="s">
        <v>173</v>
      </c>
      <c r="D84" s="2" t="s">
        <v>1410</v>
      </c>
      <c r="E84" s="2" t="s">
        <v>3927</v>
      </c>
      <c r="F84" s="2" t="s">
        <v>5088</v>
      </c>
      <c r="G84" s="2" t="s">
        <v>4470</v>
      </c>
      <c r="H84" s="2" t="s">
        <v>1464</v>
      </c>
      <c r="I84" s="2" t="s">
        <v>1755</v>
      </c>
      <c r="J84" s="2" t="s">
        <v>2018</v>
      </c>
    </row>
    <row r="85" spans="1:10" ht="14.4" x14ac:dyDescent="0.3">
      <c r="A85" s="2" t="s">
        <v>8</v>
      </c>
      <c r="B85" s="2" t="s">
        <v>176</v>
      </c>
      <c r="C85" s="2" t="s">
        <v>175</v>
      </c>
      <c r="D85" s="2" t="s">
        <v>1410</v>
      </c>
      <c r="E85" s="2" t="s">
        <v>4912</v>
      </c>
      <c r="F85" s="2" t="s">
        <v>4913</v>
      </c>
      <c r="G85" s="2" t="s">
        <v>4914</v>
      </c>
      <c r="H85" s="2" t="s">
        <v>1464</v>
      </c>
      <c r="I85" s="2" t="s">
        <v>1755</v>
      </c>
      <c r="J85" s="2" t="s">
        <v>2018</v>
      </c>
    </row>
    <row r="86" spans="1:10" ht="14.4" x14ac:dyDescent="0.3">
      <c r="A86" s="2" t="s">
        <v>179</v>
      </c>
      <c r="B86" s="2" t="s">
        <v>178</v>
      </c>
      <c r="C86" s="2" t="s">
        <v>177</v>
      </c>
      <c r="D86" s="2" t="s">
        <v>1410</v>
      </c>
      <c r="E86" s="2" t="s">
        <v>4951</v>
      </c>
      <c r="F86" s="2" t="s">
        <v>4957</v>
      </c>
      <c r="G86" s="2" t="s">
        <v>4958</v>
      </c>
      <c r="H86" s="2" t="s">
        <v>4487</v>
      </c>
      <c r="I86" s="2" t="s">
        <v>4436</v>
      </c>
      <c r="J86" s="2" t="s">
        <v>2018</v>
      </c>
    </row>
    <row r="87" spans="1:10" ht="14.4" x14ac:dyDescent="0.3">
      <c r="A87" s="2" t="s">
        <v>8</v>
      </c>
      <c r="B87" s="2" t="s">
        <v>181</v>
      </c>
      <c r="C87" s="2" t="s">
        <v>180</v>
      </c>
      <c r="D87" s="2" t="s">
        <v>1410</v>
      </c>
      <c r="E87" s="2" t="s">
        <v>2425</v>
      </c>
      <c r="F87" s="2" t="s">
        <v>2434</v>
      </c>
      <c r="G87" s="2" t="s">
        <v>4470</v>
      </c>
      <c r="H87" s="2" t="s">
        <v>1452</v>
      </c>
      <c r="I87" s="2" t="s">
        <v>1755</v>
      </c>
      <c r="J87" s="2" t="s">
        <v>1551</v>
      </c>
    </row>
    <row r="88" spans="1:10" ht="14.4" x14ac:dyDescent="0.3">
      <c r="A88" s="2" t="s">
        <v>8</v>
      </c>
      <c r="B88" s="2" t="s">
        <v>183</v>
      </c>
      <c r="C88" s="2" t="s">
        <v>182</v>
      </c>
      <c r="D88" s="2" t="s">
        <v>1410</v>
      </c>
      <c r="E88" s="2" t="s">
        <v>4929</v>
      </c>
      <c r="F88" s="2" t="s">
        <v>2445</v>
      </c>
      <c r="G88" s="2" t="s">
        <v>3156</v>
      </c>
      <c r="H88" s="2" t="s">
        <v>1419</v>
      </c>
      <c r="I88" s="2" t="s">
        <v>1755</v>
      </c>
      <c r="J88" s="2" t="s">
        <v>1599</v>
      </c>
    </row>
    <row r="89" spans="1:10" ht="14.4" x14ac:dyDescent="0.3">
      <c r="A89" s="2" t="s">
        <v>42</v>
      </c>
      <c r="B89" s="2" t="s">
        <v>185</v>
      </c>
      <c r="C89" s="2" t="s">
        <v>184</v>
      </c>
      <c r="D89" s="2" t="s">
        <v>1410</v>
      </c>
      <c r="E89" s="2" t="s">
        <v>4967</v>
      </c>
      <c r="F89" s="2" t="s">
        <v>2523</v>
      </c>
      <c r="G89" s="2" t="s">
        <v>4979</v>
      </c>
      <c r="H89" s="2" t="s">
        <v>1464</v>
      </c>
      <c r="I89" s="2" t="s">
        <v>1755</v>
      </c>
      <c r="J89" s="2" t="s">
        <v>2018</v>
      </c>
    </row>
    <row r="90" spans="1:10" ht="14.4" x14ac:dyDescent="0.3">
      <c r="A90" s="2" t="s">
        <v>8</v>
      </c>
      <c r="B90" s="2" t="s">
        <v>187</v>
      </c>
      <c r="C90" s="2" t="s">
        <v>186</v>
      </c>
      <c r="D90" s="2" t="s">
        <v>1410</v>
      </c>
      <c r="E90" s="2" t="s">
        <v>4768</v>
      </c>
      <c r="F90" s="2" t="s">
        <v>4769</v>
      </c>
      <c r="G90" s="2" t="s">
        <v>4770</v>
      </c>
      <c r="H90" s="2" t="s">
        <v>1464</v>
      </c>
      <c r="I90" s="2" t="s">
        <v>1755</v>
      </c>
      <c r="J90" s="2" t="s">
        <v>2018</v>
      </c>
    </row>
    <row r="91" spans="1:10" ht="14.4" x14ac:dyDescent="0.3">
      <c r="A91" s="2" t="s">
        <v>123</v>
      </c>
      <c r="B91" s="2" t="s">
        <v>189</v>
      </c>
      <c r="C91" s="2" t="s">
        <v>188</v>
      </c>
      <c r="D91" s="2" t="s">
        <v>1410</v>
      </c>
      <c r="E91" s="2" t="s">
        <v>3741</v>
      </c>
      <c r="F91" s="2" t="s">
        <v>4955</v>
      </c>
      <c r="G91" s="2" t="s">
        <v>3908</v>
      </c>
      <c r="H91" s="2" t="s">
        <v>4956</v>
      </c>
      <c r="I91" s="2" t="s">
        <v>4556</v>
      </c>
      <c r="J91" s="2" t="s">
        <v>2018</v>
      </c>
    </row>
    <row r="92" spans="1:10" ht="14.4" x14ac:dyDescent="0.3">
      <c r="A92" s="2" t="s">
        <v>192</v>
      </c>
      <c r="B92" s="2" t="s">
        <v>191</v>
      </c>
      <c r="C92" s="2" t="s">
        <v>190</v>
      </c>
      <c r="D92" s="2" t="s">
        <v>1410</v>
      </c>
      <c r="E92" s="2" t="s">
        <v>4950</v>
      </c>
      <c r="F92" s="2" t="s">
        <v>4951</v>
      </c>
      <c r="G92" s="2" t="s">
        <v>4952</v>
      </c>
      <c r="H92" s="2" t="s">
        <v>4754</v>
      </c>
      <c r="I92" s="2" t="s">
        <v>4556</v>
      </c>
      <c r="J92" s="2" t="s">
        <v>1551</v>
      </c>
    </row>
    <row r="93" spans="1:10" ht="14.4" x14ac:dyDescent="0.3">
      <c r="A93" s="2" t="s">
        <v>192</v>
      </c>
      <c r="B93" s="2" t="s">
        <v>191</v>
      </c>
      <c r="C93" s="2" t="s">
        <v>190</v>
      </c>
      <c r="D93" s="2" t="s">
        <v>1410</v>
      </c>
      <c r="E93" s="2" t="s">
        <v>5210</v>
      </c>
      <c r="F93" s="2" t="s">
        <v>5211</v>
      </c>
      <c r="G93" s="2" t="s">
        <v>5212</v>
      </c>
      <c r="H93" s="2" t="s">
        <v>4494</v>
      </c>
      <c r="I93" s="2" t="s">
        <v>4471</v>
      </c>
      <c r="J93" s="2" t="s">
        <v>2018</v>
      </c>
    </row>
    <row r="94" spans="1:10" ht="14.4" x14ac:dyDescent="0.3">
      <c r="A94" s="2" t="s">
        <v>55</v>
      </c>
      <c r="B94" s="2" t="s">
        <v>194</v>
      </c>
      <c r="C94" s="2" t="s">
        <v>193</v>
      </c>
      <c r="D94" s="2" t="s">
        <v>1410</v>
      </c>
      <c r="E94" s="2" t="s">
        <v>4996</v>
      </c>
      <c r="F94" s="2" t="s">
        <v>4997</v>
      </c>
      <c r="G94" s="2" t="s">
        <v>4998</v>
      </c>
      <c r="H94" s="2" t="s">
        <v>4471</v>
      </c>
      <c r="I94" s="2" t="s">
        <v>4999</v>
      </c>
      <c r="J94" s="2" t="s">
        <v>1551</v>
      </c>
    </row>
    <row r="95" spans="1:10" ht="14.4" x14ac:dyDescent="0.3">
      <c r="A95" s="2" t="s">
        <v>55</v>
      </c>
      <c r="B95" s="2" t="s">
        <v>194</v>
      </c>
      <c r="C95" s="2" t="s">
        <v>193</v>
      </c>
      <c r="D95" s="2" t="s">
        <v>1410</v>
      </c>
      <c r="E95" s="2" t="s">
        <v>5000</v>
      </c>
      <c r="F95" s="2" t="s">
        <v>5001</v>
      </c>
      <c r="G95" s="2" t="s">
        <v>1790</v>
      </c>
      <c r="H95" s="2" t="s">
        <v>1464</v>
      </c>
      <c r="I95" s="2" t="s">
        <v>1755</v>
      </c>
      <c r="J95" s="2" t="s">
        <v>2018</v>
      </c>
    </row>
    <row r="96" spans="1:10" ht="14.4" x14ac:dyDescent="0.3">
      <c r="A96" s="2" t="s">
        <v>8</v>
      </c>
      <c r="B96" s="2" t="s">
        <v>196</v>
      </c>
      <c r="C96" s="2" t="s">
        <v>195</v>
      </c>
      <c r="D96" s="2" t="s">
        <v>1410</v>
      </c>
      <c r="E96" s="2" t="s">
        <v>4967</v>
      </c>
      <c r="F96" s="2" t="s">
        <v>4977</v>
      </c>
      <c r="G96" s="2" t="s">
        <v>4978</v>
      </c>
      <c r="H96" s="2" t="s">
        <v>1464</v>
      </c>
      <c r="I96" s="2" t="s">
        <v>1755</v>
      </c>
      <c r="J96" s="2" t="s">
        <v>2018</v>
      </c>
    </row>
    <row r="97" spans="1:10" ht="14.4" x14ac:dyDescent="0.3">
      <c r="A97" s="2" t="s">
        <v>8</v>
      </c>
      <c r="B97" s="2" t="s">
        <v>198</v>
      </c>
      <c r="C97" s="2" t="s">
        <v>197</v>
      </c>
      <c r="D97" s="2" t="s">
        <v>1410</v>
      </c>
      <c r="E97" s="2" t="s">
        <v>2510</v>
      </c>
      <c r="F97" s="2" t="s">
        <v>2510</v>
      </c>
      <c r="G97" s="2" t="s">
        <v>4965</v>
      </c>
      <c r="H97" s="2" t="s">
        <v>1464</v>
      </c>
      <c r="I97" s="2" t="s">
        <v>1755</v>
      </c>
      <c r="J97" s="2" t="s">
        <v>2018</v>
      </c>
    </row>
    <row r="98" spans="1:10" ht="14.4" x14ac:dyDescent="0.3">
      <c r="A98" s="2" t="s">
        <v>42</v>
      </c>
      <c r="B98" s="2" t="s">
        <v>200</v>
      </c>
      <c r="C98" s="2" t="s">
        <v>199</v>
      </c>
      <c r="D98" s="2" t="s">
        <v>1410</v>
      </c>
      <c r="E98" s="2" t="s">
        <v>5030</v>
      </c>
      <c r="F98" s="2" t="s">
        <v>2587</v>
      </c>
      <c r="G98" s="2" t="s">
        <v>5031</v>
      </c>
      <c r="H98" s="2" t="s">
        <v>5032</v>
      </c>
      <c r="I98" s="2" t="s">
        <v>4556</v>
      </c>
      <c r="J98" s="2" t="s">
        <v>1599</v>
      </c>
    </row>
    <row r="99" spans="1:10" ht="14.4" x14ac:dyDescent="0.3">
      <c r="A99" s="2" t="s">
        <v>55</v>
      </c>
      <c r="B99" s="2" t="s">
        <v>202</v>
      </c>
      <c r="C99" s="2" t="s">
        <v>201</v>
      </c>
      <c r="D99" s="2" t="s">
        <v>1410</v>
      </c>
      <c r="E99" s="2" t="s">
        <v>3709</v>
      </c>
      <c r="F99" s="2" t="s">
        <v>2449</v>
      </c>
      <c r="G99" s="2" t="s">
        <v>4549</v>
      </c>
      <c r="H99" s="2" t="s">
        <v>1464</v>
      </c>
      <c r="I99" s="2" t="s">
        <v>1755</v>
      </c>
      <c r="J99" s="2" t="s">
        <v>2018</v>
      </c>
    </row>
    <row r="100" spans="1:10" ht="14.4" x14ac:dyDescent="0.3">
      <c r="A100" s="2" t="s">
        <v>55</v>
      </c>
      <c r="B100" s="2" t="s">
        <v>204</v>
      </c>
      <c r="C100" s="2" t="s">
        <v>203</v>
      </c>
      <c r="D100" s="2" t="s">
        <v>1410</v>
      </c>
      <c r="E100" s="2" t="s">
        <v>2488</v>
      </c>
      <c r="F100" s="2" t="s">
        <v>2490</v>
      </c>
      <c r="G100" s="2" t="s">
        <v>4953</v>
      </c>
      <c r="H100" s="2" t="s">
        <v>1464</v>
      </c>
      <c r="I100" s="2" t="s">
        <v>1755</v>
      </c>
      <c r="J100" s="2" t="s">
        <v>2018</v>
      </c>
    </row>
    <row r="101" spans="1:10" ht="14.4" x14ac:dyDescent="0.3">
      <c r="A101" s="2" t="s">
        <v>11</v>
      </c>
      <c r="B101" s="2" t="s">
        <v>206</v>
      </c>
      <c r="C101" s="2" t="s">
        <v>205</v>
      </c>
      <c r="D101" s="2" t="s">
        <v>1410</v>
      </c>
      <c r="E101" s="2" t="s">
        <v>2192</v>
      </c>
      <c r="F101" s="2" t="s">
        <v>4763</v>
      </c>
      <c r="G101" s="2" t="s">
        <v>4764</v>
      </c>
      <c r="H101" s="2" t="s">
        <v>4494</v>
      </c>
      <c r="I101" s="2" t="s">
        <v>4471</v>
      </c>
      <c r="J101" s="2" t="s">
        <v>2018</v>
      </c>
    </row>
    <row r="102" spans="1:10" ht="14.4" x14ac:dyDescent="0.3">
      <c r="A102" s="2" t="s">
        <v>42</v>
      </c>
      <c r="B102" s="2" t="s">
        <v>208</v>
      </c>
      <c r="C102" s="2" t="s">
        <v>207</v>
      </c>
      <c r="D102" s="2" t="s">
        <v>1410</v>
      </c>
      <c r="E102" s="2" t="s">
        <v>5243</v>
      </c>
      <c r="F102" s="2" t="s">
        <v>5246</v>
      </c>
      <c r="G102" s="2" t="s">
        <v>5247</v>
      </c>
      <c r="H102" s="2" t="s">
        <v>1464</v>
      </c>
      <c r="I102" s="2" t="s">
        <v>1755</v>
      </c>
      <c r="J102" s="2" t="s">
        <v>2018</v>
      </c>
    </row>
    <row r="103" spans="1:10" ht="14.4" x14ac:dyDescent="0.3">
      <c r="A103" s="2" t="s">
        <v>22</v>
      </c>
      <c r="B103" s="2" t="s">
        <v>210</v>
      </c>
      <c r="C103" s="2" t="s">
        <v>209</v>
      </c>
      <c r="D103" s="2" t="s">
        <v>1410</v>
      </c>
      <c r="E103" s="2" t="s">
        <v>2691</v>
      </c>
      <c r="F103" s="2" t="s">
        <v>5108</v>
      </c>
      <c r="G103" s="2" t="s">
        <v>5109</v>
      </c>
      <c r="H103" s="2" t="s">
        <v>1452</v>
      </c>
      <c r="I103" s="2" t="s">
        <v>1755</v>
      </c>
      <c r="J103" s="2" t="s">
        <v>1551</v>
      </c>
    </row>
    <row r="104" spans="1:10" ht="14.4" x14ac:dyDescent="0.3">
      <c r="A104" s="2" t="s">
        <v>28</v>
      </c>
      <c r="B104" s="2" t="s">
        <v>212</v>
      </c>
      <c r="C104" s="2" t="s">
        <v>211</v>
      </c>
      <c r="D104" s="2" t="s">
        <v>1410</v>
      </c>
      <c r="E104" s="2" t="s">
        <v>4889</v>
      </c>
      <c r="F104" s="2" t="s">
        <v>4890</v>
      </c>
      <c r="G104" s="2" t="s">
        <v>2385</v>
      </c>
      <c r="H104" s="2" t="s">
        <v>1488</v>
      </c>
      <c r="I104" s="2" t="s">
        <v>1843</v>
      </c>
      <c r="J104" s="2" t="s">
        <v>1551</v>
      </c>
    </row>
    <row r="105" spans="1:10" ht="14.4" x14ac:dyDescent="0.3">
      <c r="A105" s="2" t="s">
        <v>42</v>
      </c>
      <c r="B105" s="2" t="s">
        <v>214</v>
      </c>
      <c r="C105" s="2" t="s">
        <v>213</v>
      </c>
      <c r="D105" s="2" t="s">
        <v>1410</v>
      </c>
      <c r="E105" s="2" t="s">
        <v>3797</v>
      </c>
      <c r="F105" s="2" t="s">
        <v>4995</v>
      </c>
      <c r="G105" s="2" t="s">
        <v>4816</v>
      </c>
      <c r="H105" s="2" t="s">
        <v>1464</v>
      </c>
      <c r="I105" s="2" t="s">
        <v>1755</v>
      </c>
      <c r="J105" s="2" t="s">
        <v>2018</v>
      </c>
    </row>
    <row r="106" spans="1:10" ht="14.4" x14ac:dyDescent="0.3">
      <c r="A106" s="2" t="s">
        <v>123</v>
      </c>
      <c r="B106" s="2" t="s">
        <v>216</v>
      </c>
      <c r="C106" s="2" t="s">
        <v>215</v>
      </c>
      <c r="D106" s="2" t="s">
        <v>1410</v>
      </c>
      <c r="E106" s="2" t="s">
        <v>4869</v>
      </c>
      <c r="F106" s="2" t="s">
        <v>4870</v>
      </c>
      <c r="G106" s="2" t="s">
        <v>2424</v>
      </c>
      <c r="H106" s="2" t="s">
        <v>1464</v>
      </c>
      <c r="I106" s="2" t="s">
        <v>1755</v>
      </c>
      <c r="J106" s="2" t="s">
        <v>2018</v>
      </c>
    </row>
    <row r="107" spans="1:10" ht="14.4" x14ac:dyDescent="0.3">
      <c r="A107" s="2" t="s">
        <v>31</v>
      </c>
      <c r="B107" s="2" t="s">
        <v>218</v>
      </c>
      <c r="C107" s="2" t="s">
        <v>217</v>
      </c>
      <c r="D107" s="2" t="s">
        <v>1410</v>
      </c>
      <c r="E107" s="2" t="s">
        <v>5016</v>
      </c>
      <c r="F107" s="2" t="s">
        <v>3838</v>
      </c>
      <c r="G107" s="2" t="s">
        <v>1515</v>
      </c>
      <c r="H107" s="2" t="s">
        <v>4494</v>
      </c>
      <c r="I107" s="2" t="s">
        <v>4471</v>
      </c>
      <c r="J107" s="2" t="s">
        <v>2018</v>
      </c>
    </row>
    <row r="108" spans="1:10" ht="14.4" x14ac:dyDescent="0.3">
      <c r="A108" s="2" t="s">
        <v>221</v>
      </c>
      <c r="B108" s="2" t="s">
        <v>220</v>
      </c>
      <c r="C108" s="2" t="s">
        <v>219</v>
      </c>
      <c r="D108" s="2" t="s">
        <v>1410</v>
      </c>
      <c r="E108" s="2" t="s">
        <v>4915</v>
      </c>
      <c r="F108" s="2" t="s">
        <v>4916</v>
      </c>
      <c r="G108" s="2" t="s">
        <v>3442</v>
      </c>
      <c r="H108" s="2" t="s">
        <v>1464</v>
      </c>
      <c r="I108" s="2" t="s">
        <v>1755</v>
      </c>
      <c r="J108" s="2" t="s">
        <v>2018</v>
      </c>
    </row>
    <row r="109" spans="1:10" ht="14.4" x14ac:dyDescent="0.3">
      <c r="A109" s="2" t="s">
        <v>19</v>
      </c>
      <c r="B109" s="2" t="s">
        <v>223</v>
      </c>
      <c r="C109" s="2" t="s">
        <v>222</v>
      </c>
      <c r="D109" s="2" t="s">
        <v>1410</v>
      </c>
      <c r="E109" s="2" t="s">
        <v>5057</v>
      </c>
      <c r="F109" s="2" t="s">
        <v>5058</v>
      </c>
      <c r="G109" s="2" t="s">
        <v>5059</v>
      </c>
      <c r="H109" s="2" t="s">
        <v>5032</v>
      </c>
      <c r="I109" s="2" t="s">
        <v>4556</v>
      </c>
      <c r="J109" s="2" t="s">
        <v>1599</v>
      </c>
    </row>
    <row r="110" spans="1:10" ht="14.4" x14ac:dyDescent="0.3">
      <c r="A110" s="2" t="s">
        <v>8</v>
      </c>
      <c r="B110" s="2" t="s">
        <v>225</v>
      </c>
      <c r="C110" s="2" t="s">
        <v>224</v>
      </c>
      <c r="D110" s="2" t="s">
        <v>1410</v>
      </c>
      <c r="E110" s="2" t="s">
        <v>4948</v>
      </c>
      <c r="F110" s="2" t="s">
        <v>4949</v>
      </c>
      <c r="G110" s="2" t="s">
        <v>4125</v>
      </c>
      <c r="H110" s="2" t="s">
        <v>1464</v>
      </c>
      <c r="I110" s="2" t="s">
        <v>1755</v>
      </c>
      <c r="J110" s="2" t="s">
        <v>2018</v>
      </c>
    </row>
    <row r="111" spans="1:10" ht="14.4" x14ac:dyDescent="0.3">
      <c r="A111" s="2" t="s">
        <v>228</v>
      </c>
      <c r="B111" s="2" t="s">
        <v>227</v>
      </c>
      <c r="C111" s="2" t="s">
        <v>226</v>
      </c>
      <c r="D111" s="2" t="s">
        <v>1410</v>
      </c>
      <c r="E111" s="2" t="s">
        <v>3702</v>
      </c>
      <c r="F111" s="2" t="s">
        <v>2444</v>
      </c>
      <c r="G111" s="2" t="s">
        <v>4927</v>
      </c>
      <c r="H111" s="2" t="s">
        <v>1464</v>
      </c>
      <c r="I111" s="2" t="s">
        <v>1755</v>
      </c>
      <c r="J111" s="2" t="s">
        <v>2018</v>
      </c>
    </row>
    <row r="112" spans="1:10" ht="14.4" x14ac:dyDescent="0.3">
      <c r="A112" s="2" t="s">
        <v>28</v>
      </c>
      <c r="B112" s="2" t="s">
        <v>230</v>
      </c>
      <c r="C112" s="2" t="s">
        <v>229</v>
      </c>
      <c r="D112" s="2" t="s">
        <v>1410</v>
      </c>
      <c r="E112" s="2" t="s">
        <v>5087</v>
      </c>
      <c r="F112" s="2" t="s">
        <v>2658</v>
      </c>
      <c r="G112" s="2" t="s">
        <v>2511</v>
      </c>
      <c r="H112" s="2" t="s">
        <v>1464</v>
      </c>
      <c r="I112" s="2" t="s">
        <v>1755</v>
      </c>
      <c r="J112" s="2" t="s">
        <v>2018</v>
      </c>
    </row>
    <row r="113" spans="1:10" ht="14.4" x14ac:dyDescent="0.3">
      <c r="A113" s="2" t="s">
        <v>8</v>
      </c>
      <c r="B113" s="2" t="s">
        <v>232</v>
      </c>
      <c r="C113" s="2" t="s">
        <v>231</v>
      </c>
      <c r="D113" s="2" t="s">
        <v>1410</v>
      </c>
      <c r="E113" s="2" t="s">
        <v>5215</v>
      </c>
      <c r="F113" s="2" t="s">
        <v>4051</v>
      </c>
      <c r="G113" s="2" t="s">
        <v>4810</v>
      </c>
      <c r="H113" s="2" t="s">
        <v>1464</v>
      </c>
      <c r="I113" s="2" t="s">
        <v>1755</v>
      </c>
      <c r="J113" s="2" t="s">
        <v>2018</v>
      </c>
    </row>
    <row r="114" spans="1:10" ht="14.4" x14ac:dyDescent="0.3">
      <c r="A114" s="2" t="s">
        <v>55</v>
      </c>
      <c r="B114" s="2" t="s">
        <v>234</v>
      </c>
      <c r="C114" s="2" t="s">
        <v>233</v>
      </c>
      <c r="D114" s="2" t="s">
        <v>1410</v>
      </c>
      <c r="E114" s="2" t="s">
        <v>3765</v>
      </c>
      <c r="F114" s="2" t="s">
        <v>3757</v>
      </c>
      <c r="G114" s="2" t="s">
        <v>4966</v>
      </c>
      <c r="H114" s="2" t="s">
        <v>1464</v>
      </c>
      <c r="I114" s="2" t="s">
        <v>1755</v>
      </c>
      <c r="J114" s="2" t="s">
        <v>2018</v>
      </c>
    </row>
    <row r="115" spans="1:10" ht="14.4" x14ac:dyDescent="0.3">
      <c r="A115" s="2" t="s">
        <v>49</v>
      </c>
      <c r="B115" s="2" t="s">
        <v>236</v>
      </c>
      <c r="C115" s="2" t="s">
        <v>235</v>
      </c>
      <c r="D115" s="2" t="s">
        <v>1410</v>
      </c>
      <c r="E115" s="2" t="s">
        <v>2476</v>
      </c>
      <c r="F115" s="2" t="s">
        <v>4959</v>
      </c>
      <c r="G115" s="2" t="s">
        <v>4960</v>
      </c>
      <c r="H115" s="2" t="s">
        <v>1464</v>
      </c>
      <c r="I115" s="2" t="s">
        <v>1755</v>
      </c>
      <c r="J115" s="2" t="s">
        <v>2018</v>
      </c>
    </row>
    <row r="116" spans="1:10" ht="14.4" x14ac:dyDescent="0.3">
      <c r="A116" s="2" t="s">
        <v>31</v>
      </c>
      <c r="B116" s="2" t="s">
        <v>238</v>
      </c>
      <c r="C116" s="2" t="s">
        <v>237</v>
      </c>
      <c r="D116" s="2" t="s">
        <v>1410</v>
      </c>
      <c r="E116" s="2" t="s">
        <v>5002</v>
      </c>
      <c r="F116" s="2" t="s">
        <v>5003</v>
      </c>
      <c r="G116" s="2" t="s">
        <v>2163</v>
      </c>
      <c r="H116" s="2" t="s">
        <v>1464</v>
      </c>
      <c r="I116" s="2" t="s">
        <v>1755</v>
      </c>
      <c r="J116" s="2" t="s">
        <v>2018</v>
      </c>
    </row>
    <row r="117" spans="1:10" ht="14.4" x14ac:dyDescent="0.3">
      <c r="A117" s="2" t="s">
        <v>31</v>
      </c>
      <c r="B117" s="2" t="s">
        <v>240</v>
      </c>
      <c r="C117" s="2" t="s">
        <v>239</v>
      </c>
      <c r="D117" s="2" t="s">
        <v>1410</v>
      </c>
      <c r="E117" s="2" t="s">
        <v>4830</v>
      </c>
      <c r="F117" s="2" t="s">
        <v>4831</v>
      </c>
      <c r="G117" s="2" t="s">
        <v>4832</v>
      </c>
      <c r="H117" s="2" t="s">
        <v>4487</v>
      </c>
      <c r="I117" s="2" t="s">
        <v>4436</v>
      </c>
      <c r="J117" s="2" t="s">
        <v>2018</v>
      </c>
    </row>
    <row r="118" spans="1:10" ht="14.4" x14ac:dyDescent="0.3">
      <c r="A118" s="2" t="s">
        <v>19</v>
      </c>
      <c r="B118" s="2" t="s">
        <v>242</v>
      </c>
      <c r="C118" s="2" t="s">
        <v>241</v>
      </c>
      <c r="D118" s="2" t="s">
        <v>1410</v>
      </c>
      <c r="E118" s="2" t="s">
        <v>5008</v>
      </c>
      <c r="F118" s="2" t="s">
        <v>5009</v>
      </c>
      <c r="G118" s="2" t="s">
        <v>1595</v>
      </c>
      <c r="H118" s="2" t="s">
        <v>4838</v>
      </c>
      <c r="I118" s="2" t="s">
        <v>4471</v>
      </c>
      <c r="J118" s="2" t="s">
        <v>1599</v>
      </c>
    </row>
    <row r="119" spans="1:10" ht="14.4" x14ac:dyDescent="0.3">
      <c r="A119" s="2" t="s">
        <v>8</v>
      </c>
      <c r="B119" s="2" t="s">
        <v>244</v>
      </c>
      <c r="C119" s="2" t="s">
        <v>243</v>
      </c>
      <c r="D119" s="2" t="s">
        <v>1410</v>
      </c>
      <c r="E119" s="2" t="s">
        <v>2502</v>
      </c>
      <c r="F119" s="2" t="s">
        <v>3754</v>
      </c>
      <c r="G119" s="2" t="s">
        <v>4641</v>
      </c>
      <c r="H119" s="2" t="s">
        <v>1464</v>
      </c>
      <c r="I119" s="2" t="s">
        <v>1755</v>
      </c>
      <c r="J119" s="2" t="s">
        <v>2018</v>
      </c>
    </row>
    <row r="120" spans="1:10" ht="14.4" x14ac:dyDescent="0.3">
      <c r="A120" s="2" t="s">
        <v>22</v>
      </c>
      <c r="B120" s="2" t="s">
        <v>246</v>
      </c>
      <c r="C120" s="2" t="s">
        <v>245</v>
      </c>
      <c r="D120" s="2" t="s">
        <v>1410</v>
      </c>
      <c r="E120" s="2" t="s">
        <v>3776</v>
      </c>
      <c r="F120" s="2" t="s">
        <v>4982</v>
      </c>
      <c r="G120" s="2" t="s">
        <v>4983</v>
      </c>
      <c r="H120" s="2" t="s">
        <v>4984</v>
      </c>
      <c r="I120" s="2" t="s">
        <v>4556</v>
      </c>
      <c r="J120" s="2" t="s">
        <v>1506</v>
      </c>
    </row>
    <row r="121" spans="1:10" ht="14.4" x14ac:dyDescent="0.3">
      <c r="A121" s="2" t="s">
        <v>22</v>
      </c>
      <c r="B121" s="2" t="s">
        <v>246</v>
      </c>
      <c r="C121" s="2" t="s">
        <v>245</v>
      </c>
      <c r="D121" s="2" t="s">
        <v>1410</v>
      </c>
      <c r="E121" s="2" t="s">
        <v>4992</v>
      </c>
      <c r="F121" s="2" t="s">
        <v>4993</v>
      </c>
      <c r="G121" s="2" t="s">
        <v>4994</v>
      </c>
      <c r="H121" s="2" t="s">
        <v>1464</v>
      </c>
      <c r="I121" s="2" t="s">
        <v>1755</v>
      </c>
      <c r="J121" s="2" t="s">
        <v>2018</v>
      </c>
    </row>
    <row r="122" spans="1:10" ht="14.4" x14ac:dyDescent="0.3">
      <c r="A122" s="2" t="s">
        <v>8</v>
      </c>
      <c r="B122" s="2" t="s">
        <v>248</v>
      </c>
      <c r="C122" s="2" t="s">
        <v>247</v>
      </c>
      <c r="D122" s="2" t="s">
        <v>1410</v>
      </c>
      <c r="E122" s="2" t="s">
        <v>3843</v>
      </c>
      <c r="F122" s="2" t="s">
        <v>5024</v>
      </c>
      <c r="G122" s="2" t="s">
        <v>4626</v>
      </c>
      <c r="H122" s="2" t="s">
        <v>1488</v>
      </c>
      <c r="I122" s="2" t="s">
        <v>1843</v>
      </c>
      <c r="J122" s="2" t="s">
        <v>1551</v>
      </c>
    </row>
    <row r="123" spans="1:10" ht="14.4" x14ac:dyDescent="0.3">
      <c r="A123" s="2" t="s">
        <v>31</v>
      </c>
      <c r="B123" s="2" t="s">
        <v>250</v>
      </c>
      <c r="C123" s="2" t="s">
        <v>249</v>
      </c>
      <c r="D123" s="2" t="s">
        <v>1410</v>
      </c>
      <c r="E123" s="2" t="s">
        <v>5046</v>
      </c>
      <c r="F123" s="2" t="s">
        <v>5047</v>
      </c>
      <c r="G123" s="2" t="s">
        <v>3059</v>
      </c>
      <c r="H123" s="2" t="s">
        <v>4494</v>
      </c>
      <c r="I123" s="2" t="s">
        <v>4471</v>
      </c>
      <c r="J123" s="2" t="s">
        <v>2018</v>
      </c>
    </row>
    <row r="124" spans="1:10" ht="14.4" x14ac:dyDescent="0.3">
      <c r="A124" s="2" t="s">
        <v>42</v>
      </c>
      <c r="B124" s="2" t="s">
        <v>252</v>
      </c>
      <c r="C124" s="2" t="s">
        <v>251</v>
      </c>
      <c r="D124" s="2" t="s">
        <v>1410</v>
      </c>
      <c r="E124" s="2" t="s">
        <v>5250</v>
      </c>
      <c r="F124" s="2" t="s">
        <v>5251</v>
      </c>
      <c r="G124" s="2" t="s">
        <v>5252</v>
      </c>
      <c r="H124" s="2" t="s">
        <v>1464</v>
      </c>
      <c r="I124" s="2" t="s">
        <v>1755</v>
      </c>
      <c r="J124" s="2" t="s">
        <v>2018</v>
      </c>
    </row>
    <row r="125" spans="1:10" ht="14.4" x14ac:dyDescent="0.3">
      <c r="A125" s="2" t="s">
        <v>31</v>
      </c>
      <c r="B125" s="2" t="s">
        <v>254</v>
      </c>
      <c r="C125" s="2" t="s">
        <v>253</v>
      </c>
      <c r="D125" s="2" t="s">
        <v>1410</v>
      </c>
      <c r="E125" s="2" t="s">
        <v>4445</v>
      </c>
      <c r="F125" s="2" t="s">
        <v>4446</v>
      </c>
      <c r="G125" s="2" t="s">
        <v>3095</v>
      </c>
      <c r="H125" s="2" t="s">
        <v>1452</v>
      </c>
      <c r="I125" s="2" t="s">
        <v>1755</v>
      </c>
      <c r="J125" s="2" t="s">
        <v>1551</v>
      </c>
    </row>
    <row r="126" spans="1:10" ht="14.4" x14ac:dyDescent="0.3">
      <c r="A126" s="2" t="s">
        <v>25</v>
      </c>
      <c r="B126" s="2" t="s">
        <v>256</v>
      </c>
      <c r="C126" s="2" t="s">
        <v>255</v>
      </c>
      <c r="D126" s="2" t="s">
        <v>1410</v>
      </c>
      <c r="E126" s="2" t="s">
        <v>4761</v>
      </c>
      <c r="F126" s="2" t="s">
        <v>4762</v>
      </c>
      <c r="G126" s="2" t="s">
        <v>2491</v>
      </c>
      <c r="H126" s="2" t="s">
        <v>4754</v>
      </c>
      <c r="I126" s="2" t="s">
        <v>4556</v>
      </c>
      <c r="J126" s="2" t="s">
        <v>1551</v>
      </c>
    </row>
    <row r="127" spans="1:10" ht="14.4" x14ac:dyDescent="0.3">
      <c r="A127" s="2" t="s">
        <v>25</v>
      </c>
      <c r="B127" s="2" t="s">
        <v>256</v>
      </c>
      <c r="C127" s="2" t="s">
        <v>255</v>
      </c>
      <c r="D127" s="2" t="s">
        <v>1410</v>
      </c>
      <c r="E127" s="2" t="s">
        <v>2496</v>
      </c>
      <c r="F127" s="2" t="s">
        <v>4959</v>
      </c>
      <c r="G127" s="2" t="s">
        <v>2701</v>
      </c>
      <c r="H127" s="2" t="s">
        <v>1452</v>
      </c>
      <c r="I127" s="2" t="s">
        <v>1755</v>
      </c>
      <c r="J127" s="2" t="s">
        <v>1551</v>
      </c>
    </row>
    <row r="128" spans="1:10" ht="14.4" x14ac:dyDescent="0.3">
      <c r="A128" s="2" t="s">
        <v>31</v>
      </c>
      <c r="B128" s="2" t="s">
        <v>258</v>
      </c>
      <c r="C128" s="2" t="s">
        <v>257</v>
      </c>
      <c r="D128" s="2" t="s">
        <v>1410</v>
      </c>
      <c r="E128" s="2" t="s">
        <v>3786</v>
      </c>
      <c r="F128" s="2" t="s">
        <v>4969</v>
      </c>
      <c r="G128" s="2" t="s">
        <v>4970</v>
      </c>
      <c r="H128" s="2" t="s">
        <v>4956</v>
      </c>
      <c r="I128" s="2" t="s">
        <v>4556</v>
      </c>
      <c r="J128" s="2" t="s">
        <v>2018</v>
      </c>
    </row>
    <row r="129" spans="1:10" ht="14.4" x14ac:dyDescent="0.3">
      <c r="A129" s="2" t="s">
        <v>31</v>
      </c>
      <c r="B129" s="2" t="s">
        <v>258</v>
      </c>
      <c r="C129" s="2" t="s">
        <v>257</v>
      </c>
      <c r="D129" s="2" t="s">
        <v>1410</v>
      </c>
      <c r="E129" s="2" t="s">
        <v>4975</v>
      </c>
      <c r="F129" s="2" t="s">
        <v>4975</v>
      </c>
      <c r="G129" s="2" t="s">
        <v>4976</v>
      </c>
      <c r="H129" s="2" t="s">
        <v>1464</v>
      </c>
      <c r="I129" s="2" t="s">
        <v>1755</v>
      </c>
      <c r="J129" s="2" t="s">
        <v>2018</v>
      </c>
    </row>
    <row r="130" spans="1:10" ht="14.4" x14ac:dyDescent="0.3">
      <c r="A130" s="2" t="s">
        <v>25</v>
      </c>
      <c r="B130" s="2" t="s">
        <v>258</v>
      </c>
      <c r="C130" s="2" t="s">
        <v>259</v>
      </c>
      <c r="D130" s="2" t="s">
        <v>1410</v>
      </c>
      <c r="E130" s="2" t="s">
        <v>2577</v>
      </c>
      <c r="F130" s="2" t="s">
        <v>5028</v>
      </c>
      <c r="G130" s="2" t="s">
        <v>5029</v>
      </c>
      <c r="H130" s="2" t="s">
        <v>4494</v>
      </c>
      <c r="I130" s="2" t="s">
        <v>4471</v>
      </c>
      <c r="J130" s="2" t="s">
        <v>2018</v>
      </c>
    </row>
    <row r="131" spans="1:10" ht="14.4" x14ac:dyDescent="0.3">
      <c r="A131" s="2" t="s">
        <v>28</v>
      </c>
      <c r="B131" s="2" t="s">
        <v>261</v>
      </c>
      <c r="C131" s="2" t="s">
        <v>260</v>
      </c>
      <c r="D131" s="2" t="s">
        <v>1410</v>
      </c>
      <c r="E131" s="2" t="s">
        <v>4987</v>
      </c>
      <c r="F131" s="2" t="s">
        <v>4988</v>
      </c>
      <c r="G131" s="2" t="s">
        <v>4740</v>
      </c>
      <c r="H131" s="2" t="s">
        <v>1464</v>
      </c>
      <c r="I131" s="2" t="s">
        <v>1755</v>
      </c>
      <c r="J131" s="2" t="s">
        <v>2018</v>
      </c>
    </row>
    <row r="132" spans="1:10" ht="14.4" x14ac:dyDescent="0.3">
      <c r="A132" s="2" t="s">
        <v>31</v>
      </c>
      <c r="B132" s="2" t="s">
        <v>263</v>
      </c>
      <c r="C132" s="2" t="s">
        <v>262</v>
      </c>
      <c r="D132" s="2" t="s">
        <v>1410</v>
      </c>
      <c r="E132" s="2" t="s">
        <v>2536</v>
      </c>
      <c r="F132" s="2" t="s">
        <v>2534</v>
      </c>
      <c r="G132" s="2" t="s">
        <v>5010</v>
      </c>
      <c r="H132" s="2" t="s">
        <v>1464</v>
      </c>
      <c r="I132" s="2" t="s">
        <v>1755</v>
      </c>
      <c r="J132" s="2" t="s">
        <v>2018</v>
      </c>
    </row>
    <row r="133" spans="1:10" ht="14.4" x14ac:dyDescent="0.3">
      <c r="A133" s="2" t="s">
        <v>22</v>
      </c>
      <c r="B133" s="2" t="s">
        <v>265</v>
      </c>
      <c r="C133" s="2" t="s">
        <v>264</v>
      </c>
      <c r="D133" s="2" t="s">
        <v>1410</v>
      </c>
      <c r="E133" s="2" t="s">
        <v>5015</v>
      </c>
      <c r="F133" s="2" t="s">
        <v>3839</v>
      </c>
      <c r="G133" s="2" t="s">
        <v>3533</v>
      </c>
      <c r="H133" s="2" t="s">
        <v>4435</v>
      </c>
      <c r="I133" s="2" t="s">
        <v>4436</v>
      </c>
      <c r="J133" s="2" t="s">
        <v>1551</v>
      </c>
    </row>
    <row r="134" spans="1:10" ht="14.4" x14ac:dyDescent="0.3">
      <c r="A134" s="2" t="s">
        <v>8</v>
      </c>
      <c r="B134" s="2" t="s">
        <v>267</v>
      </c>
      <c r="C134" s="2" t="s">
        <v>266</v>
      </c>
      <c r="D134" s="2" t="s">
        <v>1410</v>
      </c>
      <c r="E134" s="2" t="s">
        <v>4747</v>
      </c>
      <c r="F134" s="2" t="s">
        <v>3528</v>
      </c>
      <c r="G134" s="2" t="s">
        <v>4748</v>
      </c>
      <c r="H134" s="2" t="s">
        <v>4494</v>
      </c>
      <c r="I134" s="2" t="s">
        <v>4471</v>
      </c>
      <c r="J134" s="2" t="s">
        <v>2018</v>
      </c>
    </row>
    <row r="135" spans="1:10" ht="14.4" x14ac:dyDescent="0.3">
      <c r="A135" s="2" t="s">
        <v>170</v>
      </c>
      <c r="B135" s="2" t="s">
        <v>269</v>
      </c>
      <c r="C135" s="2" t="s">
        <v>268</v>
      </c>
      <c r="D135" s="2" t="s">
        <v>1410</v>
      </c>
      <c r="E135" s="2" t="s">
        <v>5349</v>
      </c>
      <c r="F135" s="2" t="s">
        <v>5350</v>
      </c>
      <c r="G135" s="2" t="s">
        <v>4805</v>
      </c>
      <c r="H135" s="2" t="s">
        <v>4494</v>
      </c>
      <c r="I135" s="2" t="s">
        <v>4471</v>
      </c>
      <c r="J135" s="2" t="s">
        <v>2018</v>
      </c>
    </row>
    <row r="136" spans="1:10" ht="14.4" x14ac:dyDescent="0.3">
      <c r="A136" s="2" t="s">
        <v>22</v>
      </c>
      <c r="B136" s="2" t="s">
        <v>271</v>
      </c>
      <c r="C136" s="2" t="s">
        <v>270</v>
      </c>
      <c r="D136" s="2" t="s">
        <v>1410</v>
      </c>
      <c r="E136" s="2" t="s">
        <v>3512</v>
      </c>
      <c r="F136" s="2" t="s">
        <v>3503</v>
      </c>
      <c r="G136" s="2" t="s">
        <v>4755</v>
      </c>
      <c r="H136" s="2" t="s">
        <v>4494</v>
      </c>
      <c r="I136" s="2" t="s">
        <v>4471</v>
      </c>
      <c r="J136" s="2" t="s">
        <v>2018</v>
      </c>
    </row>
    <row r="137" spans="1:10" ht="14.4" x14ac:dyDescent="0.3">
      <c r="A137" s="2" t="s">
        <v>22</v>
      </c>
      <c r="B137" s="2" t="s">
        <v>273</v>
      </c>
      <c r="C137" s="2" t="s">
        <v>272</v>
      </c>
      <c r="D137" s="2" t="s">
        <v>1410</v>
      </c>
      <c r="E137" s="2" t="s">
        <v>5420</v>
      </c>
      <c r="F137" s="2" t="s">
        <v>3131</v>
      </c>
      <c r="G137" s="2" t="s">
        <v>1500</v>
      </c>
      <c r="H137" s="2" t="s">
        <v>1464</v>
      </c>
      <c r="I137" s="2" t="s">
        <v>1755</v>
      </c>
      <c r="J137" s="2" t="s">
        <v>2018</v>
      </c>
    </row>
    <row r="138" spans="1:10" ht="14.4" x14ac:dyDescent="0.3">
      <c r="A138" s="2" t="s">
        <v>55</v>
      </c>
      <c r="B138" s="2" t="s">
        <v>275</v>
      </c>
      <c r="C138" s="2" t="s">
        <v>274</v>
      </c>
      <c r="D138" s="2" t="s">
        <v>1410</v>
      </c>
      <c r="E138" s="2" t="s">
        <v>2093</v>
      </c>
      <c r="F138" s="2" t="s">
        <v>3516</v>
      </c>
      <c r="G138" s="2" t="s">
        <v>1473</v>
      </c>
      <c r="H138" s="2" t="s">
        <v>1464</v>
      </c>
      <c r="I138" s="2" t="s">
        <v>1755</v>
      </c>
      <c r="J138" s="2" t="s">
        <v>2018</v>
      </c>
    </row>
    <row r="139" spans="1:10" ht="14.4" x14ac:dyDescent="0.3">
      <c r="A139" s="2" t="s">
        <v>80</v>
      </c>
      <c r="B139" s="2" t="s">
        <v>277</v>
      </c>
      <c r="C139" s="2" t="s">
        <v>276</v>
      </c>
      <c r="D139" s="2" t="s">
        <v>1410</v>
      </c>
      <c r="E139" s="2" t="s">
        <v>4923</v>
      </c>
      <c r="F139" s="2" t="s">
        <v>4924</v>
      </c>
      <c r="G139" s="2" t="s">
        <v>4751</v>
      </c>
      <c r="H139" s="2" t="s">
        <v>1464</v>
      </c>
      <c r="I139" s="2" t="s">
        <v>1755</v>
      </c>
      <c r="J139" s="2" t="s">
        <v>2018</v>
      </c>
    </row>
    <row r="140" spans="1:10" ht="14.4" x14ac:dyDescent="0.3">
      <c r="A140" s="2" t="s">
        <v>280</v>
      </c>
      <c r="B140" s="2" t="s">
        <v>279</v>
      </c>
      <c r="C140" s="2" t="s">
        <v>278</v>
      </c>
      <c r="D140" s="2" t="s">
        <v>1410</v>
      </c>
      <c r="E140" s="2" t="s">
        <v>3757</v>
      </c>
      <c r="F140" s="2" t="s">
        <v>3787</v>
      </c>
      <c r="G140" s="2" t="s">
        <v>4458</v>
      </c>
      <c r="H140" s="2" t="s">
        <v>4494</v>
      </c>
      <c r="I140" s="2" t="s">
        <v>4471</v>
      </c>
      <c r="J140" s="2" t="s">
        <v>2018</v>
      </c>
    </row>
    <row r="141" spans="1:10" ht="14.4" x14ac:dyDescent="0.3">
      <c r="A141" s="2" t="s">
        <v>16</v>
      </c>
      <c r="B141" s="2" t="s">
        <v>282</v>
      </c>
      <c r="C141" s="2" t="s">
        <v>281</v>
      </c>
      <c r="D141" s="2" t="s">
        <v>1410</v>
      </c>
      <c r="E141" s="2" t="s">
        <v>4961</v>
      </c>
      <c r="F141" s="2" t="s">
        <v>3734</v>
      </c>
      <c r="G141" s="2" t="s">
        <v>2067</v>
      </c>
      <c r="H141" s="2" t="s">
        <v>1464</v>
      </c>
      <c r="I141" s="2" t="s">
        <v>1755</v>
      </c>
      <c r="J141" s="2" t="s">
        <v>2018</v>
      </c>
    </row>
    <row r="142" spans="1:10" ht="14.4" x14ac:dyDescent="0.3">
      <c r="A142" s="2" t="s">
        <v>28</v>
      </c>
      <c r="B142" s="2" t="s">
        <v>284</v>
      </c>
      <c r="C142" s="2" t="s">
        <v>283</v>
      </c>
      <c r="D142" s="2" t="s">
        <v>1410</v>
      </c>
      <c r="E142" s="2" t="s">
        <v>3794</v>
      </c>
      <c r="F142" s="2" t="s">
        <v>3800</v>
      </c>
      <c r="G142" s="2" t="s">
        <v>4985</v>
      </c>
      <c r="H142" s="2" t="s">
        <v>1464</v>
      </c>
      <c r="I142" s="2" t="s">
        <v>1755</v>
      </c>
      <c r="J142" s="2" t="s">
        <v>2018</v>
      </c>
    </row>
    <row r="143" spans="1:10" ht="14.4" x14ac:dyDescent="0.3">
      <c r="A143" s="2" t="s">
        <v>31</v>
      </c>
      <c r="B143" s="2" t="s">
        <v>288</v>
      </c>
      <c r="C143" s="2" t="s">
        <v>287</v>
      </c>
      <c r="D143" s="2" t="s">
        <v>1456</v>
      </c>
      <c r="E143" s="2" t="s">
        <v>5107</v>
      </c>
      <c r="F143" s="2" t="s">
        <v>1415</v>
      </c>
      <c r="G143" s="2" t="s">
        <v>1415</v>
      </c>
      <c r="H143" s="2" t="s">
        <v>1415</v>
      </c>
      <c r="I143" s="2" t="s">
        <v>1415</v>
      </c>
      <c r="J143" s="2" t="s">
        <v>1415</v>
      </c>
    </row>
    <row r="144" spans="1:10" ht="14.4" x14ac:dyDescent="0.3">
      <c r="A144" s="2" t="s">
        <v>11</v>
      </c>
      <c r="B144" s="2" t="s">
        <v>290</v>
      </c>
      <c r="C144" s="2" t="s">
        <v>289</v>
      </c>
      <c r="D144" s="2" t="s">
        <v>1410</v>
      </c>
      <c r="E144" s="2" t="s">
        <v>5123</v>
      </c>
      <c r="F144" s="2" t="s">
        <v>5125</v>
      </c>
      <c r="G144" s="2" t="s">
        <v>5126</v>
      </c>
      <c r="H144" s="2" t="s">
        <v>4494</v>
      </c>
      <c r="I144" s="2" t="s">
        <v>4471</v>
      </c>
      <c r="J144" s="2" t="s">
        <v>2018</v>
      </c>
    </row>
    <row r="145" spans="1:10" ht="14.4" x14ac:dyDescent="0.3">
      <c r="A145" s="2" t="s">
        <v>293</v>
      </c>
      <c r="B145" s="2" t="s">
        <v>292</v>
      </c>
      <c r="C145" s="2" t="s">
        <v>291</v>
      </c>
      <c r="D145" s="2" t="s">
        <v>1410</v>
      </c>
      <c r="E145" s="2" t="s">
        <v>5259</v>
      </c>
      <c r="F145" s="2" t="s">
        <v>5260</v>
      </c>
      <c r="G145" s="2" t="s">
        <v>5261</v>
      </c>
      <c r="H145" s="2" t="s">
        <v>1755</v>
      </c>
      <c r="I145" s="2" t="s">
        <v>1755</v>
      </c>
      <c r="J145" s="2" t="s">
        <v>1414</v>
      </c>
    </row>
    <row r="146" spans="1:10" ht="14.4" x14ac:dyDescent="0.3">
      <c r="A146" s="2" t="s">
        <v>16</v>
      </c>
      <c r="B146" s="2" t="s">
        <v>297</v>
      </c>
      <c r="C146" s="2" t="s">
        <v>296</v>
      </c>
      <c r="D146" s="2" t="s">
        <v>1410</v>
      </c>
      <c r="E146" s="2" t="s">
        <v>1748</v>
      </c>
      <c r="F146" s="2" t="s">
        <v>1804</v>
      </c>
      <c r="G146" s="2" t="s">
        <v>4557</v>
      </c>
      <c r="H146" s="2" t="s">
        <v>1464</v>
      </c>
      <c r="I146" s="2" t="s">
        <v>1755</v>
      </c>
      <c r="J146" s="2" t="s">
        <v>2018</v>
      </c>
    </row>
    <row r="147" spans="1:10" ht="14.4" x14ac:dyDescent="0.3">
      <c r="A147" s="2" t="s">
        <v>42</v>
      </c>
      <c r="B147" s="2" t="s">
        <v>299</v>
      </c>
      <c r="C147" s="2" t="s">
        <v>298</v>
      </c>
      <c r="D147" s="2" t="s">
        <v>1410</v>
      </c>
      <c r="E147" s="2" t="s">
        <v>4561</v>
      </c>
      <c r="F147" s="2" t="s">
        <v>1783</v>
      </c>
      <c r="G147" s="2" t="s">
        <v>4562</v>
      </c>
      <c r="H147" s="2" t="s">
        <v>1424</v>
      </c>
      <c r="I147" s="2" t="s">
        <v>1755</v>
      </c>
      <c r="J147" s="2" t="s">
        <v>1506</v>
      </c>
    </row>
    <row r="148" spans="1:10" ht="14.4" x14ac:dyDescent="0.3">
      <c r="A148" s="2" t="s">
        <v>31</v>
      </c>
      <c r="B148" s="2" t="s">
        <v>301</v>
      </c>
      <c r="C148" s="2" t="s">
        <v>300</v>
      </c>
      <c r="D148" s="2" t="s">
        <v>1410</v>
      </c>
      <c r="E148" s="2" t="s">
        <v>4616</v>
      </c>
      <c r="F148" s="2" t="s">
        <v>4617</v>
      </c>
      <c r="G148" s="2" t="s">
        <v>4618</v>
      </c>
      <c r="H148" s="2" t="s">
        <v>1464</v>
      </c>
      <c r="I148" s="2" t="s">
        <v>1755</v>
      </c>
      <c r="J148" s="2" t="s">
        <v>2018</v>
      </c>
    </row>
    <row r="149" spans="1:10" ht="14.4" x14ac:dyDescent="0.3">
      <c r="A149" s="2" t="s">
        <v>304</v>
      </c>
      <c r="B149" s="2" t="s">
        <v>303</v>
      </c>
      <c r="C149" s="2" t="s">
        <v>302</v>
      </c>
      <c r="D149" s="2" t="s">
        <v>1410</v>
      </c>
      <c r="E149" s="2" t="s">
        <v>4600</v>
      </c>
      <c r="F149" s="2" t="s">
        <v>4602</v>
      </c>
      <c r="G149" s="2" t="s">
        <v>4603</v>
      </c>
      <c r="H149" s="2" t="s">
        <v>1464</v>
      </c>
      <c r="I149" s="2" t="s">
        <v>1755</v>
      </c>
      <c r="J149" s="2" t="s">
        <v>2018</v>
      </c>
    </row>
    <row r="150" spans="1:10" ht="14.4" x14ac:dyDescent="0.3">
      <c r="A150" s="2" t="s">
        <v>22</v>
      </c>
      <c r="B150" s="2" t="s">
        <v>59</v>
      </c>
      <c r="C150" s="2" t="s">
        <v>305</v>
      </c>
      <c r="D150" s="2" t="s">
        <v>1410</v>
      </c>
      <c r="E150" s="2" t="s">
        <v>4577</v>
      </c>
      <c r="F150" s="2" t="s">
        <v>4578</v>
      </c>
      <c r="G150" s="2" t="s">
        <v>4579</v>
      </c>
      <c r="H150" s="2" t="s">
        <v>4494</v>
      </c>
      <c r="I150" s="2" t="s">
        <v>4471</v>
      </c>
      <c r="J150" s="2" t="s">
        <v>2018</v>
      </c>
    </row>
    <row r="151" spans="1:10" ht="14.4" x14ac:dyDescent="0.3">
      <c r="A151" s="2" t="s">
        <v>19</v>
      </c>
      <c r="B151" s="2" t="s">
        <v>307</v>
      </c>
      <c r="C151" s="2" t="s">
        <v>306</v>
      </c>
      <c r="D151" s="2" t="s">
        <v>1410</v>
      </c>
      <c r="E151" s="2" t="s">
        <v>4796</v>
      </c>
      <c r="F151" s="2" t="s">
        <v>3578</v>
      </c>
      <c r="G151" s="2" t="s">
        <v>2817</v>
      </c>
      <c r="H151" s="2" t="s">
        <v>1424</v>
      </c>
      <c r="I151" s="2" t="s">
        <v>1755</v>
      </c>
      <c r="J151" s="2" t="s">
        <v>1506</v>
      </c>
    </row>
    <row r="152" spans="1:10" ht="14.4" x14ac:dyDescent="0.3">
      <c r="A152" s="2" t="s">
        <v>31</v>
      </c>
      <c r="B152" s="2" t="s">
        <v>309</v>
      </c>
      <c r="C152" s="2" t="s">
        <v>308</v>
      </c>
      <c r="D152" s="2" t="s">
        <v>1410</v>
      </c>
      <c r="E152" s="2" t="s">
        <v>4430</v>
      </c>
      <c r="F152" s="2" t="s">
        <v>4431</v>
      </c>
      <c r="G152" s="2" t="s">
        <v>4432</v>
      </c>
      <c r="H152" s="2" t="s">
        <v>1464</v>
      </c>
      <c r="I152" s="2" t="s">
        <v>1755</v>
      </c>
      <c r="J152" s="2" t="s">
        <v>2018</v>
      </c>
    </row>
    <row r="153" spans="1:10" ht="14.4" x14ac:dyDescent="0.3">
      <c r="A153" s="2" t="s">
        <v>312</v>
      </c>
      <c r="B153" s="2" t="s">
        <v>311</v>
      </c>
      <c r="C153" s="2" t="s">
        <v>310</v>
      </c>
      <c r="D153" s="2" t="s">
        <v>1410</v>
      </c>
      <c r="E153" s="2" t="s">
        <v>4717</v>
      </c>
      <c r="F153" s="2" t="s">
        <v>4718</v>
      </c>
      <c r="G153" s="2" t="s">
        <v>4719</v>
      </c>
      <c r="H153" s="2" t="s">
        <v>1464</v>
      </c>
      <c r="I153" s="2" t="s">
        <v>1755</v>
      </c>
      <c r="J153" s="2" t="s">
        <v>2018</v>
      </c>
    </row>
    <row r="154" spans="1:10" ht="14.4" x14ac:dyDescent="0.3">
      <c r="A154" s="2" t="s">
        <v>8</v>
      </c>
      <c r="B154" s="2" t="s">
        <v>314</v>
      </c>
      <c r="C154" s="2" t="s">
        <v>313</v>
      </c>
      <c r="D154" s="2" t="s">
        <v>1410</v>
      </c>
      <c r="E154" s="2" t="s">
        <v>1765</v>
      </c>
      <c r="F154" s="2" t="s">
        <v>4548</v>
      </c>
      <c r="G154" s="2" t="s">
        <v>4549</v>
      </c>
      <c r="H154" s="2" t="s">
        <v>1464</v>
      </c>
      <c r="I154" s="2" t="s">
        <v>1755</v>
      </c>
      <c r="J154" s="2" t="s">
        <v>2018</v>
      </c>
    </row>
    <row r="155" spans="1:10" ht="14.4" x14ac:dyDescent="0.3">
      <c r="A155" s="2" t="s">
        <v>8</v>
      </c>
      <c r="B155" s="2" t="s">
        <v>319</v>
      </c>
      <c r="C155" s="2" t="s">
        <v>318</v>
      </c>
      <c r="D155" s="2" t="s">
        <v>1410</v>
      </c>
      <c r="E155" s="2" t="s">
        <v>4521</v>
      </c>
      <c r="F155" s="2" t="s">
        <v>4522</v>
      </c>
      <c r="G155" s="2" t="s">
        <v>4523</v>
      </c>
      <c r="H155" s="2" t="s">
        <v>1464</v>
      </c>
      <c r="I155" s="2" t="s">
        <v>1755</v>
      </c>
      <c r="J155" s="2" t="s">
        <v>2018</v>
      </c>
    </row>
    <row r="156" spans="1:10" ht="14.4" x14ac:dyDescent="0.3">
      <c r="A156" s="2" t="s">
        <v>322</v>
      </c>
      <c r="B156" s="2" t="s">
        <v>321</v>
      </c>
      <c r="C156" s="2" t="s">
        <v>320</v>
      </c>
      <c r="D156" s="2" t="s">
        <v>1410</v>
      </c>
      <c r="E156" s="2" t="s">
        <v>1949</v>
      </c>
      <c r="F156" s="2" t="s">
        <v>1944</v>
      </c>
      <c r="G156" s="2" t="s">
        <v>3856</v>
      </c>
      <c r="H156" s="2" t="s">
        <v>1464</v>
      </c>
      <c r="I156" s="2" t="s">
        <v>1755</v>
      </c>
      <c r="J156" s="2" t="s">
        <v>2018</v>
      </c>
    </row>
    <row r="157" spans="1:10" ht="14.4" x14ac:dyDescent="0.3">
      <c r="A157" s="2" t="s">
        <v>325</v>
      </c>
      <c r="B157" s="2" t="s">
        <v>324</v>
      </c>
      <c r="C157" s="2" t="s">
        <v>323</v>
      </c>
      <c r="D157" s="2" t="s">
        <v>1410</v>
      </c>
      <c r="E157" s="2" t="s">
        <v>4575</v>
      </c>
      <c r="F157" s="2" t="s">
        <v>3350</v>
      </c>
      <c r="G157" s="2" t="s">
        <v>4576</v>
      </c>
      <c r="H157" s="2" t="s">
        <v>4494</v>
      </c>
      <c r="I157" s="2" t="s">
        <v>4471</v>
      </c>
      <c r="J157" s="2" t="s">
        <v>2018</v>
      </c>
    </row>
    <row r="158" spans="1:10" ht="14.4" x14ac:dyDescent="0.3">
      <c r="A158" s="2" t="s">
        <v>133</v>
      </c>
      <c r="B158" s="2" t="s">
        <v>327</v>
      </c>
      <c r="C158" s="2" t="s">
        <v>326</v>
      </c>
      <c r="D158" s="2" t="s">
        <v>1410</v>
      </c>
      <c r="E158" s="2" t="s">
        <v>4584</v>
      </c>
      <c r="F158" s="2" t="s">
        <v>4585</v>
      </c>
      <c r="G158" s="2" t="s">
        <v>4586</v>
      </c>
      <c r="H158" s="2" t="s">
        <v>1464</v>
      </c>
      <c r="I158" s="2" t="s">
        <v>1755</v>
      </c>
      <c r="J158" s="2" t="s">
        <v>2018</v>
      </c>
    </row>
    <row r="159" spans="1:10" ht="14.4" x14ac:dyDescent="0.3">
      <c r="A159" s="2" t="s">
        <v>8</v>
      </c>
      <c r="B159" s="2" t="s">
        <v>329</v>
      </c>
      <c r="C159" s="2" t="s">
        <v>328</v>
      </c>
      <c r="D159" s="2" t="s">
        <v>1410</v>
      </c>
      <c r="E159" s="2" t="s">
        <v>1812</v>
      </c>
      <c r="F159" s="2" t="s">
        <v>4566</v>
      </c>
      <c r="G159" s="2" t="s">
        <v>4470</v>
      </c>
      <c r="H159" s="2" t="s">
        <v>1414</v>
      </c>
      <c r="I159" s="2" t="s">
        <v>1414</v>
      </c>
      <c r="J159" s="2" t="s">
        <v>1414</v>
      </c>
    </row>
    <row r="160" spans="1:10" ht="14.4" x14ac:dyDescent="0.3">
      <c r="A160" s="2" t="s">
        <v>8</v>
      </c>
      <c r="B160" s="2" t="s">
        <v>329</v>
      </c>
      <c r="C160" s="2" t="s">
        <v>328</v>
      </c>
      <c r="D160" s="2" t="s">
        <v>1410</v>
      </c>
      <c r="E160" s="2" t="s">
        <v>4608</v>
      </c>
      <c r="F160" s="2" t="s">
        <v>4609</v>
      </c>
      <c r="G160" s="2" t="s">
        <v>4610</v>
      </c>
      <c r="H160" s="2" t="s">
        <v>1464</v>
      </c>
      <c r="I160" s="2" t="s">
        <v>1755</v>
      </c>
      <c r="J160" s="2" t="s">
        <v>2018</v>
      </c>
    </row>
    <row r="161" spans="1:10" ht="14.4" x14ac:dyDescent="0.3">
      <c r="A161" s="2" t="s">
        <v>280</v>
      </c>
      <c r="B161" s="2" t="s">
        <v>331</v>
      </c>
      <c r="C161" s="2" t="s">
        <v>330</v>
      </c>
      <c r="D161" s="2" t="s">
        <v>1410</v>
      </c>
      <c r="E161" s="2" t="s">
        <v>1808</v>
      </c>
      <c r="F161" s="2" t="s">
        <v>4559</v>
      </c>
      <c r="G161" s="2" t="s">
        <v>4560</v>
      </c>
      <c r="H161" s="2" t="s">
        <v>2018</v>
      </c>
      <c r="I161" s="2" t="s">
        <v>1414</v>
      </c>
      <c r="J161" s="2" t="s">
        <v>2018</v>
      </c>
    </row>
    <row r="162" spans="1:10" ht="14.4" x14ac:dyDescent="0.3">
      <c r="A162" s="2" t="s">
        <v>22</v>
      </c>
      <c r="B162" s="2" t="s">
        <v>100</v>
      </c>
      <c r="C162" s="2" t="s">
        <v>332</v>
      </c>
      <c r="D162" s="2" t="s">
        <v>1410</v>
      </c>
      <c r="E162" s="2" t="s">
        <v>4564</v>
      </c>
      <c r="F162" s="2" t="s">
        <v>1807</v>
      </c>
      <c r="G162" s="2" t="s">
        <v>4565</v>
      </c>
      <c r="H162" s="2" t="s">
        <v>1464</v>
      </c>
      <c r="I162" s="2" t="s">
        <v>1755</v>
      </c>
      <c r="J162" s="2" t="s">
        <v>2018</v>
      </c>
    </row>
    <row r="163" spans="1:10" ht="14.4" x14ac:dyDescent="0.3">
      <c r="A163" s="2" t="s">
        <v>55</v>
      </c>
      <c r="B163" s="2" t="s">
        <v>102</v>
      </c>
      <c r="C163" s="2" t="s">
        <v>333</v>
      </c>
      <c r="D163" s="2" t="s">
        <v>1410</v>
      </c>
      <c r="E163" s="2" t="s">
        <v>4554</v>
      </c>
      <c r="F163" s="2" t="s">
        <v>4555</v>
      </c>
      <c r="G163" s="2" t="s">
        <v>2489</v>
      </c>
      <c r="H163" s="2" t="s">
        <v>4556</v>
      </c>
      <c r="I163" s="2" t="s">
        <v>4556</v>
      </c>
      <c r="J163" s="2" t="s">
        <v>1414</v>
      </c>
    </row>
    <row r="164" spans="1:10" ht="14.4" x14ac:dyDescent="0.3">
      <c r="A164" s="2" t="s">
        <v>337</v>
      </c>
      <c r="B164" s="2" t="s">
        <v>336</v>
      </c>
      <c r="C164" s="2" t="s">
        <v>335</v>
      </c>
      <c r="D164" s="2" t="s">
        <v>1410</v>
      </c>
      <c r="E164" s="2" t="s">
        <v>4842</v>
      </c>
      <c r="F164" s="2" t="s">
        <v>4843</v>
      </c>
      <c r="G164" s="2" t="s">
        <v>4495</v>
      </c>
      <c r="H164" s="2" t="s">
        <v>1464</v>
      </c>
      <c r="I164" s="2" t="s">
        <v>1755</v>
      </c>
      <c r="J164" s="2" t="s">
        <v>2018</v>
      </c>
    </row>
    <row r="165" spans="1:10" ht="14.4" x14ac:dyDescent="0.3">
      <c r="A165" s="2" t="s">
        <v>340</v>
      </c>
      <c r="B165" s="2" t="s">
        <v>339</v>
      </c>
      <c r="C165" s="2" t="s">
        <v>338</v>
      </c>
      <c r="D165" s="2" t="s">
        <v>1410</v>
      </c>
      <c r="E165" s="2" t="s">
        <v>2023</v>
      </c>
      <c r="F165" s="2" t="s">
        <v>4710</v>
      </c>
      <c r="G165" s="2" t="s">
        <v>2366</v>
      </c>
      <c r="H165" s="2" t="s">
        <v>1464</v>
      </c>
      <c r="I165" s="2" t="s">
        <v>1755</v>
      </c>
      <c r="J165" s="2" t="s">
        <v>2018</v>
      </c>
    </row>
    <row r="166" spans="1:10" ht="14.4" x14ac:dyDescent="0.3">
      <c r="A166" s="2" t="s">
        <v>11</v>
      </c>
      <c r="B166" s="2" t="s">
        <v>342</v>
      </c>
      <c r="C166" s="2" t="s">
        <v>341</v>
      </c>
      <c r="D166" s="2" t="s">
        <v>1410</v>
      </c>
      <c r="E166" s="2" t="s">
        <v>1814</v>
      </c>
      <c r="F166" s="2" t="s">
        <v>3356</v>
      </c>
      <c r="G166" s="2" t="s">
        <v>4470</v>
      </c>
      <c r="H166" s="2" t="s">
        <v>1599</v>
      </c>
      <c r="I166" s="2" t="s">
        <v>1414</v>
      </c>
      <c r="J166" s="2" t="s">
        <v>1599</v>
      </c>
    </row>
    <row r="167" spans="1:10" ht="14.4" x14ac:dyDescent="0.3">
      <c r="A167" s="2" t="s">
        <v>11</v>
      </c>
      <c r="B167" s="2" t="s">
        <v>342</v>
      </c>
      <c r="C167" s="2" t="s">
        <v>341</v>
      </c>
      <c r="D167" s="2" t="s">
        <v>1410</v>
      </c>
      <c r="E167" s="2" t="s">
        <v>4614</v>
      </c>
      <c r="F167" s="2" t="s">
        <v>4615</v>
      </c>
      <c r="G167" s="2" t="s">
        <v>1500</v>
      </c>
      <c r="H167" s="2" t="s">
        <v>4494</v>
      </c>
      <c r="I167" s="2" t="s">
        <v>4471</v>
      </c>
      <c r="J167" s="2" t="s">
        <v>2018</v>
      </c>
    </row>
    <row r="168" spans="1:10" ht="14.4" x14ac:dyDescent="0.3">
      <c r="A168" s="2" t="s">
        <v>345</v>
      </c>
      <c r="B168" s="2" t="s">
        <v>344</v>
      </c>
      <c r="C168" s="2" t="s">
        <v>343</v>
      </c>
      <c r="D168" s="2" t="s">
        <v>1410</v>
      </c>
      <c r="E168" s="2" t="s">
        <v>4547</v>
      </c>
      <c r="F168" s="2" t="s">
        <v>3328</v>
      </c>
      <c r="G168" s="2" t="s">
        <v>1521</v>
      </c>
      <c r="H168" s="2" t="s">
        <v>1843</v>
      </c>
      <c r="I168" s="2" t="s">
        <v>1843</v>
      </c>
      <c r="J168" s="2" t="s">
        <v>1414</v>
      </c>
    </row>
    <row r="169" spans="1:10" ht="14.4" x14ac:dyDescent="0.3">
      <c r="A169" s="2" t="s">
        <v>55</v>
      </c>
      <c r="B169" s="2" t="s">
        <v>347</v>
      </c>
      <c r="C169" s="2" t="s">
        <v>346</v>
      </c>
      <c r="D169" s="2" t="s">
        <v>1410</v>
      </c>
      <c r="E169" s="2" t="s">
        <v>4567</v>
      </c>
      <c r="F169" s="2" t="s">
        <v>4568</v>
      </c>
      <c r="G169" s="2" t="s">
        <v>4569</v>
      </c>
      <c r="H169" s="2" t="s">
        <v>1464</v>
      </c>
      <c r="I169" s="2" t="s">
        <v>1755</v>
      </c>
      <c r="J169" s="2" t="s">
        <v>2018</v>
      </c>
    </row>
    <row r="170" spans="1:10" ht="14.4" x14ac:dyDescent="0.3">
      <c r="A170" s="2" t="s">
        <v>350</v>
      </c>
      <c r="B170" s="2" t="s">
        <v>349</v>
      </c>
      <c r="C170" s="2" t="s">
        <v>348</v>
      </c>
      <c r="D170" s="2" t="s">
        <v>1410</v>
      </c>
      <c r="E170" s="2" t="s">
        <v>4580</v>
      </c>
      <c r="F170" s="2" t="s">
        <v>4581</v>
      </c>
      <c r="G170" s="2" t="s">
        <v>4470</v>
      </c>
      <c r="H170" s="2" t="s">
        <v>1464</v>
      </c>
      <c r="I170" s="2" t="s">
        <v>1755</v>
      </c>
      <c r="J170" s="2" t="s">
        <v>2018</v>
      </c>
    </row>
    <row r="171" spans="1:10" ht="14.4" x14ac:dyDescent="0.3">
      <c r="A171" s="2" t="s">
        <v>353</v>
      </c>
      <c r="B171" s="2" t="s">
        <v>352</v>
      </c>
      <c r="C171" s="2" t="s">
        <v>351</v>
      </c>
      <c r="D171" s="2" t="s">
        <v>1410</v>
      </c>
      <c r="E171" s="2" t="s">
        <v>1732</v>
      </c>
      <c r="F171" s="2" t="s">
        <v>1731</v>
      </c>
      <c r="G171" s="2" t="s">
        <v>4541</v>
      </c>
      <c r="H171" s="2" t="s">
        <v>4487</v>
      </c>
      <c r="I171" s="2" t="s">
        <v>4436</v>
      </c>
      <c r="J171" s="2" t="s">
        <v>2018</v>
      </c>
    </row>
    <row r="172" spans="1:10" ht="14.4" x14ac:dyDescent="0.3">
      <c r="A172" s="2" t="s">
        <v>8</v>
      </c>
      <c r="B172" s="2" t="s">
        <v>355</v>
      </c>
      <c r="C172" s="2" t="s">
        <v>354</v>
      </c>
      <c r="D172" s="2" t="s">
        <v>1410</v>
      </c>
      <c r="E172" s="2" t="s">
        <v>1699</v>
      </c>
      <c r="F172" s="2" t="s">
        <v>4531</v>
      </c>
      <c r="G172" s="2" t="s">
        <v>4532</v>
      </c>
      <c r="H172" s="2" t="s">
        <v>1464</v>
      </c>
      <c r="I172" s="2" t="s">
        <v>1755</v>
      </c>
      <c r="J172" s="2" t="s">
        <v>2018</v>
      </c>
    </row>
    <row r="173" spans="1:10" ht="14.4" x14ac:dyDescent="0.3">
      <c r="A173" s="2" t="s">
        <v>228</v>
      </c>
      <c r="B173" s="2" t="s">
        <v>357</v>
      </c>
      <c r="C173" s="2" t="s">
        <v>356</v>
      </c>
      <c r="D173" s="2" t="s">
        <v>1410</v>
      </c>
      <c r="E173" s="2" t="s">
        <v>4570</v>
      </c>
      <c r="F173" s="2" t="s">
        <v>4571</v>
      </c>
      <c r="G173" s="2" t="s">
        <v>1629</v>
      </c>
      <c r="H173" s="2" t="s">
        <v>1464</v>
      </c>
      <c r="I173" s="2" t="s">
        <v>1755</v>
      </c>
      <c r="J173" s="2" t="s">
        <v>2018</v>
      </c>
    </row>
    <row r="174" spans="1:10" ht="14.4" x14ac:dyDescent="0.3">
      <c r="A174" s="2" t="s">
        <v>8</v>
      </c>
      <c r="B174" s="2" t="s">
        <v>359</v>
      </c>
      <c r="C174" s="2" t="s">
        <v>358</v>
      </c>
      <c r="D174" s="2" t="s">
        <v>1410</v>
      </c>
      <c r="E174" s="2" t="s">
        <v>3388</v>
      </c>
      <c r="F174" s="2" t="s">
        <v>3389</v>
      </c>
      <c r="G174" s="2" t="s">
        <v>4607</v>
      </c>
      <c r="H174" s="2" t="s">
        <v>1755</v>
      </c>
      <c r="I174" s="2" t="s">
        <v>3204</v>
      </c>
      <c r="J174" s="2" t="s">
        <v>1551</v>
      </c>
    </row>
    <row r="175" spans="1:10" ht="14.4" x14ac:dyDescent="0.3">
      <c r="A175" s="2" t="s">
        <v>31</v>
      </c>
      <c r="B175" s="2" t="s">
        <v>361</v>
      </c>
      <c r="C175" s="2" t="s">
        <v>360</v>
      </c>
      <c r="D175" s="2" t="s">
        <v>1410</v>
      </c>
      <c r="E175" s="2" t="s">
        <v>4548</v>
      </c>
      <c r="F175" s="2" t="s">
        <v>1776</v>
      </c>
      <c r="G175" s="2" t="s">
        <v>4552</v>
      </c>
      <c r="H175" s="2" t="s">
        <v>1464</v>
      </c>
      <c r="I175" s="2" t="s">
        <v>1755</v>
      </c>
      <c r="J175" s="2" t="s">
        <v>2018</v>
      </c>
    </row>
    <row r="176" spans="1:10" ht="14.4" x14ac:dyDescent="0.3">
      <c r="A176" s="2" t="s">
        <v>8</v>
      </c>
      <c r="B176" s="2" t="s">
        <v>363</v>
      </c>
      <c r="C176" s="2" t="s">
        <v>362</v>
      </c>
      <c r="D176" s="2" t="s">
        <v>1410</v>
      </c>
      <c r="E176" s="2" t="s">
        <v>2232</v>
      </c>
      <c r="F176" s="2" t="s">
        <v>3574</v>
      </c>
      <c r="G176" s="2" t="s">
        <v>2094</v>
      </c>
      <c r="H176" s="2" t="s">
        <v>4471</v>
      </c>
      <c r="I176" s="2" t="s">
        <v>4471</v>
      </c>
      <c r="J176" s="2" t="s">
        <v>1414</v>
      </c>
    </row>
    <row r="177" spans="1:10" ht="14.4" x14ac:dyDescent="0.3">
      <c r="A177" s="2" t="s">
        <v>366</v>
      </c>
      <c r="B177" s="2" t="s">
        <v>365</v>
      </c>
      <c r="C177" s="2" t="s">
        <v>364</v>
      </c>
      <c r="D177" s="2" t="s">
        <v>1456</v>
      </c>
      <c r="E177" s="2" t="s">
        <v>4611</v>
      </c>
      <c r="F177" s="2" t="s">
        <v>1415</v>
      </c>
      <c r="G177" s="2" t="s">
        <v>1415</v>
      </c>
      <c r="H177" s="2" t="s">
        <v>1415</v>
      </c>
      <c r="I177" s="2" t="s">
        <v>1755</v>
      </c>
      <c r="J177" s="2" t="s">
        <v>2018</v>
      </c>
    </row>
    <row r="178" spans="1:10" ht="14.4" x14ac:dyDescent="0.3">
      <c r="A178" s="2" t="s">
        <v>19</v>
      </c>
      <c r="B178" s="2" t="s">
        <v>368</v>
      </c>
      <c r="C178" s="2" t="s">
        <v>367</v>
      </c>
      <c r="D178" s="2" t="s">
        <v>1410</v>
      </c>
      <c r="E178" s="2" t="s">
        <v>1764</v>
      </c>
      <c r="F178" s="2" t="s">
        <v>1782</v>
      </c>
      <c r="G178" s="2" t="s">
        <v>4546</v>
      </c>
      <c r="H178" s="2" t="s">
        <v>1464</v>
      </c>
      <c r="I178" s="2" t="s">
        <v>1755</v>
      </c>
      <c r="J178" s="2" t="s">
        <v>2018</v>
      </c>
    </row>
    <row r="179" spans="1:10" ht="14.4" x14ac:dyDescent="0.3">
      <c r="A179" s="2" t="s">
        <v>8</v>
      </c>
      <c r="B179" s="2" t="s">
        <v>370</v>
      </c>
      <c r="C179" s="2" t="s">
        <v>369</v>
      </c>
      <c r="D179" s="2" t="s">
        <v>1410</v>
      </c>
      <c r="E179" s="2" t="s">
        <v>4622</v>
      </c>
      <c r="F179" s="2" t="s">
        <v>4623</v>
      </c>
      <c r="G179" s="2" t="s">
        <v>2564</v>
      </c>
      <c r="H179" s="2" t="s">
        <v>1464</v>
      </c>
      <c r="I179" s="2" t="s">
        <v>1755</v>
      </c>
      <c r="J179" s="2" t="s">
        <v>2018</v>
      </c>
    </row>
    <row r="180" spans="1:10" ht="14.4" x14ac:dyDescent="0.3">
      <c r="A180" s="2" t="s">
        <v>19</v>
      </c>
      <c r="B180" s="2" t="s">
        <v>372</v>
      </c>
      <c r="C180" s="2" t="s">
        <v>371</v>
      </c>
      <c r="D180" s="2" t="s">
        <v>1410</v>
      </c>
      <c r="E180" s="2" t="s">
        <v>3352</v>
      </c>
      <c r="F180" s="2" t="s">
        <v>4582</v>
      </c>
      <c r="G180" s="2" t="s">
        <v>4583</v>
      </c>
      <c r="H180" s="2" t="s">
        <v>1464</v>
      </c>
      <c r="I180" s="2" t="s">
        <v>1755</v>
      </c>
      <c r="J180" s="2" t="s">
        <v>2018</v>
      </c>
    </row>
    <row r="181" spans="1:10" ht="14.4" x14ac:dyDescent="0.3">
      <c r="A181" s="2" t="s">
        <v>375</v>
      </c>
      <c r="B181" s="2" t="s">
        <v>374</v>
      </c>
      <c r="C181" s="2" t="s">
        <v>373</v>
      </c>
      <c r="D181" s="2" t="s">
        <v>1410</v>
      </c>
      <c r="E181" s="2" t="s">
        <v>4706</v>
      </c>
      <c r="F181" s="2" t="s">
        <v>4707</v>
      </c>
      <c r="G181" s="2" t="s">
        <v>2132</v>
      </c>
      <c r="H181" s="2" t="s">
        <v>1464</v>
      </c>
      <c r="I181" s="2" t="s">
        <v>1755</v>
      </c>
      <c r="J181" s="2" t="s">
        <v>2018</v>
      </c>
    </row>
    <row r="182" spans="1:10" ht="14.4" x14ac:dyDescent="0.3">
      <c r="A182" s="2" t="s">
        <v>42</v>
      </c>
      <c r="B182" s="2" t="s">
        <v>377</v>
      </c>
      <c r="C182" s="2" t="s">
        <v>376</v>
      </c>
      <c r="D182" s="2" t="s">
        <v>1410</v>
      </c>
      <c r="E182" s="2" t="s">
        <v>4574</v>
      </c>
      <c r="F182" s="2" t="s">
        <v>3352</v>
      </c>
      <c r="G182" s="2" t="s">
        <v>2933</v>
      </c>
      <c r="H182" s="2" t="s">
        <v>1464</v>
      </c>
      <c r="I182" s="2" t="s">
        <v>1755</v>
      </c>
      <c r="J182" s="2" t="s">
        <v>2018</v>
      </c>
    </row>
    <row r="183" spans="1:10" ht="14.4" x14ac:dyDescent="0.3">
      <c r="A183" s="2" t="s">
        <v>55</v>
      </c>
      <c r="B183" s="2" t="s">
        <v>379</v>
      </c>
      <c r="C183" s="2" t="s">
        <v>378</v>
      </c>
      <c r="D183" s="2" t="s">
        <v>1410</v>
      </c>
      <c r="E183" s="2" t="s">
        <v>1744</v>
      </c>
      <c r="F183" s="2" t="s">
        <v>4544</v>
      </c>
      <c r="G183" s="2" t="s">
        <v>4391</v>
      </c>
      <c r="H183" s="2" t="s">
        <v>1438</v>
      </c>
      <c r="I183" s="2" t="s">
        <v>1551</v>
      </c>
      <c r="J183" s="2" t="s">
        <v>2018</v>
      </c>
    </row>
    <row r="184" spans="1:10" ht="14.4" x14ac:dyDescent="0.3">
      <c r="A184" s="2" t="s">
        <v>8</v>
      </c>
      <c r="B184" s="2" t="s">
        <v>381</v>
      </c>
      <c r="C184" s="2" t="s">
        <v>380</v>
      </c>
      <c r="D184" s="2" t="s">
        <v>1410</v>
      </c>
      <c r="E184" s="2" t="s">
        <v>4588</v>
      </c>
      <c r="F184" s="2" t="s">
        <v>4589</v>
      </c>
      <c r="G184" s="2" t="s">
        <v>3468</v>
      </c>
      <c r="H184" s="2" t="s">
        <v>4535</v>
      </c>
      <c r="I184" s="2" t="s">
        <v>4471</v>
      </c>
      <c r="J184" s="2" t="s">
        <v>1551</v>
      </c>
    </row>
    <row r="185" spans="1:10" ht="14.4" x14ac:dyDescent="0.3">
      <c r="A185" s="2" t="s">
        <v>55</v>
      </c>
      <c r="B185" s="2" t="s">
        <v>383</v>
      </c>
      <c r="C185" s="2" t="s">
        <v>382</v>
      </c>
      <c r="D185" s="2" t="s">
        <v>1410</v>
      </c>
      <c r="E185" s="2" t="s">
        <v>4529</v>
      </c>
      <c r="F185" s="2" t="s">
        <v>4530</v>
      </c>
      <c r="G185" s="2" t="s">
        <v>1907</v>
      </c>
      <c r="H185" s="2" t="s">
        <v>1414</v>
      </c>
      <c r="I185" s="2" t="s">
        <v>1414</v>
      </c>
      <c r="J185" s="2" t="s">
        <v>1414</v>
      </c>
    </row>
    <row r="186" spans="1:10" ht="14.4" x14ac:dyDescent="0.3">
      <c r="A186" s="2" t="s">
        <v>55</v>
      </c>
      <c r="B186" s="2" t="s">
        <v>383</v>
      </c>
      <c r="C186" s="2" t="s">
        <v>382</v>
      </c>
      <c r="D186" s="2" t="s">
        <v>1410</v>
      </c>
      <c r="E186" s="2" t="s">
        <v>4536</v>
      </c>
      <c r="F186" s="2" t="s">
        <v>1719</v>
      </c>
      <c r="G186" s="2" t="s">
        <v>3357</v>
      </c>
      <c r="H186" s="2" t="s">
        <v>1419</v>
      </c>
      <c r="I186" s="2" t="s">
        <v>1755</v>
      </c>
      <c r="J186" s="2" t="s">
        <v>1599</v>
      </c>
    </row>
    <row r="187" spans="1:10" ht="14.4" x14ac:dyDescent="0.3">
      <c r="A187" s="2" t="s">
        <v>8</v>
      </c>
      <c r="B187" s="2" t="s">
        <v>385</v>
      </c>
      <c r="C187" s="2" t="s">
        <v>384</v>
      </c>
      <c r="D187" s="2" t="s">
        <v>1410</v>
      </c>
      <c r="E187" s="2" t="s">
        <v>4599</v>
      </c>
      <c r="F187" s="2" t="s">
        <v>4600</v>
      </c>
      <c r="G187" s="2" t="s">
        <v>4601</v>
      </c>
      <c r="H187" s="2" t="s">
        <v>1452</v>
      </c>
      <c r="I187" s="2" t="s">
        <v>1755</v>
      </c>
      <c r="J187" s="2" t="s">
        <v>1551</v>
      </c>
    </row>
    <row r="188" spans="1:10" ht="14.4" x14ac:dyDescent="0.3">
      <c r="A188" s="2" t="s">
        <v>31</v>
      </c>
      <c r="B188" s="2" t="s">
        <v>387</v>
      </c>
      <c r="C188" s="2" t="s">
        <v>386</v>
      </c>
      <c r="D188" s="2" t="s">
        <v>1410</v>
      </c>
      <c r="E188" s="2" t="s">
        <v>4595</v>
      </c>
      <c r="F188" s="2" t="s">
        <v>4596</v>
      </c>
      <c r="G188" s="2" t="s">
        <v>4470</v>
      </c>
      <c r="H188" s="2" t="s">
        <v>1414</v>
      </c>
      <c r="I188" s="2" t="s">
        <v>1414</v>
      </c>
      <c r="J188" s="2" t="s">
        <v>1414</v>
      </c>
    </row>
    <row r="189" spans="1:10" ht="14.4" x14ac:dyDescent="0.3">
      <c r="A189" s="2" t="s">
        <v>31</v>
      </c>
      <c r="B189" s="2" t="s">
        <v>387</v>
      </c>
      <c r="C189" s="2" t="s">
        <v>386</v>
      </c>
      <c r="D189" s="2" t="s">
        <v>1410</v>
      </c>
      <c r="E189" s="2" t="s">
        <v>4617</v>
      </c>
      <c r="F189" s="2" t="s">
        <v>4619</v>
      </c>
      <c r="G189" s="2" t="s">
        <v>4621</v>
      </c>
      <c r="H189" s="2" t="s">
        <v>4494</v>
      </c>
      <c r="I189" s="2" t="s">
        <v>4471</v>
      </c>
      <c r="J189" s="2" t="s">
        <v>2018</v>
      </c>
    </row>
    <row r="190" spans="1:10" ht="14.4" x14ac:dyDescent="0.3">
      <c r="A190" s="2" t="s">
        <v>31</v>
      </c>
      <c r="B190" s="2" t="s">
        <v>387</v>
      </c>
      <c r="C190" s="2" t="s">
        <v>386</v>
      </c>
      <c r="D190" s="2" t="s">
        <v>1410</v>
      </c>
      <c r="E190" s="2" t="s">
        <v>1860</v>
      </c>
      <c r="F190" s="2" t="s">
        <v>4627</v>
      </c>
      <c r="G190" s="2" t="s">
        <v>4628</v>
      </c>
      <c r="H190" s="2" t="s">
        <v>1464</v>
      </c>
      <c r="I190" s="2" t="s">
        <v>1755</v>
      </c>
      <c r="J190" s="2" t="s">
        <v>2018</v>
      </c>
    </row>
    <row r="191" spans="1:10" ht="14.4" x14ac:dyDescent="0.3">
      <c r="A191" s="2" t="s">
        <v>390</v>
      </c>
      <c r="B191" s="2" t="s">
        <v>389</v>
      </c>
      <c r="C191" s="2" t="s">
        <v>388</v>
      </c>
      <c r="D191" s="2" t="s">
        <v>1410</v>
      </c>
      <c r="E191" s="2" t="s">
        <v>4839</v>
      </c>
      <c r="F191" s="2" t="s">
        <v>4840</v>
      </c>
      <c r="G191" s="2" t="s">
        <v>4841</v>
      </c>
      <c r="H191" s="2" t="s">
        <v>1424</v>
      </c>
      <c r="I191" s="2" t="s">
        <v>1843</v>
      </c>
      <c r="J191" s="2" t="s">
        <v>2018</v>
      </c>
    </row>
    <row r="192" spans="1:10" ht="14.4" x14ac:dyDescent="0.3">
      <c r="A192" s="2" t="s">
        <v>170</v>
      </c>
      <c r="B192" s="2" t="s">
        <v>392</v>
      </c>
      <c r="C192" s="2" t="s">
        <v>391</v>
      </c>
      <c r="D192" s="2" t="s">
        <v>1410</v>
      </c>
      <c r="E192" s="2" t="s">
        <v>4533</v>
      </c>
      <c r="F192" s="2" t="s">
        <v>1719</v>
      </c>
      <c r="G192" s="2" t="s">
        <v>4534</v>
      </c>
      <c r="H192" s="2" t="s">
        <v>4535</v>
      </c>
      <c r="I192" s="2" t="s">
        <v>4471</v>
      </c>
      <c r="J192" s="2" t="s">
        <v>1551</v>
      </c>
    </row>
    <row r="193" spans="1:10" ht="14.4" x14ac:dyDescent="0.3">
      <c r="A193" s="2" t="s">
        <v>11</v>
      </c>
      <c r="B193" s="2" t="s">
        <v>394</v>
      </c>
      <c r="C193" s="2" t="s">
        <v>393</v>
      </c>
      <c r="D193" s="2" t="s">
        <v>1410</v>
      </c>
      <c r="E193" s="2" t="s">
        <v>3482</v>
      </c>
      <c r="F193" s="2" t="s">
        <v>4708</v>
      </c>
      <c r="G193" s="2" t="s">
        <v>4709</v>
      </c>
      <c r="H193" s="2" t="s">
        <v>4535</v>
      </c>
      <c r="I193" s="2" t="s">
        <v>4471</v>
      </c>
      <c r="J193" s="2" t="s">
        <v>1551</v>
      </c>
    </row>
    <row r="194" spans="1:10" ht="14.4" x14ac:dyDescent="0.3">
      <c r="A194" s="2" t="s">
        <v>397</v>
      </c>
      <c r="B194" s="2" t="s">
        <v>396</v>
      </c>
      <c r="C194" s="2" t="s">
        <v>395</v>
      </c>
      <c r="D194" s="2" t="s">
        <v>1410</v>
      </c>
      <c r="E194" s="2" t="s">
        <v>4698</v>
      </c>
      <c r="F194" s="2" t="s">
        <v>4699</v>
      </c>
      <c r="G194" s="2" t="s">
        <v>2461</v>
      </c>
      <c r="H194" s="2" t="s">
        <v>1414</v>
      </c>
      <c r="I194" s="2" t="s">
        <v>1414</v>
      </c>
      <c r="J194" s="2" t="s">
        <v>1414</v>
      </c>
    </row>
    <row r="195" spans="1:10" ht="14.4" x14ac:dyDescent="0.3">
      <c r="A195" s="2" t="s">
        <v>397</v>
      </c>
      <c r="B195" s="2" t="s">
        <v>396</v>
      </c>
      <c r="C195" s="2" t="s">
        <v>395</v>
      </c>
      <c r="D195" s="2" t="s">
        <v>1410</v>
      </c>
      <c r="E195" s="2" t="s">
        <v>4702</v>
      </c>
      <c r="F195" s="2" t="s">
        <v>3472</v>
      </c>
      <c r="G195" s="2" t="s">
        <v>4703</v>
      </c>
      <c r="H195" s="2" t="s">
        <v>1414</v>
      </c>
      <c r="I195" s="2" t="s">
        <v>1414</v>
      </c>
      <c r="J195" s="2" t="s">
        <v>1414</v>
      </c>
    </row>
    <row r="196" spans="1:10" ht="14.4" x14ac:dyDescent="0.3">
      <c r="A196" s="2" t="s">
        <v>397</v>
      </c>
      <c r="B196" s="2" t="s">
        <v>396</v>
      </c>
      <c r="C196" s="2" t="s">
        <v>395</v>
      </c>
      <c r="D196" s="2" t="s">
        <v>1410</v>
      </c>
      <c r="E196" s="2" t="s">
        <v>4704</v>
      </c>
      <c r="F196" s="2" t="s">
        <v>4705</v>
      </c>
      <c r="G196" s="2" t="s">
        <v>2683</v>
      </c>
      <c r="H196" s="2" t="s">
        <v>1606</v>
      </c>
      <c r="I196" s="2" t="s">
        <v>1843</v>
      </c>
      <c r="J196" s="2" t="s">
        <v>2062</v>
      </c>
    </row>
    <row r="197" spans="1:10" ht="14.4" x14ac:dyDescent="0.3">
      <c r="A197" s="2" t="s">
        <v>337</v>
      </c>
      <c r="B197" s="2" t="s">
        <v>399</v>
      </c>
      <c r="C197" s="2" t="s">
        <v>398</v>
      </c>
      <c r="D197" s="2" t="s">
        <v>1410</v>
      </c>
      <c r="E197" s="2" t="s">
        <v>4558</v>
      </c>
      <c r="F197" s="2" t="s">
        <v>1787</v>
      </c>
      <c r="G197" s="2" t="s">
        <v>1635</v>
      </c>
      <c r="H197" s="2" t="s">
        <v>1424</v>
      </c>
      <c r="I197" s="2" t="s">
        <v>1843</v>
      </c>
      <c r="J197" s="2" t="s">
        <v>2018</v>
      </c>
    </row>
    <row r="198" spans="1:10" ht="14.4" x14ac:dyDescent="0.3">
      <c r="A198" s="2" t="s">
        <v>19</v>
      </c>
      <c r="B198" s="2" t="s">
        <v>401</v>
      </c>
      <c r="C198" s="2" t="s">
        <v>400</v>
      </c>
      <c r="D198" s="2" t="s">
        <v>1410</v>
      </c>
      <c r="E198" s="2" t="s">
        <v>4714</v>
      </c>
      <c r="F198" s="2" t="s">
        <v>4715</v>
      </c>
      <c r="G198" s="2" t="s">
        <v>4716</v>
      </c>
      <c r="H198" s="2" t="s">
        <v>1464</v>
      </c>
      <c r="I198" s="2" t="s">
        <v>1755</v>
      </c>
      <c r="J198" s="2" t="s">
        <v>2018</v>
      </c>
    </row>
    <row r="199" spans="1:10" ht="14.4" x14ac:dyDescent="0.3">
      <c r="A199" s="2" t="s">
        <v>8</v>
      </c>
      <c r="B199" s="2" t="s">
        <v>403</v>
      </c>
      <c r="C199" s="2" t="s">
        <v>402</v>
      </c>
      <c r="D199" s="2" t="s">
        <v>1410</v>
      </c>
      <c r="E199" s="2" t="s">
        <v>1851</v>
      </c>
      <c r="F199" s="2" t="s">
        <v>4604</v>
      </c>
      <c r="G199" s="2" t="s">
        <v>1773</v>
      </c>
      <c r="H199" s="2" t="s">
        <v>1464</v>
      </c>
      <c r="I199" s="2" t="s">
        <v>1755</v>
      </c>
      <c r="J199" s="2" t="s">
        <v>2018</v>
      </c>
    </row>
    <row r="200" spans="1:10" ht="14.4" x14ac:dyDescent="0.3">
      <c r="A200" s="2" t="s">
        <v>84</v>
      </c>
      <c r="B200" s="2" t="s">
        <v>405</v>
      </c>
      <c r="C200" s="2" t="s">
        <v>404</v>
      </c>
      <c r="D200" s="2" t="s">
        <v>1410</v>
      </c>
      <c r="E200" s="2" t="s">
        <v>4605</v>
      </c>
      <c r="F200" s="2" t="s">
        <v>4606</v>
      </c>
      <c r="G200" s="2" t="s">
        <v>1587</v>
      </c>
      <c r="H200" s="2" t="s">
        <v>4535</v>
      </c>
      <c r="I200" s="2" t="s">
        <v>4471</v>
      </c>
      <c r="J200" s="2" t="s">
        <v>1551</v>
      </c>
    </row>
    <row r="201" spans="1:10" ht="14.4" x14ac:dyDescent="0.3">
      <c r="A201" s="2" t="s">
        <v>8</v>
      </c>
      <c r="B201" s="2" t="s">
        <v>407</v>
      </c>
      <c r="C201" s="2" t="s">
        <v>406</v>
      </c>
      <c r="D201" s="2" t="s">
        <v>1410</v>
      </c>
      <c r="E201" s="2" t="s">
        <v>4542</v>
      </c>
      <c r="F201" s="2" t="s">
        <v>1736</v>
      </c>
      <c r="G201" s="2" t="s">
        <v>4543</v>
      </c>
      <c r="H201" s="2" t="s">
        <v>4496</v>
      </c>
      <c r="I201" s="2" t="s">
        <v>4436</v>
      </c>
      <c r="J201" s="2" t="s">
        <v>1599</v>
      </c>
    </row>
    <row r="202" spans="1:10" ht="14.4" x14ac:dyDescent="0.3">
      <c r="A202" s="2" t="s">
        <v>42</v>
      </c>
      <c r="B202" s="2" t="s">
        <v>409</v>
      </c>
      <c r="C202" s="2" t="s">
        <v>408</v>
      </c>
      <c r="D202" s="2" t="s">
        <v>1410</v>
      </c>
      <c r="E202" s="2" t="s">
        <v>4524</v>
      </c>
      <c r="F202" s="2" t="s">
        <v>4525</v>
      </c>
      <c r="G202" s="2" t="s">
        <v>4470</v>
      </c>
      <c r="H202" s="2" t="s">
        <v>1414</v>
      </c>
      <c r="I202" s="2" t="s">
        <v>1414</v>
      </c>
      <c r="J202" s="2" t="s">
        <v>1414</v>
      </c>
    </row>
    <row r="203" spans="1:10" ht="14.4" x14ac:dyDescent="0.3">
      <c r="A203" s="2" t="s">
        <v>42</v>
      </c>
      <c r="B203" s="2" t="s">
        <v>409</v>
      </c>
      <c r="C203" s="2" t="s">
        <v>408</v>
      </c>
      <c r="D203" s="2" t="s">
        <v>1410</v>
      </c>
      <c r="E203" s="2" t="s">
        <v>4527</v>
      </c>
      <c r="F203" s="2" t="s">
        <v>4528</v>
      </c>
      <c r="G203" s="2" t="s">
        <v>1868</v>
      </c>
      <c r="H203" s="2" t="s">
        <v>1452</v>
      </c>
      <c r="I203" s="2" t="s">
        <v>1755</v>
      </c>
      <c r="J203" s="2" t="s">
        <v>1551</v>
      </c>
    </row>
    <row r="204" spans="1:10" ht="14.4" x14ac:dyDescent="0.3">
      <c r="A204" s="2" t="s">
        <v>412</v>
      </c>
      <c r="B204" s="2" t="s">
        <v>411</v>
      </c>
      <c r="C204" s="2" t="s">
        <v>410</v>
      </c>
      <c r="D204" s="2" t="s">
        <v>1410</v>
      </c>
      <c r="E204" s="2" t="s">
        <v>3346</v>
      </c>
      <c r="F204" s="2" t="s">
        <v>1823</v>
      </c>
      <c r="G204" s="2" t="s">
        <v>4573</v>
      </c>
      <c r="H204" s="2" t="s">
        <v>1424</v>
      </c>
      <c r="I204" s="2" t="s">
        <v>1843</v>
      </c>
      <c r="J204" s="2" t="s">
        <v>2018</v>
      </c>
    </row>
    <row r="205" spans="1:10" ht="14.4" x14ac:dyDescent="0.3">
      <c r="A205" s="2" t="s">
        <v>19</v>
      </c>
      <c r="B205" s="2" t="s">
        <v>414</v>
      </c>
      <c r="C205" s="2" t="s">
        <v>413</v>
      </c>
      <c r="D205" s="2" t="s">
        <v>1410</v>
      </c>
      <c r="E205" s="2" t="s">
        <v>4676</v>
      </c>
      <c r="F205" s="2" t="s">
        <v>4677</v>
      </c>
      <c r="G205" s="2" t="s">
        <v>4678</v>
      </c>
      <c r="H205" s="2" t="s">
        <v>4494</v>
      </c>
      <c r="I205" s="2" t="s">
        <v>4471</v>
      </c>
      <c r="J205" s="2" t="s">
        <v>2018</v>
      </c>
    </row>
    <row r="206" spans="1:10" ht="14.4" x14ac:dyDescent="0.3">
      <c r="A206" s="2" t="s">
        <v>22</v>
      </c>
      <c r="B206" s="2" t="s">
        <v>416</v>
      </c>
      <c r="C206" s="2" t="s">
        <v>415</v>
      </c>
      <c r="D206" s="2" t="s">
        <v>1410</v>
      </c>
      <c r="E206" s="2" t="s">
        <v>1803</v>
      </c>
      <c r="F206" s="2" t="s">
        <v>4572</v>
      </c>
      <c r="G206" s="2" t="s">
        <v>3212</v>
      </c>
      <c r="H206" s="2" t="s">
        <v>4494</v>
      </c>
      <c r="I206" s="2" t="s">
        <v>4471</v>
      </c>
      <c r="J206" s="2" t="s">
        <v>2018</v>
      </c>
    </row>
    <row r="207" spans="1:10" ht="14.4" x14ac:dyDescent="0.3">
      <c r="A207" s="2" t="s">
        <v>49</v>
      </c>
      <c r="B207" s="2" t="s">
        <v>418</v>
      </c>
      <c r="C207" s="2" t="s">
        <v>417</v>
      </c>
      <c r="D207" s="2" t="s">
        <v>1410</v>
      </c>
      <c r="E207" s="2" t="s">
        <v>3366</v>
      </c>
      <c r="F207" s="2" t="s">
        <v>3372</v>
      </c>
      <c r="G207" s="2" t="s">
        <v>4592</v>
      </c>
      <c r="H207" s="2" t="s">
        <v>1414</v>
      </c>
      <c r="I207" s="2" t="s">
        <v>1414</v>
      </c>
      <c r="J207" s="2" t="s">
        <v>1414</v>
      </c>
    </row>
    <row r="208" spans="1:10" ht="14.4" x14ac:dyDescent="0.3">
      <c r="A208" s="2" t="s">
        <v>55</v>
      </c>
      <c r="B208" s="2" t="s">
        <v>418</v>
      </c>
      <c r="C208" s="2" t="s">
        <v>419</v>
      </c>
      <c r="D208" s="2" t="s">
        <v>1410</v>
      </c>
      <c r="E208" s="2" t="s">
        <v>4597</v>
      </c>
      <c r="F208" s="2" t="s">
        <v>4598</v>
      </c>
      <c r="G208" s="2" t="s">
        <v>4263</v>
      </c>
      <c r="H208" s="2" t="s">
        <v>1488</v>
      </c>
      <c r="I208" s="2" t="s">
        <v>1843</v>
      </c>
      <c r="J208" s="2" t="s">
        <v>1551</v>
      </c>
    </row>
    <row r="209" spans="1:10" ht="14.4" x14ac:dyDescent="0.3">
      <c r="A209" s="2" t="s">
        <v>25</v>
      </c>
      <c r="B209" s="2" t="s">
        <v>421</v>
      </c>
      <c r="C209" s="2" t="s">
        <v>420</v>
      </c>
      <c r="D209" s="2" t="s">
        <v>1410</v>
      </c>
      <c r="E209" s="2" t="s">
        <v>1782</v>
      </c>
      <c r="F209" s="2" t="s">
        <v>3328</v>
      </c>
      <c r="G209" s="2" t="s">
        <v>4553</v>
      </c>
      <c r="H209" s="2" t="s">
        <v>1464</v>
      </c>
      <c r="I209" s="2" t="s">
        <v>1755</v>
      </c>
      <c r="J209" s="2" t="s">
        <v>2018</v>
      </c>
    </row>
    <row r="210" spans="1:10" ht="14.4" x14ac:dyDescent="0.3">
      <c r="A210" s="2" t="s">
        <v>179</v>
      </c>
      <c r="B210" s="2" t="s">
        <v>423</v>
      </c>
      <c r="C210" s="2" t="s">
        <v>422</v>
      </c>
      <c r="D210" s="2" t="s">
        <v>1410</v>
      </c>
      <c r="E210" s="2" t="s">
        <v>2261</v>
      </c>
      <c r="F210" s="2" t="s">
        <v>3602</v>
      </c>
      <c r="G210" s="2" t="s">
        <v>4495</v>
      </c>
      <c r="H210" s="2" t="s">
        <v>2018</v>
      </c>
      <c r="I210" s="2" t="s">
        <v>1414</v>
      </c>
      <c r="J210" s="2" t="s">
        <v>2018</v>
      </c>
    </row>
    <row r="211" spans="1:10" ht="14.4" x14ac:dyDescent="0.3">
      <c r="A211" s="2" t="s">
        <v>19</v>
      </c>
      <c r="B211" s="2" t="s">
        <v>425</v>
      </c>
      <c r="C211" s="2" t="s">
        <v>424</v>
      </c>
      <c r="D211" s="2" t="s">
        <v>1410</v>
      </c>
      <c r="E211" s="2" t="s">
        <v>4624</v>
      </c>
      <c r="F211" s="2" t="s">
        <v>4625</v>
      </c>
      <c r="G211" s="2" t="s">
        <v>4626</v>
      </c>
      <c r="H211" s="2" t="s">
        <v>1428</v>
      </c>
      <c r="I211" s="2" t="s">
        <v>1755</v>
      </c>
      <c r="J211" s="2" t="s">
        <v>3214</v>
      </c>
    </row>
    <row r="212" spans="1:10" ht="14.4" x14ac:dyDescent="0.3">
      <c r="A212" s="2" t="s">
        <v>8</v>
      </c>
      <c r="B212" s="2" t="s">
        <v>427</v>
      </c>
      <c r="C212" s="2" t="s">
        <v>426</v>
      </c>
      <c r="D212" s="2" t="s">
        <v>1410</v>
      </c>
      <c r="E212" s="2" t="s">
        <v>4684</v>
      </c>
      <c r="F212" s="2" t="s">
        <v>4694</v>
      </c>
      <c r="G212" s="2" t="s">
        <v>1418</v>
      </c>
      <c r="H212" s="2" t="s">
        <v>1464</v>
      </c>
      <c r="I212" s="2" t="s">
        <v>1755</v>
      </c>
      <c r="J212" s="2" t="s">
        <v>2018</v>
      </c>
    </row>
    <row r="213" spans="1:10" ht="14.4" x14ac:dyDescent="0.3">
      <c r="A213" s="2" t="s">
        <v>71</v>
      </c>
      <c r="B213" s="2" t="s">
        <v>432</v>
      </c>
      <c r="C213" s="2" t="s">
        <v>431</v>
      </c>
      <c r="D213" s="2" t="s">
        <v>1410</v>
      </c>
      <c r="E213" s="2" t="s">
        <v>1826</v>
      </c>
      <c r="F213" s="2" t="s">
        <v>4587</v>
      </c>
      <c r="G213" s="2" t="s">
        <v>2769</v>
      </c>
      <c r="H213" s="2" t="s">
        <v>4487</v>
      </c>
      <c r="I213" s="2" t="s">
        <v>4436</v>
      </c>
      <c r="J213" s="2" t="s">
        <v>2018</v>
      </c>
    </row>
    <row r="214" spans="1:10" ht="14.4" x14ac:dyDescent="0.3">
      <c r="A214" s="2" t="s">
        <v>31</v>
      </c>
      <c r="B214" s="2" t="s">
        <v>434</v>
      </c>
      <c r="C214" s="2" t="s">
        <v>433</v>
      </c>
      <c r="D214" s="2" t="s">
        <v>1410</v>
      </c>
      <c r="E214" s="2" t="s">
        <v>1532</v>
      </c>
      <c r="F214" s="2" t="s">
        <v>3247</v>
      </c>
      <c r="G214" s="2" t="s">
        <v>4475</v>
      </c>
      <c r="H214" s="2" t="s">
        <v>1464</v>
      </c>
      <c r="I214" s="2" t="s">
        <v>1755</v>
      </c>
      <c r="J214" s="2" t="s">
        <v>2018</v>
      </c>
    </row>
    <row r="215" spans="1:10" ht="14.4" x14ac:dyDescent="0.3">
      <c r="A215" s="2" t="s">
        <v>25</v>
      </c>
      <c r="B215" s="2" t="s">
        <v>436</v>
      </c>
      <c r="C215" s="2" t="s">
        <v>435</v>
      </c>
      <c r="D215" s="2" t="s">
        <v>1410</v>
      </c>
      <c r="E215" s="2" t="s">
        <v>3238</v>
      </c>
      <c r="F215" s="2" t="s">
        <v>4472</v>
      </c>
      <c r="G215" s="2" t="s">
        <v>2047</v>
      </c>
      <c r="H215" s="2" t="s">
        <v>1464</v>
      </c>
      <c r="I215" s="2" t="s">
        <v>1755</v>
      </c>
      <c r="J215" s="2" t="s">
        <v>2018</v>
      </c>
    </row>
    <row r="216" spans="1:10" ht="14.4" x14ac:dyDescent="0.3">
      <c r="A216" s="2" t="s">
        <v>170</v>
      </c>
      <c r="B216" s="2" t="s">
        <v>440</v>
      </c>
      <c r="C216" s="2" t="s">
        <v>439</v>
      </c>
      <c r="D216" s="2" t="s">
        <v>1410</v>
      </c>
      <c r="E216" s="2" t="s">
        <v>5221</v>
      </c>
      <c r="F216" s="2" t="s">
        <v>5222</v>
      </c>
      <c r="G216" s="2" t="s">
        <v>2991</v>
      </c>
      <c r="H216" s="2" t="s">
        <v>1452</v>
      </c>
      <c r="I216" s="2" t="s">
        <v>1755</v>
      </c>
      <c r="J216" s="2" t="s">
        <v>1551</v>
      </c>
    </row>
    <row r="217" spans="1:10" ht="14.4" x14ac:dyDescent="0.3">
      <c r="A217" s="2" t="s">
        <v>170</v>
      </c>
      <c r="B217" s="2" t="s">
        <v>442</v>
      </c>
      <c r="C217" s="2" t="s">
        <v>441</v>
      </c>
      <c r="D217" s="2" t="s">
        <v>1410</v>
      </c>
      <c r="E217" s="2" t="s">
        <v>4076</v>
      </c>
      <c r="F217" s="2" t="s">
        <v>2837</v>
      </c>
      <c r="G217" s="2" t="s">
        <v>2413</v>
      </c>
      <c r="H217" s="2" t="s">
        <v>1464</v>
      </c>
      <c r="I217" s="2" t="s">
        <v>1755</v>
      </c>
      <c r="J217" s="2" t="s">
        <v>2018</v>
      </c>
    </row>
    <row r="218" spans="1:10" ht="14.4" x14ac:dyDescent="0.3">
      <c r="A218" s="2" t="s">
        <v>31</v>
      </c>
      <c r="B218" s="2" t="s">
        <v>444</v>
      </c>
      <c r="C218" s="2" t="s">
        <v>443</v>
      </c>
      <c r="D218" s="2" t="s">
        <v>1410</v>
      </c>
      <c r="E218" s="2" t="s">
        <v>4793</v>
      </c>
      <c r="F218" s="2" t="s">
        <v>4794</v>
      </c>
      <c r="G218" s="2" t="s">
        <v>4795</v>
      </c>
      <c r="H218" s="2" t="s">
        <v>1452</v>
      </c>
      <c r="I218" s="2" t="s">
        <v>1755</v>
      </c>
      <c r="J218" s="2" t="s">
        <v>1551</v>
      </c>
    </row>
    <row r="219" spans="1:10" ht="14.4" x14ac:dyDescent="0.3">
      <c r="A219" s="2" t="s">
        <v>25</v>
      </c>
      <c r="B219" s="2" t="s">
        <v>446</v>
      </c>
      <c r="C219" s="2" t="s">
        <v>445</v>
      </c>
      <c r="D219" s="2" t="s">
        <v>1410</v>
      </c>
      <c r="E219" s="2" t="s">
        <v>4334</v>
      </c>
      <c r="F219" s="2" t="s">
        <v>5420</v>
      </c>
      <c r="G219" s="2" t="s">
        <v>5421</v>
      </c>
      <c r="H219" s="2" t="s">
        <v>4535</v>
      </c>
      <c r="I219" s="2" t="s">
        <v>4471</v>
      </c>
      <c r="J219" s="2" t="s">
        <v>1551</v>
      </c>
    </row>
    <row r="220" spans="1:10" ht="14.4" x14ac:dyDescent="0.3">
      <c r="A220" s="2" t="s">
        <v>8</v>
      </c>
      <c r="B220" s="2" t="s">
        <v>448</v>
      </c>
      <c r="C220" s="2" t="s">
        <v>447</v>
      </c>
      <c r="D220" s="2" t="s">
        <v>1410</v>
      </c>
      <c r="E220" s="2" t="s">
        <v>1952</v>
      </c>
      <c r="F220" s="2" t="s">
        <v>1950</v>
      </c>
      <c r="G220" s="2" t="s">
        <v>4666</v>
      </c>
      <c r="H220" s="2" t="s">
        <v>4494</v>
      </c>
      <c r="I220" s="2" t="s">
        <v>4471</v>
      </c>
      <c r="J220" s="2" t="s">
        <v>2018</v>
      </c>
    </row>
    <row r="221" spans="1:10" ht="14.4" x14ac:dyDescent="0.3">
      <c r="A221" s="2" t="s">
        <v>8</v>
      </c>
      <c r="B221" s="2" t="s">
        <v>452</v>
      </c>
      <c r="C221" s="2" t="s">
        <v>451</v>
      </c>
      <c r="D221" s="2" t="s">
        <v>1410</v>
      </c>
      <c r="E221" s="2" t="s">
        <v>4677</v>
      </c>
      <c r="F221" s="2" t="s">
        <v>4681</v>
      </c>
      <c r="G221" s="2" t="s">
        <v>4682</v>
      </c>
      <c r="H221" s="2" t="s">
        <v>1464</v>
      </c>
      <c r="I221" s="2" t="s">
        <v>1755</v>
      </c>
      <c r="J221" s="2" t="s">
        <v>2018</v>
      </c>
    </row>
    <row r="222" spans="1:10" ht="14.4" x14ac:dyDescent="0.3">
      <c r="A222" s="2" t="s">
        <v>19</v>
      </c>
      <c r="B222" s="2" t="s">
        <v>454</v>
      </c>
      <c r="C222" s="2" t="s">
        <v>453</v>
      </c>
      <c r="D222" s="2" t="s">
        <v>1410</v>
      </c>
      <c r="E222" s="2" t="s">
        <v>1880</v>
      </c>
      <c r="F222" s="2" t="s">
        <v>1885</v>
      </c>
      <c r="G222" s="2" t="s">
        <v>1515</v>
      </c>
      <c r="H222" s="2" t="s">
        <v>1464</v>
      </c>
      <c r="I222" s="2" t="s">
        <v>1755</v>
      </c>
      <c r="J222" s="2" t="s">
        <v>2018</v>
      </c>
    </row>
    <row r="223" spans="1:10" ht="28.8" x14ac:dyDescent="0.3">
      <c r="A223" s="2" t="s">
        <v>8</v>
      </c>
      <c r="B223" s="2" t="s">
        <v>458</v>
      </c>
      <c r="C223" s="2" t="s">
        <v>457</v>
      </c>
      <c r="D223" s="2" t="s">
        <v>1410</v>
      </c>
      <c r="E223" s="2" t="s">
        <v>4651</v>
      </c>
      <c r="F223" s="2" t="s">
        <v>4652</v>
      </c>
      <c r="G223" s="2" t="s">
        <v>1621</v>
      </c>
      <c r="H223" s="2" t="s">
        <v>1452</v>
      </c>
      <c r="I223" s="2" t="s">
        <v>1755</v>
      </c>
      <c r="J223" s="2" t="s">
        <v>1551</v>
      </c>
    </row>
    <row r="224" spans="1:10" ht="14.4" x14ac:dyDescent="0.3">
      <c r="A224" s="2" t="s">
        <v>11</v>
      </c>
      <c r="B224" s="2" t="s">
        <v>460</v>
      </c>
      <c r="C224" s="2" t="s">
        <v>459</v>
      </c>
      <c r="D224" s="2" t="s">
        <v>1410</v>
      </c>
      <c r="E224" s="2" t="s">
        <v>1930</v>
      </c>
      <c r="F224" s="2" t="s">
        <v>4649</v>
      </c>
      <c r="G224" s="2" t="s">
        <v>4650</v>
      </c>
      <c r="H224" s="2" t="s">
        <v>4494</v>
      </c>
      <c r="I224" s="2" t="s">
        <v>4471</v>
      </c>
      <c r="J224" s="2" t="s">
        <v>2018</v>
      </c>
    </row>
    <row r="225" spans="1:10" ht="14.4" x14ac:dyDescent="0.3">
      <c r="A225" s="2" t="s">
        <v>42</v>
      </c>
      <c r="B225" s="2" t="s">
        <v>462</v>
      </c>
      <c r="C225" s="2" t="s">
        <v>461</v>
      </c>
      <c r="D225" s="2" t="s">
        <v>1410</v>
      </c>
      <c r="E225" s="2" t="s">
        <v>4505</v>
      </c>
      <c r="F225" s="2" t="s">
        <v>3283</v>
      </c>
      <c r="G225" s="2" t="s">
        <v>4506</v>
      </c>
      <c r="H225" s="2" t="s">
        <v>4494</v>
      </c>
      <c r="I225" s="2" t="s">
        <v>4471</v>
      </c>
      <c r="J225" s="2" t="s">
        <v>2018</v>
      </c>
    </row>
    <row r="226" spans="1:10" ht="14.4" x14ac:dyDescent="0.3">
      <c r="A226" s="2" t="s">
        <v>123</v>
      </c>
      <c r="B226" s="2" t="s">
        <v>464</v>
      </c>
      <c r="C226" s="2" t="s">
        <v>463</v>
      </c>
      <c r="D226" s="2" t="s">
        <v>1410</v>
      </c>
      <c r="E226" s="2" t="s">
        <v>4511</v>
      </c>
      <c r="F226" s="2" t="s">
        <v>4510</v>
      </c>
      <c r="G226" s="2" t="s">
        <v>4512</v>
      </c>
      <c r="H226" s="2" t="s">
        <v>4435</v>
      </c>
      <c r="I226" s="2" t="s">
        <v>4436</v>
      </c>
      <c r="J226" s="2" t="s">
        <v>1551</v>
      </c>
    </row>
    <row r="227" spans="1:10" ht="14.4" x14ac:dyDescent="0.3">
      <c r="A227" s="2" t="s">
        <v>170</v>
      </c>
      <c r="B227" s="2" t="s">
        <v>466</v>
      </c>
      <c r="C227" s="2" t="s">
        <v>465</v>
      </c>
      <c r="D227" s="2" t="s">
        <v>1410</v>
      </c>
      <c r="E227" s="2" t="s">
        <v>4645</v>
      </c>
      <c r="F227" s="2" t="s">
        <v>4646</v>
      </c>
      <c r="G227" s="2" t="s">
        <v>3978</v>
      </c>
      <c r="H227" s="2" t="s">
        <v>4494</v>
      </c>
      <c r="I227" s="2" t="s">
        <v>4471</v>
      </c>
      <c r="J227" s="2" t="s">
        <v>2018</v>
      </c>
    </row>
    <row r="228" spans="1:10" ht="14.4" x14ac:dyDescent="0.3">
      <c r="A228" s="2" t="s">
        <v>55</v>
      </c>
      <c r="B228" s="2" t="s">
        <v>468</v>
      </c>
      <c r="C228" s="2" t="s">
        <v>467</v>
      </c>
      <c r="D228" s="2" t="s">
        <v>1410</v>
      </c>
      <c r="E228" s="2" t="s">
        <v>4667</v>
      </c>
      <c r="F228" s="2" t="s">
        <v>4668</v>
      </c>
      <c r="G228" s="2" t="s">
        <v>2322</v>
      </c>
      <c r="H228" s="2" t="s">
        <v>1464</v>
      </c>
      <c r="I228" s="2" t="s">
        <v>1755</v>
      </c>
      <c r="J228" s="2" t="s">
        <v>2018</v>
      </c>
    </row>
    <row r="229" spans="1:10" ht="14.4" x14ac:dyDescent="0.3">
      <c r="A229" s="2" t="s">
        <v>471</v>
      </c>
      <c r="B229" s="2" t="s">
        <v>470</v>
      </c>
      <c r="C229" s="2" t="s">
        <v>469</v>
      </c>
      <c r="D229" s="2" t="s">
        <v>1410</v>
      </c>
      <c r="E229" s="2" t="s">
        <v>4447</v>
      </c>
      <c r="F229" s="2" t="s">
        <v>4448</v>
      </c>
      <c r="G229" s="2" t="s">
        <v>3082</v>
      </c>
      <c r="H229" s="2" t="s">
        <v>1488</v>
      </c>
      <c r="I229" s="2" t="s">
        <v>1843</v>
      </c>
      <c r="J229" s="2" t="s">
        <v>1551</v>
      </c>
    </row>
    <row r="230" spans="1:10" ht="14.4" x14ac:dyDescent="0.3">
      <c r="A230" s="2" t="s">
        <v>471</v>
      </c>
      <c r="B230" s="2" t="s">
        <v>470</v>
      </c>
      <c r="C230" s="2" t="s">
        <v>469</v>
      </c>
      <c r="D230" s="2" t="s">
        <v>1410</v>
      </c>
      <c r="E230" s="2" t="s">
        <v>4449</v>
      </c>
      <c r="F230" s="2" t="s">
        <v>4450</v>
      </c>
      <c r="G230" s="2" t="s">
        <v>4451</v>
      </c>
      <c r="H230" s="2" t="s">
        <v>1464</v>
      </c>
      <c r="I230" s="2" t="s">
        <v>1755</v>
      </c>
      <c r="J230" s="2" t="s">
        <v>2018</v>
      </c>
    </row>
    <row r="231" spans="1:10" ht="14.4" x14ac:dyDescent="0.3">
      <c r="A231" s="2" t="s">
        <v>8</v>
      </c>
      <c r="B231" s="2" t="s">
        <v>473</v>
      </c>
      <c r="C231" s="2" t="s">
        <v>472</v>
      </c>
      <c r="D231" s="2" t="s">
        <v>1410</v>
      </c>
      <c r="E231" s="2" t="s">
        <v>5184</v>
      </c>
      <c r="F231" s="2" t="s">
        <v>5185</v>
      </c>
      <c r="G231" s="2" t="s">
        <v>5186</v>
      </c>
      <c r="H231" s="2" t="s">
        <v>4535</v>
      </c>
      <c r="I231" s="2" t="s">
        <v>4471</v>
      </c>
      <c r="J231" s="2" t="s">
        <v>1551</v>
      </c>
    </row>
    <row r="232" spans="1:10" ht="14.4" x14ac:dyDescent="0.3">
      <c r="A232" s="2" t="s">
        <v>42</v>
      </c>
      <c r="B232" s="2" t="s">
        <v>475</v>
      </c>
      <c r="C232" s="2" t="s">
        <v>474</v>
      </c>
      <c r="D232" s="2" t="s">
        <v>1410</v>
      </c>
      <c r="E232" s="2" t="s">
        <v>4661</v>
      </c>
      <c r="F232" s="2" t="s">
        <v>1952</v>
      </c>
      <c r="G232" s="2" t="s">
        <v>2949</v>
      </c>
      <c r="H232" s="2" t="s">
        <v>1464</v>
      </c>
      <c r="I232" s="2" t="s">
        <v>1755</v>
      </c>
      <c r="J232" s="2" t="s">
        <v>2018</v>
      </c>
    </row>
    <row r="233" spans="1:10" ht="14.4" x14ac:dyDescent="0.3">
      <c r="A233" s="2" t="s">
        <v>8</v>
      </c>
      <c r="B233" s="2" t="s">
        <v>477</v>
      </c>
      <c r="C233" s="2" t="s">
        <v>476</v>
      </c>
      <c r="D233" s="2" t="s">
        <v>1410</v>
      </c>
      <c r="E233" s="2" t="s">
        <v>2238</v>
      </c>
      <c r="F233" s="2" t="s">
        <v>4792</v>
      </c>
      <c r="G233" s="2" t="s">
        <v>1743</v>
      </c>
      <c r="H233" s="2" t="s">
        <v>4535</v>
      </c>
      <c r="I233" s="2" t="s">
        <v>4471</v>
      </c>
      <c r="J233" s="2" t="s">
        <v>1551</v>
      </c>
    </row>
    <row r="234" spans="1:10" ht="14.4" x14ac:dyDescent="0.3">
      <c r="A234" s="2" t="s">
        <v>42</v>
      </c>
      <c r="B234" s="2" t="s">
        <v>479</v>
      </c>
      <c r="C234" s="2" t="s">
        <v>478</v>
      </c>
      <c r="D234" s="2" t="s">
        <v>1410</v>
      </c>
      <c r="E234" s="2" t="s">
        <v>5159</v>
      </c>
      <c r="F234" s="2" t="s">
        <v>5160</v>
      </c>
      <c r="G234" s="2" t="s">
        <v>5161</v>
      </c>
      <c r="H234" s="2" t="s">
        <v>1908</v>
      </c>
      <c r="I234" s="2" t="s">
        <v>1551</v>
      </c>
      <c r="J234" s="2" t="s">
        <v>1506</v>
      </c>
    </row>
    <row r="235" spans="1:10" ht="14.4" x14ac:dyDescent="0.3">
      <c r="A235" s="2" t="s">
        <v>55</v>
      </c>
      <c r="B235" s="2" t="s">
        <v>481</v>
      </c>
      <c r="C235" s="2" t="s">
        <v>480</v>
      </c>
      <c r="D235" s="2" t="s">
        <v>1410</v>
      </c>
      <c r="E235" s="2" t="s">
        <v>4634</v>
      </c>
      <c r="F235" s="2" t="s">
        <v>1901</v>
      </c>
      <c r="G235" s="2" t="s">
        <v>1515</v>
      </c>
      <c r="H235" s="2" t="s">
        <v>1464</v>
      </c>
      <c r="I235" s="2" t="s">
        <v>1755</v>
      </c>
      <c r="J235" s="2" t="s">
        <v>2018</v>
      </c>
    </row>
    <row r="236" spans="1:10" ht="14.4" x14ac:dyDescent="0.3">
      <c r="A236" s="2" t="s">
        <v>11</v>
      </c>
      <c r="B236" s="2" t="s">
        <v>483</v>
      </c>
      <c r="C236" s="2" t="s">
        <v>482</v>
      </c>
      <c r="D236" s="2" t="s">
        <v>1410</v>
      </c>
      <c r="E236" s="2" t="s">
        <v>1535</v>
      </c>
      <c r="F236" s="2" t="s">
        <v>4481</v>
      </c>
      <c r="G236" s="2" t="s">
        <v>4458</v>
      </c>
      <c r="H236" s="2" t="s">
        <v>1755</v>
      </c>
      <c r="I236" s="2" t="s">
        <v>1755</v>
      </c>
      <c r="J236" s="2" t="s">
        <v>1414</v>
      </c>
    </row>
    <row r="237" spans="1:10" ht="14.4" x14ac:dyDescent="0.3">
      <c r="A237" s="2" t="s">
        <v>11</v>
      </c>
      <c r="B237" s="2" t="s">
        <v>483</v>
      </c>
      <c r="C237" s="2" t="s">
        <v>482</v>
      </c>
      <c r="D237" s="2" t="s">
        <v>1410</v>
      </c>
      <c r="E237" s="2" t="s">
        <v>4485</v>
      </c>
      <c r="F237" s="2" t="s">
        <v>4486</v>
      </c>
      <c r="G237" s="2" t="s">
        <v>1584</v>
      </c>
      <c r="H237" s="2" t="s">
        <v>1464</v>
      </c>
      <c r="I237" s="2" t="s">
        <v>1755</v>
      </c>
      <c r="J237" s="2" t="s">
        <v>2018</v>
      </c>
    </row>
    <row r="238" spans="1:10" ht="14.4" x14ac:dyDescent="0.3">
      <c r="A238" s="2" t="s">
        <v>31</v>
      </c>
      <c r="B238" s="2" t="s">
        <v>485</v>
      </c>
      <c r="C238" s="2" t="s">
        <v>484</v>
      </c>
      <c r="D238" s="2" t="s">
        <v>1410</v>
      </c>
      <c r="E238" s="2" t="s">
        <v>4883</v>
      </c>
      <c r="F238" s="2" t="s">
        <v>4885</v>
      </c>
      <c r="G238" s="2" t="s">
        <v>4886</v>
      </c>
      <c r="H238" s="2" t="s">
        <v>1464</v>
      </c>
      <c r="I238" s="2" t="s">
        <v>1755</v>
      </c>
      <c r="J238" s="2" t="s">
        <v>2018</v>
      </c>
    </row>
    <row r="239" spans="1:10" ht="14.4" x14ac:dyDescent="0.3">
      <c r="A239" s="2" t="s">
        <v>8</v>
      </c>
      <c r="B239" s="2" t="s">
        <v>487</v>
      </c>
      <c r="C239" s="2" t="s">
        <v>486</v>
      </c>
      <c r="D239" s="2" t="s">
        <v>1410</v>
      </c>
      <c r="E239" s="2" t="s">
        <v>4700</v>
      </c>
      <c r="F239" s="2" t="s">
        <v>4701</v>
      </c>
      <c r="G239" s="2" t="s">
        <v>1766</v>
      </c>
      <c r="H239" s="2" t="s">
        <v>1464</v>
      </c>
      <c r="I239" s="2" t="s">
        <v>1755</v>
      </c>
      <c r="J239" s="2" t="s">
        <v>2018</v>
      </c>
    </row>
    <row r="240" spans="1:10" ht="14.4" x14ac:dyDescent="0.3">
      <c r="A240" s="2" t="s">
        <v>490</v>
      </c>
      <c r="B240" s="2" t="s">
        <v>489</v>
      </c>
      <c r="C240" s="2" t="s">
        <v>488</v>
      </c>
      <c r="D240" s="2" t="s">
        <v>1410</v>
      </c>
      <c r="E240" s="2" t="s">
        <v>4883</v>
      </c>
      <c r="F240" s="2" t="s">
        <v>3666</v>
      </c>
      <c r="G240" s="2" t="s">
        <v>4884</v>
      </c>
      <c r="H240" s="2" t="s">
        <v>1464</v>
      </c>
      <c r="I240" s="2" t="s">
        <v>1755</v>
      </c>
      <c r="J240" s="2" t="s">
        <v>2018</v>
      </c>
    </row>
    <row r="241" spans="1:10" ht="14.4" x14ac:dyDescent="0.3">
      <c r="A241" s="2" t="s">
        <v>31</v>
      </c>
      <c r="B241" s="2" t="s">
        <v>492</v>
      </c>
      <c r="C241" s="2" t="s">
        <v>491</v>
      </c>
      <c r="D241" s="2" t="s">
        <v>1410</v>
      </c>
      <c r="E241" s="2" t="s">
        <v>4486</v>
      </c>
      <c r="F241" s="2" t="s">
        <v>1582</v>
      </c>
      <c r="G241" s="2" t="s">
        <v>2693</v>
      </c>
      <c r="H241" s="2" t="s">
        <v>4487</v>
      </c>
      <c r="I241" s="2" t="s">
        <v>4436</v>
      </c>
      <c r="J241" s="2" t="s">
        <v>2018</v>
      </c>
    </row>
    <row r="242" spans="1:10" ht="14.4" x14ac:dyDescent="0.3">
      <c r="A242" s="2" t="s">
        <v>8</v>
      </c>
      <c r="B242" s="2" t="s">
        <v>496</v>
      </c>
      <c r="C242" s="2" t="s">
        <v>495</v>
      </c>
      <c r="D242" s="2" t="s">
        <v>1410</v>
      </c>
      <c r="E242" s="2" t="s">
        <v>4482</v>
      </c>
      <c r="F242" s="2" t="s">
        <v>4479</v>
      </c>
      <c r="G242" s="2" t="s">
        <v>4483</v>
      </c>
      <c r="H242" s="2" t="s">
        <v>1464</v>
      </c>
      <c r="I242" s="2" t="s">
        <v>1755</v>
      </c>
      <c r="J242" s="2" t="s">
        <v>2018</v>
      </c>
    </row>
    <row r="243" spans="1:10" ht="14.4" x14ac:dyDescent="0.3">
      <c r="A243" s="2" t="s">
        <v>499</v>
      </c>
      <c r="B243" s="2" t="s">
        <v>498</v>
      </c>
      <c r="C243" s="2" t="s">
        <v>497</v>
      </c>
      <c r="D243" s="2" t="s">
        <v>1410</v>
      </c>
      <c r="E243" s="2" t="s">
        <v>4467</v>
      </c>
      <c r="F243" s="2" t="s">
        <v>4468</v>
      </c>
      <c r="G243" s="2" t="s">
        <v>1664</v>
      </c>
      <c r="H243" s="2" t="s">
        <v>1424</v>
      </c>
      <c r="I243" s="2" t="s">
        <v>1843</v>
      </c>
      <c r="J243" s="2" t="s">
        <v>2018</v>
      </c>
    </row>
    <row r="244" spans="1:10" ht="14.4" x14ac:dyDescent="0.3">
      <c r="A244" s="2" t="s">
        <v>49</v>
      </c>
      <c r="B244" s="2" t="s">
        <v>501</v>
      </c>
      <c r="C244" s="2" t="s">
        <v>500</v>
      </c>
      <c r="D244" s="2" t="s">
        <v>1410</v>
      </c>
      <c r="E244" s="2" t="s">
        <v>1899</v>
      </c>
      <c r="F244" s="2" t="s">
        <v>4631</v>
      </c>
      <c r="G244" s="2" t="s">
        <v>4632</v>
      </c>
      <c r="H244" s="2" t="s">
        <v>1464</v>
      </c>
      <c r="I244" s="2" t="s">
        <v>1755</v>
      </c>
      <c r="J244" s="2" t="s">
        <v>2018</v>
      </c>
    </row>
    <row r="245" spans="1:10" ht="14.4" x14ac:dyDescent="0.3">
      <c r="A245" s="2" t="s">
        <v>31</v>
      </c>
      <c r="B245" s="2" t="s">
        <v>503</v>
      </c>
      <c r="C245" s="2" t="s">
        <v>502</v>
      </c>
      <c r="D245" s="2" t="s">
        <v>1410</v>
      </c>
      <c r="E245" s="2" t="s">
        <v>4478</v>
      </c>
      <c r="F245" s="2" t="s">
        <v>4479</v>
      </c>
      <c r="G245" s="2" t="s">
        <v>4480</v>
      </c>
      <c r="H245" s="2" t="s">
        <v>1464</v>
      </c>
      <c r="I245" s="2" t="s">
        <v>1755</v>
      </c>
      <c r="J245" s="2" t="s">
        <v>2018</v>
      </c>
    </row>
    <row r="246" spans="1:10" ht="14.4" x14ac:dyDescent="0.3">
      <c r="A246" s="2" t="s">
        <v>28</v>
      </c>
      <c r="B246" s="2" t="s">
        <v>505</v>
      </c>
      <c r="C246" s="2" t="s">
        <v>504</v>
      </c>
      <c r="D246" s="2" t="s">
        <v>1410</v>
      </c>
      <c r="E246" s="2" t="s">
        <v>5176</v>
      </c>
      <c r="F246" s="2" t="s">
        <v>5177</v>
      </c>
      <c r="G246" s="2" t="s">
        <v>2305</v>
      </c>
      <c r="H246" s="2" t="s">
        <v>4496</v>
      </c>
      <c r="I246" s="2" t="s">
        <v>4436</v>
      </c>
      <c r="J246" s="2" t="s">
        <v>1599</v>
      </c>
    </row>
    <row r="247" spans="1:10" ht="14.4" x14ac:dyDescent="0.3">
      <c r="A247" s="2" t="s">
        <v>8</v>
      </c>
      <c r="B247" s="2" t="s">
        <v>511</v>
      </c>
      <c r="C247" s="2" t="s">
        <v>510</v>
      </c>
      <c r="D247" s="2" t="s">
        <v>1410</v>
      </c>
      <c r="E247" s="2" t="s">
        <v>4464</v>
      </c>
      <c r="F247" s="2" t="s">
        <v>4465</v>
      </c>
      <c r="G247" s="2" t="s">
        <v>4466</v>
      </c>
      <c r="H247" s="2" t="s">
        <v>1464</v>
      </c>
      <c r="I247" s="2" t="s">
        <v>1755</v>
      </c>
      <c r="J247" s="2" t="s">
        <v>2018</v>
      </c>
    </row>
    <row r="248" spans="1:10" ht="14.4" x14ac:dyDescent="0.3">
      <c r="A248" s="2" t="s">
        <v>170</v>
      </c>
      <c r="B248" s="2" t="s">
        <v>515</v>
      </c>
      <c r="C248" s="2" t="s">
        <v>514</v>
      </c>
      <c r="D248" s="2" t="s">
        <v>1410</v>
      </c>
      <c r="E248" s="2" t="s">
        <v>1985</v>
      </c>
      <c r="F248" s="2" t="s">
        <v>4688</v>
      </c>
      <c r="G248" s="2" t="s">
        <v>4689</v>
      </c>
      <c r="H248" s="2" t="s">
        <v>1464</v>
      </c>
      <c r="I248" s="2" t="s">
        <v>1755</v>
      </c>
      <c r="J248" s="2" t="s">
        <v>2018</v>
      </c>
    </row>
    <row r="249" spans="1:10" ht="14.4" x14ac:dyDescent="0.3">
      <c r="A249" s="2" t="s">
        <v>42</v>
      </c>
      <c r="B249" s="2" t="s">
        <v>517</v>
      </c>
      <c r="C249" s="2" t="s">
        <v>516</v>
      </c>
      <c r="D249" s="2" t="s">
        <v>1410</v>
      </c>
      <c r="E249" s="2" t="s">
        <v>4692</v>
      </c>
      <c r="F249" s="2" t="s">
        <v>2005</v>
      </c>
      <c r="G249" s="2" t="s">
        <v>4693</v>
      </c>
      <c r="H249" s="2" t="s">
        <v>1464</v>
      </c>
      <c r="I249" s="2" t="s">
        <v>1755</v>
      </c>
      <c r="J249" s="2" t="s">
        <v>2018</v>
      </c>
    </row>
    <row r="250" spans="1:10" ht="14.4" x14ac:dyDescent="0.3">
      <c r="A250" s="2" t="s">
        <v>8</v>
      </c>
      <c r="B250" s="2" t="s">
        <v>519</v>
      </c>
      <c r="C250" s="2" t="s">
        <v>518</v>
      </c>
      <c r="D250" s="2" t="s">
        <v>1410</v>
      </c>
      <c r="E250" s="2" t="s">
        <v>1620</v>
      </c>
      <c r="F250" s="2" t="s">
        <v>4505</v>
      </c>
      <c r="G250" s="2" t="s">
        <v>2709</v>
      </c>
      <c r="H250" s="2" t="s">
        <v>1419</v>
      </c>
      <c r="I250" s="2" t="s">
        <v>1755</v>
      </c>
      <c r="J250" s="2" t="s">
        <v>1599</v>
      </c>
    </row>
    <row r="251" spans="1:10" ht="14.4" x14ac:dyDescent="0.3">
      <c r="A251" s="2" t="s">
        <v>8</v>
      </c>
      <c r="B251" s="2" t="s">
        <v>521</v>
      </c>
      <c r="C251" s="2" t="s">
        <v>520</v>
      </c>
      <c r="D251" s="2" t="s">
        <v>1410</v>
      </c>
      <c r="E251" s="2" t="s">
        <v>1946</v>
      </c>
      <c r="F251" s="2" t="s">
        <v>4662</v>
      </c>
      <c r="G251" s="2" t="s">
        <v>2230</v>
      </c>
      <c r="H251" s="2" t="s">
        <v>1464</v>
      </c>
      <c r="I251" s="2" t="s">
        <v>1755</v>
      </c>
      <c r="J251" s="2" t="s">
        <v>2018</v>
      </c>
    </row>
    <row r="252" spans="1:10" ht="14.4" x14ac:dyDescent="0.3">
      <c r="A252" s="2" t="s">
        <v>8</v>
      </c>
      <c r="B252" s="2" t="s">
        <v>521</v>
      </c>
      <c r="C252" s="2" t="s">
        <v>520</v>
      </c>
      <c r="D252" s="2" t="s">
        <v>1410</v>
      </c>
      <c r="E252" s="2" t="s">
        <v>4663</v>
      </c>
      <c r="F252" s="2" t="s">
        <v>4665</v>
      </c>
      <c r="G252" s="2" t="s">
        <v>2774</v>
      </c>
      <c r="H252" s="2" t="s">
        <v>1464</v>
      </c>
      <c r="I252" s="2" t="s">
        <v>1755</v>
      </c>
      <c r="J252" s="2" t="s">
        <v>2018</v>
      </c>
    </row>
    <row r="253" spans="1:10" ht="14.4" x14ac:dyDescent="0.3">
      <c r="A253" s="2" t="s">
        <v>80</v>
      </c>
      <c r="B253" s="2" t="s">
        <v>523</v>
      </c>
      <c r="C253" s="2" t="s">
        <v>522</v>
      </c>
      <c r="D253" s="2" t="s">
        <v>1410</v>
      </c>
      <c r="E253" s="2" t="s">
        <v>3845</v>
      </c>
      <c r="F253" s="2" t="s">
        <v>2567</v>
      </c>
      <c r="G253" s="2" t="s">
        <v>1500</v>
      </c>
      <c r="H253" s="2" t="s">
        <v>4494</v>
      </c>
      <c r="I253" s="2" t="s">
        <v>4471</v>
      </c>
      <c r="J253" s="2" t="s">
        <v>2018</v>
      </c>
    </row>
    <row r="254" spans="1:10" ht="14.4" x14ac:dyDescent="0.3">
      <c r="A254" s="2" t="s">
        <v>31</v>
      </c>
      <c r="B254" s="2" t="s">
        <v>79</v>
      </c>
      <c r="C254" s="2" t="s">
        <v>524</v>
      </c>
      <c r="D254" s="2" t="s">
        <v>1410</v>
      </c>
      <c r="E254" s="2" t="s">
        <v>3403</v>
      </c>
      <c r="F254" s="2" t="s">
        <v>4612</v>
      </c>
      <c r="G254" s="2" t="s">
        <v>4613</v>
      </c>
      <c r="H254" s="2" t="s">
        <v>1464</v>
      </c>
      <c r="I254" s="2" t="s">
        <v>1755</v>
      </c>
      <c r="J254" s="2" t="s">
        <v>2018</v>
      </c>
    </row>
    <row r="255" spans="1:10" ht="14.4" x14ac:dyDescent="0.3">
      <c r="A255" s="2" t="s">
        <v>526</v>
      </c>
      <c r="B255" s="2" t="s">
        <v>79</v>
      </c>
      <c r="C255" s="2" t="s">
        <v>525</v>
      </c>
      <c r="D255" s="2" t="s">
        <v>1410</v>
      </c>
      <c r="E255" s="2" t="s">
        <v>4526</v>
      </c>
      <c r="F255" s="2" t="s">
        <v>3309</v>
      </c>
      <c r="G255" s="2" t="s">
        <v>3329</v>
      </c>
      <c r="H255" s="2" t="s">
        <v>4487</v>
      </c>
      <c r="I255" s="2" t="s">
        <v>4471</v>
      </c>
      <c r="J255" s="2" t="s">
        <v>1506</v>
      </c>
    </row>
    <row r="256" spans="1:10" ht="14.4" x14ac:dyDescent="0.3">
      <c r="A256" s="2" t="s">
        <v>528</v>
      </c>
      <c r="B256" s="2" t="s">
        <v>79</v>
      </c>
      <c r="C256" s="2" t="s">
        <v>527</v>
      </c>
      <c r="D256" s="2" t="s">
        <v>1410</v>
      </c>
      <c r="E256" s="2" t="s">
        <v>5373</v>
      </c>
      <c r="F256" s="2" t="s">
        <v>5374</v>
      </c>
      <c r="G256" s="2" t="s">
        <v>5375</v>
      </c>
      <c r="H256" s="2" t="s">
        <v>1464</v>
      </c>
      <c r="I256" s="2" t="s">
        <v>1755</v>
      </c>
      <c r="J256" s="2" t="s">
        <v>2018</v>
      </c>
    </row>
    <row r="257" spans="1:10" ht="14.4" x14ac:dyDescent="0.3">
      <c r="A257" s="2" t="s">
        <v>19</v>
      </c>
      <c r="B257" s="2" t="s">
        <v>532</v>
      </c>
      <c r="C257" s="2" t="s">
        <v>531</v>
      </c>
      <c r="D257" s="2" t="s">
        <v>1410</v>
      </c>
      <c r="E257" s="2" t="s">
        <v>2983</v>
      </c>
      <c r="F257" s="2" t="s">
        <v>2989</v>
      </c>
      <c r="G257" s="2" t="s">
        <v>3135</v>
      </c>
      <c r="H257" s="2" t="s">
        <v>1448</v>
      </c>
      <c r="I257" s="2" t="s">
        <v>1843</v>
      </c>
      <c r="J257" s="2" t="s">
        <v>1599</v>
      </c>
    </row>
    <row r="258" spans="1:10" ht="14.4" x14ac:dyDescent="0.3">
      <c r="A258" s="2" t="s">
        <v>25</v>
      </c>
      <c r="B258" s="2" t="s">
        <v>329</v>
      </c>
      <c r="C258" s="2" t="s">
        <v>535</v>
      </c>
      <c r="D258" s="2" t="s">
        <v>1410</v>
      </c>
      <c r="E258" s="2" t="s">
        <v>4276</v>
      </c>
      <c r="F258" s="2" t="s">
        <v>3042</v>
      </c>
      <c r="G258" s="2" t="s">
        <v>2564</v>
      </c>
      <c r="H258" s="2" t="s">
        <v>4838</v>
      </c>
      <c r="I258" s="2" t="s">
        <v>4471</v>
      </c>
      <c r="J258" s="2" t="s">
        <v>1599</v>
      </c>
    </row>
    <row r="259" spans="1:10" ht="14.4" x14ac:dyDescent="0.3">
      <c r="A259" s="2" t="s">
        <v>8</v>
      </c>
      <c r="B259" s="2" t="s">
        <v>537</v>
      </c>
      <c r="C259" s="2" t="s">
        <v>536</v>
      </c>
      <c r="D259" s="2" t="s">
        <v>1410</v>
      </c>
      <c r="E259" s="2" t="s">
        <v>1728</v>
      </c>
      <c r="F259" s="2" t="s">
        <v>1767</v>
      </c>
      <c r="G259" s="2" t="s">
        <v>4545</v>
      </c>
      <c r="H259" s="2" t="s">
        <v>1755</v>
      </c>
      <c r="I259" s="2" t="s">
        <v>1755</v>
      </c>
      <c r="J259" s="2" t="s">
        <v>1414</v>
      </c>
    </row>
    <row r="260" spans="1:10" ht="14.4" x14ac:dyDescent="0.3">
      <c r="A260" s="2" t="s">
        <v>55</v>
      </c>
      <c r="B260" s="2" t="s">
        <v>544</v>
      </c>
      <c r="C260" s="2" t="s">
        <v>543</v>
      </c>
      <c r="D260" s="2" t="s">
        <v>1410</v>
      </c>
      <c r="E260" s="2" t="s">
        <v>1634</v>
      </c>
      <c r="F260" s="2" t="s">
        <v>1631</v>
      </c>
      <c r="G260" s="2" t="s">
        <v>4513</v>
      </c>
      <c r="H260" s="2" t="s">
        <v>1414</v>
      </c>
      <c r="I260" s="2" t="s">
        <v>1414</v>
      </c>
      <c r="J260" s="2" t="s">
        <v>1414</v>
      </c>
    </row>
    <row r="261" spans="1:10" ht="14.4" x14ac:dyDescent="0.3">
      <c r="A261" s="2" t="s">
        <v>547</v>
      </c>
      <c r="B261" s="2" t="s">
        <v>546</v>
      </c>
      <c r="C261" s="2" t="s">
        <v>545</v>
      </c>
      <c r="D261" s="2" t="s">
        <v>1410</v>
      </c>
      <c r="E261" s="2" t="s">
        <v>4514</v>
      </c>
      <c r="F261" s="2" t="s">
        <v>4515</v>
      </c>
      <c r="G261" s="2" t="s">
        <v>4516</v>
      </c>
      <c r="H261" s="2" t="s">
        <v>4436</v>
      </c>
      <c r="I261" s="2" t="s">
        <v>4436</v>
      </c>
      <c r="J261" s="2" t="s">
        <v>1414</v>
      </c>
    </row>
    <row r="262" spans="1:10" ht="14.4" x14ac:dyDescent="0.3">
      <c r="A262" s="2" t="s">
        <v>28</v>
      </c>
      <c r="B262" s="2" t="s">
        <v>271</v>
      </c>
      <c r="C262" s="2" t="s">
        <v>556</v>
      </c>
      <c r="D262" s="2" t="s">
        <v>1410</v>
      </c>
      <c r="E262" s="2" t="s">
        <v>2257</v>
      </c>
      <c r="F262" s="2" t="s">
        <v>4808</v>
      </c>
      <c r="G262" s="2" t="s">
        <v>2153</v>
      </c>
      <c r="H262" s="2" t="s">
        <v>1424</v>
      </c>
      <c r="I262" s="2" t="s">
        <v>1843</v>
      </c>
      <c r="J262" s="2" t="s">
        <v>2018</v>
      </c>
    </row>
    <row r="263" spans="1:10" ht="14.4" x14ac:dyDescent="0.3">
      <c r="A263" s="2" t="s">
        <v>8</v>
      </c>
      <c r="B263" s="2" t="s">
        <v>558</v>
      </c>
      <c r="C263" s="2" t="s">
        <v>557</v>
      </c>
      <c r="D263" s="2" t="s">
        <v>1410</v>
      </c>
      <c r="E263" s="2" t="s">
        <v>5093</v>
      </c>
      <c r="F263" s="2" t="s">
        <v>5094</v>
      </c>
      <c r="G263" s="2" t="s">
        <v>5095</v>
      </c>
      <c r="H263" s="2" t="s">
        <v>4494</v>
      </c>
      <c r="I263" s="2" t="s">
        <v>4471</v>
      </c>
      <c r="J263" s="2" t="s">
        <v>2018</v>
      </c>
    </row>
    <row r="264" spans="1:10" ht="14.4" x14ac:dyDescent="0.3">
      <c r="A264" s="2" t="s">
        <v>8</v>
      </c>
      <c r="B264" s="2" t="s">
        <v>558</v>
      </c>
      <c r="C264" s="2" t="s">
        <v>557</v>
      </c>
      <c r="D264" s="2" t="s">
        <v>1410</v>
      </c>
      <c r="E264" s="2" t="s">
        <v>5096</v>
      </c>
      <c r="F264" s="2" t="s">
        <v>5097</v>
      </c>
      <c r="G264" s="2" t="s">
        <v>4691</v>
      </c>
      <c r="H264" s="2" t="s">
        <v>1464</v>
      </c>
      <c r="I264" s="2" t="s">
        <v>1755</v>
      </c>
      <c r="J264" s="2" t="s">
        <v>2018</v>
      </c>
    </row>
    <row r="265" spans="1:10" ht="14.4" x14ac:dyDescent="0.3">
      <c r="A265" s="2" t="s">
        <v>8</v>
      </c>
      <c r="B265" s="2" t="s">
        <v>560</v>
      </c>
      <c r="C265" s="2" t="s">
        <v>559</v>
      </c>
      <c r="D265" s="2" t="s">
        <v>1410</v>
      </c>
      <c r="E265" s="2" t="s">
        <v>5190</v>
      </c>
      <c r="F265" s="2" t="s">
        <v>5191</v>
      </c>
      <c r="G265" s="2" t="s">
        <v>5192</v>
      </c>
      <c r="H265" s="2" t="s">
        <v>1452</v>
      </c>
      <c r="I265" s="2" t="s">
        <v>1755</v>
      </c>
      <c r="J265" s="2" t="s">
        <v>1551</v>
      </c>
    </row>
    <row r="266" spans="1:10" ht="14.4" x14ac:dyDescent="0.3">
      <c r="A266" s="2" t="s">
        <v>563</v>
      </c>
      <c r="B266" s="2" t="s">
        <v>562</v>
      </c>
      <c r="C266" s="2" t="s">
        <v>561</v>
      </c>
      <c r="D266" s="2" t="s">
        <v>1410</v>
      </c>
      <c r="E266" s="2" t="s">
        <v>4509</v>
      </c>
      <c r="F266" s="2" t="s">
        <v>4510</v>
      </c>
      <c r="G266" s="2" t="s">
        <v>4470</v>
      </c>
      <c r="H266" s="2" t="s">
        <v>1464</v>
      </c>
      <c r="I266" s="2" t="s">
        <v>1755</v>
      </c>
      <c r="J266" s="2" t="s">
        <v>2018</v>
      </c>
    </row>
    <row r="267" spans="1:10" ht="14.4" x14ac:dyDescent="0.3">
      <c r="A267" s="2" t="s">
        <v>42</v>
      </c>
      <c r="B267" s="2" t="s">
        <v>565</v>
      </c>
      <c r="C267" s="2" t="s">
        <v>564</v>
      </c>
      <c r="D267" s="2" t="s">
        <v>1410</v>
      </c>
      <c r="E267" s="2" t="s">
        <v>4654</v>
      </c>
      <c r="F267" s="2" t="s">
        <v>4655</v>
      </c>
      <c r="G267" s="2" t="s">
        <v>4656</v>
      </c>
      <c r="H267" s="2" t="s">
        <v>1606</v>
      </c>
      <c r="I267" s="2" t="s">
        <v>1843</v>
      </c>
      <c r="J267" s="2" t="s">
        <v>2062</v>
      </c>
    </row>
    <row r="268" spans="1:10" ht="14.4" x14ac:dyDescent="0.3">
      <c r="A268" s="2" t="s">
        <v>49</v>
      </c>
      <c r="B268" s="2" t="s">
        <v>567</v>
      </c>
      <c r="C268" s="2" t="s">
        <v>566</v>
      </c>
      <c r="D268" s="2" t="s">
        <v>1410</v>
      </c>
      <c r="E268" s="2" t="s">
        <v>4617</v>
      </c>
      <c r="F268" s="2" t="s">
        <v>4619</v>
      </c>
      <c r="G268" s="2" t="s">
        <v>4620</v>
      </c>
      <c r="H268" s="2" t="s">
        <v>1464</v>
      </c>
      <c r="I268" s="2" t="s">
        <v>1755</v>
      </c>
      <c r="J268" s="2" t="s">
        <v>2018</v>
      </c>
    </row>
    <row r="269" spans="1:10" ht="14.4" x14ac:dyDescent="0.3">
      <c r="A269" s="2" t="s">
        <v>11</v>
      </c>
      <c r="B269" s="2" t="s">
        <v>569</v>
      </c>
      <c r="C269" s="2" t="s">
        <v>568</v>
      </c>
      <c r="D269" s="2" t="s">
        <v>1410</v>
      </c>
      <c r="E269" s="2" t="s">
        <v>5089</v>
      </c>
      <c r="F269" s="2" t="s">
        <v>3925</v>
      </c>
      <c r="G269" s="2" t="s">
        <v>5090</v>
      </c>
      <c r="H269" s="2" t="s">
        <v>4494</v>
      </c>
      <c r="I269" s="2" t="s">
        <v>4471</v>
      </c>
      <c r="J269" s="2" t="s">
        <v>2018</v>
      </c>
    </row>
    <row r="270" spans="1:10" ht="14.4" x14ac:dyDescent="0.3">
      <c r="A270" s="2" t="s">
        <v>55</v>
      </c>
      <c r="B270" s="2" t="s">
        <v>569</v>
      </c>
      <c r="C270" s="2" t="s">
        <v>570</v>
      </c>
      <c r="D270" s="2" t="s">
        <v>1410</v>
      </c>
      <c r="E270" s="2" t="s">
        <v>2641</v>
      </c>
      <c r="F270" s="2" t="s">
        <v>3914</v>
      </c>
      <c r="G270" s="2" t="s">
        <v>4463</v>
      </c>
      <c r="H270" s="2" t="s">
        <v>1464</v>
      </c>
      <c r="I270" s="2" t="s">
        <v>1755</v>
      </c>
      <c r="J270" s="2" t="s">
        <v>2018</v>
      </c>
    </row>
    <row r="271" spans="1:10" ht="14.4" x14ac:dyDescent="0.3">
      <c r="A271" s="2" t="s">
        <v>42</v>
      </c>
      <c r="B271" s="2" t="s">
        <v>572</v>
      </c>
      <c r="C271" s="2" t="s">
        <v>571</v>
      </c>
      <c r="D271" s="2" t="s">
        <v>1410</v>
      </c>
      <c r="E271" s="2" t="s">
        <v>4315</v>
      </c>
      <c r="F271" s="2" t="s">
        <v>4317</v>
      </c>
      <c r="G271" s="2" t="s">
        <v>2795</v>
      </c>
      <c r="H271" s="2" t="s">
        <v>1438</v>
      </c>
      <c r="I271" s="2" t="s">
        <v>1551</v>
      </c>
      <c r="J271" s="2" t="s">
        <v>2018</v>
      </c>
    </row>
    <row r="272" spans="1:10" ht="14.4" x14ac:dyDescent="0.3">
      <c r="A272" s="2" t="s">
        <v>575</v>
      </c>
      <c r="B272" s="2" t="s">
        <v>574</v>
      </c>
      <c r="C272" s="2" t="s">
        <v>573</v>
      </c>
      <c r="D272" s="2" t="s">
        <v>1410</v>
      </c>
      <c r="E272" s="2" t="s">
        <v>5234</v>
      </c>
      <c r="F272" s="2" t="s">
        <v>2832</v>
      </c>
      <c r="G272" s="2" t="s">
        <v>5235</v>
      </c>
      <c r="H272" s="2" t="s">
        <v>1464</v>
      </c>
      <c r="I272" s="2" t="s">
        <v>1755</v>
      </c>
      <c r="J272" s="2" t="s">
        <v>2018</v>
      </c>
    </row>
    <row r="273" spans="1:10" ht="14.4" x14ac:dyDescent="0.3">
      <c r="A273" s="2" t="s">
        <v>11</v>
      </c>
      <c r="B273" s="2" t="s">
        <v>359</v>
      </c>
      <c r="C273" s="2" t="s">
        <v>576</v>
      </c>
      <c r="D273" s="2" t="s">
        <v>1410</v>
      </c>
      <c r="E273" s="2" t="s">
        <v>4590</v>
      </c>
      <c r="F273" s="2" t="s">
        <v>4591</v>
      </c>
      <c r="G273" s="2" t="s">
        <v>4470</v>
      </c>
      <c r="H273" s="2" t="s">
        <v>1414</v>
      </c>
      <c r="I273" s="2" t="s">
        <v>1414</v>
      </c>
      <c r="J273" s="2" t="s">
        <v>1414</v>
      </c>
    </row>
    <row r="274" spans="1:10" ht="14.4" x14ac:dyDescent="0.3">
      <c r="A274" s="2" t="s">
        <v>31</v>
      </c>
      <c r="B274" s="2" t="s">
        <v>359</v>
      </c>
      <c r="C274" s="2" t="s">
        <v>577</v>
      </c>
      <c r="D274" s="2" t="s">
        <v>1410</v>
      </c>
      <c r="E274" s="2" t="s">
        <v>1577</v>
      </c>
      <c r="F274" s="2" t="s">
        <v>4492</v>
      </c>
      <c r="G274" s="2" t="s">
        <v>4493</v>
      </c>
      <c r="H274" s="2" t="s">
        <v>1464</v>
      </c>
      <c r="I274" s="2" t="s">
        <v>1755</v>
      </c>
      <c r="J274" s="2" t="s">
        <v>2018</v>
      </c>
    </row>
    <row r="275" spans="1:10" ht="14.4" x14ac:dyDescent="0.3">
      <c r="A275" s="2" t="s">
        <v>16</v>
      </c>
      <c r="B275" s="2" t="s">
        <v>579</v>
      </c>
      <c r="C275" s="2" t="s">
        <v>578</v>
      </c>
      <c r="D275" s="2" t="s">
        <v>1410</v>
      </c>
      <c r="E275" s="2" t="s">
        <v>4520</v>
      </c>
      <c r="F275" s="2" t="s">
        <v>1701</v>
      </c>
      <c r="G275" s="2" t="s">
        <v>3263</v>
      </c>
      <c r="H275" s="2" t="s">
        <v>1785</v>
      </c>
      <c r="I275" s="2" t="s">
        <v>1551</v>
      </c>
      <c r="J275" s="2" t="s">
        <v>1749</v>
      </c>
    </row>
    <row r="276" spans="1:10" ht="14.4" x14ac:dyDescent="0.3">
      <c r="A276" s="2" t="s">
        <v>8</v>
      </c>
      <c r="B276" s="2" t="s">
        <v>579</v>
      </c>
      <c r="C276" s="2" t="s">
        <v>580</v>
      </c>
      <c r="D276" s="2" t="s">
        <v>1410</v>
      </c>
      <c r="E276" s="2" t="s">
        <v>5387</v>
      </c>
      <c r="F276" s="2" t="s">
        <v>5388</v>
      </c>
      <c r="G276" s="2" t="s">
        <v>5389</v>
      </c>
      <c r="H276" s="2" t="s">
        <v>4494</v>
      </c>
      <c r="I276" s="2" t="s">
        <v>4471</v>
      </c>
      <c r="J276" s="2" t="s">
        <v>2018</v>
      </c>
    </row>
    <row r="277" spans="1:10" ht="14.4" x14ac:dyDescent="0.3">
      <c r="A277" s="2" t="s">
        <v>71</v>
      </c>
      <c r="B277" s="2" t="s">
        <v>592</v>
      </c>
      <c r="C277" s="2" t="s">
        <v>591</v>
      </c>
      <c r="D277" s="2" t="s">
        <v>1410</v>
      </c>
      <c r="E277" s="2" t="s">
        <v>4905</v>
      </c>
      <c r="F277" s="2" t="s">
        <v>4906</v>
      </c>
      <c r="G277" s="2" t="s">
        <v>4907</v>
      </c>
      <c r="H277" s="2" t="s">
        <v>1464</v>
      </c>
      <c r="I277" s="2" t="s">
        <v>1755</v>
      </c>
      <c r="J277" s="2" t="s">
        <v>2018</v>
      </c>
    </row>
    <row r="278" spans="1:10" ht="14.4" x14ac:dyDescent="0.3">
      <c r="A278" s="2" t="s">
        <v>31</v>
      </c>
      <c r="B278" s="2" t="s">
        <v>148</v>
      </c>
      <c r="C278" s="2" t="s">
        <v>597</v>
      </c>
      <c r="D278" s="2" t="s">
        <v>1410</v>
      </c>
      <c r="E278" s="2" t="s">
        <v>5167</v>
      </c>
      <c r="F278" s="2" t="s">
        <v>5168</v>
      </c>
      <c r="G278" s="2" t="s">
        <v>2896</v>
      </c>
      <c r="H278" s="2" t="s">
        <v>1438</v>
      </c>
      <c r="I278" s="2" t="s">
        <v>1551</v>
      </c>
      <c r="J278" s="2" t="s">
        <v>2018</v>
      </c>
    </row>
    <row r="279" spans="1:10" ht="14.4" x14ac:dyDescent="0.3">
      <c r="A279" s="2" t="s">
        <v>8</v>
      </c>
      <c r="B279" s="2" t="s">
        <v>599</v>
      </c>
      <c r="C279" s="2" t="s">
        <v>598</v>
      </c>
      <c r="D279" s="2" t="s">
        <v>1410</v>
      </c>
      <c r="E279" s="2" t="s">
        <v>2805</v>
      </c>
      <c r="F279" s="2" t="s">
        <v>5213</v>
      </c>
      <c r="G279" s="2" t="s">
        <v>5214</v>
      </c>
      <c r="H279" s="2" t="s">
        <v>1438</v>
      </c>
      <c r="I279" s="2" t="s">
        <v>1755</v>
      </c>
      <c r="J279" s="2" t="s">
        <v>1749</v>
      </c>
    </row>
    <row r="280" spans="1:10" ht="14.4" x14ac:dyDescent="0.3">
      <c r="A280" s="2" t="s">
        <v>8</v>
      </c>
      <c r="B280" s="2" t="s">
        <v>599</v>
      </c>
      <c r="C280" s="2" t="s">
        <v>598</v>
      </c>
      <c r="D280" s="2" t="s">
        <v>1410</v>
      </c>
      <c r="E280" s="2" t="s">
        <v>5216</v>
      </c>
      <c r="F280" s="2" t="s">
        <v>2812</v>
      </c>
      <c r="G280" s="2" t="s">
        <v>5217</v>
      </c>
      <c r="H280" s="2" t="s">
        <v>1464</v>
      </c>
      <c r="I280" s="2" t="s">
        <v>1755</v>
      </c>
      <c r="J280" s="2" t="s">
        <v>2018</v>
      </c>
    </row>
    <row r="281" spans="1:10" ht="14.4" x14ac:dyDescent="0.3">
      <c r="A281" s="2" t="s">
        <v>31</v>
      </c>
      <c r="B281" s="2" t="s">
        <v>601</v>
      </c>
      <c r="C281" s="2" t="s">
        <v>600</v>
      </c>
      <c r="D281" s="2" t="s">
        <v>1410</v>
      </c>
      <c r="E281" s="2" t="s">
        <v>2206</v>
      </c>
      <c r="F281" s="2" t="s">
        <v>3541</v>
      </c>
      <c r="G281" s="2" t="s">
        <v>4767</v>
      </c>
      <c r="H281" s="2" t="s">
        <v>4494</v>
      </c>
      <c r="I281" s="2" t="s">
        <v>4471</v>
      </c>
      <c r="J281" s="2" t="s">
        <v>2018</v>
      </c>
    </row>
    <row r="282" spans="1:10" ht="14.4" x14ac:dyDescent="0.3">
      <c r="A282" s="2" t="s">
        <v>8</v>
      </c>
      <c r="B282" s="2" t="s">
        <v>603</v>
      </c>
      <c r="C282" s="2" t="s">
        <v>602</v>
      </c>
      <c r="D282" s="2" t="s">
        <v>1410</v>
      </c>
      <c r="E282" s="2" t="s">
        <v>5060</v>
      </c>
      <c r="F282" s="2" t="s">
        <v>5061</v>
      </c>
      <c r="G282" s="2" t="s">
        <v>5062</v>
      </c>
      <c r="H282" s="2" t="s">
        <v>1448</v>
      </c>
      <c r="I282" s="2" t="s">
        <v>1843</v>
      </c>
      <c r="J282" s="2" t="s">
        <v>1599</v>
      </c>
    </row>
    <row r="283" spans="1:10" ht="14.4" x14ac:dyDescent="0.3">
      <c r="A283" s="2" t="s">
        <v>11</v>
      </c>
      <c r="B283" s="2" t="s">
        <v>605</v>
      </c>
      <c r="C283" s="2" t="s">
        <v>604</v>
      </c>
      <c r="D283" s="2" t="s">
        <v>1410</v>
      </c>
      <c r="E283" s="2" t="s">
        <v>4899</v>
      </c>
      <c r="F283" s="2" t="s">
        <v>4900</v>
      </c>
      <c r="G283" s="2" t="s">
        <v>2795</v>
      </c>
      <c r="H283" s="2" t="s">
        <v>1843</v>
      </c>
      <c r="I283" s="2" t="s">
        <v>1843</v>
      </c>
      <c r="J283" s="2" t="s">
        <v>1414</v>
      </c>
    </row>
    <row r="284" spans="1:10" ht="14.4" x14ac:dyDescent="0.3">
      <c r="A284" s="2" t="s">
        <v>11</v>
      </c>
      <c r="B284" s="2" t="s">
        <v>605</v>
      </c>
      <c r="C284" s="2" t="s">
        <v>604</v>
      </c>
      <c r="D284" s="2" t="s">
        <v>1410</v>
      </c>
      <c r="E284" s="2" t="s">
        <v>4900</v>
      </c>
      <c r="F284" s="2" t="s">
        <v>4901</v>
      </c>
      <c r="G284" s="2" t="s">
        <v>4902</v>
      </c>
      <c r="H284" s="2" t="s">
        <v>1419</v>
      </c>
      <c r="I284" s="2" t="s">
        <v>1755</v>
      </c>
      <c r="J284" s="2" t="s">
        <v>1599</v>
      </c>
    </row>
    <row r="285" spans="1:10" ht="14.4" x14ac:dyDescent="0.3">
      <c r="A285" s="2" t="s">
        <v>8</v>
      </c>
      <c r="B285" s="2" t="s">
        <v>172</v>
      </c>
      <c r="C285" s="2" t="s">
        <v>606</v>
      </c>
      <c r="D285" s="2" t="s">
        <v>1410</v>
      </c>
      <c r="E285" s="2" t="s">
        <v>4887</v>
      </c>
      <c r="F285" s="2" t="s">
        <v>3658</v>
      </c>
      <c r="G285" s="2" t="s">
        <v>4888</v>
      </c>
      <c r="H285" s="2" t="s">
        <v>1464</v>
      </c>
      <c r="I285" s="2" t="s">
        <v>1755</v>
      </c>
      <c r="J285" s="2" t="s">
        <v>2018</v>
      </c>
    </row>
    <row r="286" spans="1:10" ht="14.4" x14ac:dyDescent="0.3">
      <c r="A286" s="2" t="s">
        <v>55</v>
      </c>
      <c r="B286" s="2" t="s">
        <v>608</v>
      </c>
      <c r="C286" s="2" t="s">
        <v>607</v>
      </c>
      <c r="D286" s="2" t="s">
        <v>1410</v>
      </c>
      <c r="E286" s="2" t="s">
        <v>4881</v>
      </c>
      <c r="F286" s="2" t="s">
        <v>4880</v>
      </c>
      <c r="G286" s="2" t="s">
        <v>4882</v>
      </c>
      <c r="H286" s="2" t="s">
        <v>1785</v>
      </c>
      <c r="I286" s="2" t="s">
        <v>3214</v>
      </c>
      <c r="J286" s="2" t="s">
        <v>2018</v>
      </c>
    </row>
    <row r="287" spans="1:10" ht="14.4" x14ac:dyDescent="0.3">
      <c r="A287" s="2" t="s">
        <v>55</v>
      </c>
      <c r="B287" s="2" t="s">
        <v>608</v>
      </c>
      <c r="C287" s="2" t="s">
        <v>607</v>
      </c>
      <c r="D287" s="2" t="s">
        <v>1410</v>
      </c>
      <c r="E287" s="2" t="s">
        <v>2380</v>
      </c>
      <c r="F287" s="2" t="s">
        <v>4891</v>
      </c>
      <c r="G287" s="2" t="s">
        <v>4892</v>
      </c>
      <c r="H287" s="2" t="s">
        <v>1464</v>
      </c>
      <c r="I287" s="2" t="s">
        <v>1755</v>
      </c>
      <c r="J287" s="2" t="s">
        <v>2018</v>
      </c>
    </row>
    <row r="288" spans="1:10" ht="14.4" x14ac:dyDescent="0.3">
      <c r="A288" s="2" t="s">
        <v>8</v>
      </c>
      <c r="B288" s="2" t="s">
        <v>612</v>
      </c>
      <c r="C288" s="2" t="s">
        <v>611</v>
      </c>
      <c r="D288" s="2" t="s">
        <v>1410</v>
      </c>
      <c r="E288" s="2" t="s">
        <v>2784</v>
      </c>
      <c r="F288" s="2" t="s">
        <v>5193</v>
      </c>
      <c r="G288" s="2" t="s">
        <v>5194</v>
      </c>
      <c r="H288" s="2" t="s">
        <v>1452</v>
      </c>
      <c r="I288" s="2" t="s">
        <v>1755</v>
      </c>
      <c r="J288" s="2" t="s">
        <v>1551</v>
      </c>
    </row>
    <row r="289" spans="1:10" ht="14.4" x14ac:dyDescent="0.3">
      <c r="A289" s="2" t="s">
        <v>8</v>
      </c>
      <c r="B289" s="2" t="s">
        <v>612</v>
      </c>
      <c r="C289" s="2" t="s">
        <v>611</v>
      </c>
      <c r="D289" s="2" t="s">
        <v>1410</v>
      </c>
      <c r="E289" s="2" t="s">
        <v>5196</v>
      </c>
      <c r="F289" s="2" t="s">
        <v>5196</v>
      </c>
      <c r="G289" s="2" t="s">
        <v>5197</v>
      </c>
      <c r="H289" s="2" t="s">
        <v>1464</v>
      </c>
      <c r="I289" s="2" t="s">
        <v>1755</v>
      </c>
      <c r="J289" s="2" t="s">
        <v>2018</v>
      </c>
    </row>
    <row r="290" spans="1:10" ht="14.4" x14ac:dyDescent="0.3">
      <c r="A290" s="2" t="s">
        <v>585</v>
      </c>
      <c r="B290" s="2" t="s">
        <v>616</v>
      </c>
      <c r="C290" s="2" t="s">
        <v>615</v>
      </c>
      <c r="D290" s="2" t="s">
        <v>1410</v>
      </c>
      <c r="E290" s="2" t="s">
        <v>4720</v>
      </c>
      <c r="F290" s="2" t="s">
        <v>2033</v>
      </c>
      <c r="G290" s="2" t="s">
        <v>4721</v>
      </c>
      <c r="H290" s="2" t="s">
        <v>1843</v>
      </c>
      <c r="I290" s="2" t="s">
        <v>3204</v>
      </c>
      <c r="J290" s="2" t="s">
        <v>3204</v>
      </c>
    </row>
    <row r="291" spans="1:10" ht="14.4" x14ac:dyDescent="0.3">
      <c r="A291" s="2" t="s">
        <v>123</v>
      </c>
      <c r="B291" s="2" t="s">
        <v>618</v>
      </c>
      <c r="C291" s="2" t="s">
        <v>617</v>
      </c>
      <c r="D291" s="2" t="s">
        <v>1410</v>
      </c>
      <c r="E291" s="2" t="s">
        <v>1580</v>
      </c>
      <c r="F291" s="2" t="s">
        <v>4502</v>
      </c>
      <c r="G291" s="2" t="s">
        <v>2117</v>
      </c>
      <c r="H291" s="2" t="s">
        <v>4494</v>
      </c>
      <c r="I291" s="2" t="s">
        <v>4471</v>
      </c>
      <c r="J291" s="2" t="s">
        <v>2018</v>
      </c>
    </row>
    <row r="292" spans="1:10" ht="14.4" x14ac:dyDescent="0.3">
      <c r="A292" s="2" t="s">
        <v>71</v>
      </c>
      <c r="B292" s="2" t="s">
        <v>620</v>
      </c>
      <c r="C292" s="2" t="s">
        <v>619</v>
      </c>
      <c r="D292" s="2" t="s">
        <v>1410</v>
      </c>
      <c r="E292" s="2" t="s">
        <v>3685</v>
      </c>
      <c r="F292" s="2" t="s">
        <v>3688</v>
      </c>
      <c r="G292" s="2" t="s">
        <v>4908</v>
      </c>
      <c r="H292" s="2" t="s">
        <v>1464</v>
      </c>
      <c r="I292" s="2" t="s">
        <v>1755</v>
      </c>
      <c r="J292" s="2" t="s">
        <v>2018</v>
      </c>
    </row>
    <row r="293" spans="1:10" ht="14.4" x14ac:dyDescent="0.3">
      <c r="A293" s="2" t="s">
        <v>623</v>
      </c>
      <c r="B293" s="2" t="s">
        <v>622</v>
      </c>
      <c r="C293" s="2" t="s">
        <v>621</v>
      </c>
      <c r="D293" s="2" t="s">
        <v>1410</v>
      </c>
      <c r="E293" s="2" t="s">
        <v>4822</v>
      </c>
      <c r="F293" s="2" t="s">
        <v>3608</v>
      </c>
      <c r="G293" s="2" t="s">
        <v>4823</v>
      </c>
      <c r="H293" s="2" t="s">
        <v>1464</v>
      </c>
      <c r="I293" s="2" t="s">
        <v>1755</v>
      </c>
      <c r="J293" s="2" t="s">
        <v>2018</v>
      </c>
    </row>
    <row r="294" spans="1:10" ht="14.4" x14ac:dyDescent="0.3">
      <c r="A294" s="2" t="s">
        <v>28</v>
      </c>
      <c r="B294" s="2" t="s">
        <v>625</v>
      </c>
      <c r="C294" s="2" t="s">
        <v>624</v>
      </c>
      <c r="D294" s="2" t="s">
        <v>1410</v>
      </c>
      <c r="E294" s="2" t="s">
        <v>4959</v>
      </c>
      <c r="F294" s="2" t="s">
        <v>4962</v>
      </c>
      <c r="G294" s="2" t="s">
        <v>4963</v>
      </c>
      <c r="H294" s="2" t="s">
        <v>4494</v>
      </c>
      <c r="I294" s="2" t="s">
        <v>4471</v>
      </c>
      <c r="J294" s="2" t="s">
        <v>2018</v>
      </c>
    </row>
    <row r="295" spans="1:10" ht="14.4" x14ac:dyDescent="0.3">
      <c r="A295" s="2" t="s">
        <v>55</v>
      </c>
      <c r="B295" s="2" t="s">
        <v>627</v>
      </c>
      <c r="C295" s="2" t="s">
        <v>626</v>
      </c>
      <c r="D295" s="2" t="s">
        <v>1410</v>
      </c>
      <c r="E295" s="2" t="s">
        <v>4497</v>
      </c>
      <c r="F295" s="2" t="s">
        <v>1597</v>
      </c>
      <c r="G295" s="2" t="s">
        <v>4498</v>
      </c>
      <c r="H295" s="2" t="s">
        <v>1464</v>
      </c>
      <c r="I295" s="2" t="s">
        <v>1755</v>
      </c>
      <c r="J295" s="2" t="s">
        <v>2018</v>
      </c>
    </row>
    <row r="296" spans="1:10" ht="14.4" x14ac:dyDescent="0.3">
      <c r="A296" s="2" t="s">
        <v>42</v>
      </c>
      <c r="B296" s="2" t="s">
        <v>629</v>
      </c>
      <c r="C296" s="2" t="s">
        <v>628</v>
      </c>
      <c r="D296" s="2" t="s">
        <v>1410</v>
      </c>
      <c r="E296" s="2" t="s">
        <v>5081</v>
      </c>
      <c r="F296" s="2" t="s">
        <v>5082</v>
      </c>
      <c r="G296" s="2" t="s">
        <v>3589</v>
      </c>
      <c r="H296" s="2" t="s">
        <v>1785</v>
      </c>
      <c r="I296" s="2" t="s">
        <v>3204</v>
      </c>
      <c r="J296" s="2" t="s">
        <v>1506</v>
      </c>
    </row>
    <row r="297" spans="1:10" ht="14.4" x14ac:dyDescent="0.3">
      <c r="A297" s="2" t="s">
        <v>8</v>
      </c>
      <c r="B297" s="2" t="s">
        <v>631</v>
      </c>
      <c r="C297" s="2" t="s">
        <v>630</v>
      </c>
      <c r="D297" s="2" t="s">
        <v>1410</v>
      </c>
      <c r="E297" s="2" t="s">
        <v>4806</v>
      </c>
      <c r="F297" s="2" t="s">
        <v>4811</v>
      </c>
      <c r="G297" s="2" t="s">
        <v>4812</v>
      </c>
      <c r="H297" s="2" t="s">
        <v>1464</v>
      </c>
      <c r="I297" s="2" t="s">
        <v>1755</v>
      </c>
      <c r="J297" s="2" t="s">
        <v>2018</v>
      </c>
    </row>
    <row r="298" spans="1:10" ht="14.4" x14ac:dyDescent="0.3">
      <c r="A298" s="2" t="s">
        <v>634</v>
      </c>
      <c r="B298" s="2" t="s">
        <v>633</v>
      </c>
      <c r="C298" s="2" t="s">
        <v>632</v>
      </c>
      <c r="D298" s="2" t="s">
        <v>1410</v>
      </c>
      <c r="E298" s="2" t="s">
        <v>5083</v>
      </c>
      <c r="F298" s="2" t="s">
        <v>5084</v>
      </c>
      <c r="G298" s="2" t="s">
        <v>5085</v>
      </c>
      <c r="H298" s="2" t="s">
        <v>1908</v>
      </c>
      <c r="I298" s="2" t="s">
        <v>1551</v>
      </c>
      <c r="J298" s="2" t="s">
        <v>1506</v>
      </c>
    </row>
    <row r="299" spans="1:10" ht="14.4" x14ac:dyDescent="0.3">
      <c r="A299" s="2" t="s">
        <v>31</v>
      </c>
      <c r="B299" s="2" t="s">
        <v>636</v>
      </c>
      <c r="C299" s="2" t="s">
        <v>635</v>
      </c>
      <c r="D299" s="2" t="s">
        <v>1410</v>
      </c>
      <c r="E299" s="2" t="s">
        <v>4229</v>
      </c>
      <c r="F299" s="2" t="s">
        <v>5336</v>
      </c>
      <c r="G299" s="2" t="s">
        <v>5337</v>
      </c>
      <c r="H299" s="2" t="s">
        <v>1424</v>
      </c>
      <c r="I299" s="2" t="s">
        <v>1843</v>
      </c>
      <c r="J299" s="2" t="s">
        <v>2018</v>
      </c>
    </row>
    <row r="300" spans="1:10" ht="14.4" x14ac:dyDescent="0.3">
      <c r="A300" s="2" t="s">
        <v>42</v>
      </c>
      <c r="B300" s="2" t="s">
        <v>638</v>
      </c>
      <c r="C300" s="2" t="s">
        <v>637</v>
      </c>
      <c r="D300" s="2" t="s">
        <v>1410</v>
      </c>
      <c r="E300" s="2" t="s">
        <v>4891</v>
      </c>
      <c r="F300" s="2" t="s">
        <v>4893</v>
      </c>
      <c r="G300" s="2" t="s">
        <v>4458</v>
      </c>
      <c r="H300" s="2" t="s">
        <v>1414</v>
      </c>
      <c r="I300" s="2" t="s">
        <v>1414</v>
      </c>
      <c r="J300" s="2" t="s">
        <v>1414</v>
      </c>
    </row>
    <row r="301" spans="1:10" ht="14.4" x14ac:dyDescent="0.3">
      <c r="A301" s="2" t="s">
        <v>31</v>
      </c>
      <c r="B301" s="2" t="s">
        <v>644</v>
      </c>
      <c r="C301" s="2" t="s">
        <v>643</v>
      </c>
      <c r="D301" s="2" t="s">
        <v>1456</v>
      </c>
      <c r="E301" s="2" t="s">
        <v>5391</v>
      </c>
      <c r="F301" s="2" t="s">
        <v>1415</v>
      </c>
      <c r="G301" s="2" t="s">
        <v>1415</v>
      </c>
      <c r="H301" s="2" t="s">
        <v>1415</v>
      </c>
      <c r="I301" s="2" t="s">
        <v>1415</v>
      </c>
      <c r="J301" s="2" t="s">
        <v>1415</v>
      </c>
    </row>
    <row r="302" spans="1:10" ht="14.4" x14ac:dyDescent="0.3">
      <c r="A302" s="2" t="s">
        <v>652</v>
      </c>
      <c r="B302" s="2" t="s">
        <v>651</v>
      </c>
      <c r="C302" s="2" t="s">
        <v>650</v>
      </c>
      <c r="D302" s="2" t="s">
        <v>1410</v>
      </c>
      <c r="E302" s="2" t="s">
        <v>4503</v>
      </c>
      <c r="F302" s="2" t="s">
        <v>1617</v>
      </c>
      <c r="G302" s="2" t="s">
        <v>4504</v>
      </c>
      <c r="H302" s="2" t="s">
        <v>1464</v>
      </c>
      <c r="I302" s="2" t="s">
        <v>1755</v>
      </c>
      <c r="J302" s="2" t="s">
        <v>2018</v>
      </c>
    </row>
    <row r="303" spans="1:10" ht="14.4" x14ac:dyDescent="0.3">
      <c r="A303" s="2" t="s">
        <v>123</v>
      </c>
      <c r="B303" s="2" t="s">
        <v>656</v>
      </c>
      <c r="C303" s="2" t="s">
        <v>655</v>
      </c>
      <c r="D303" s="2" t="s">
        <v>1410</v>
      </c>
      <c r="E303" s="2" t="s">
        <v>4507</v>
      </c>
      <c r="F303" s="2" t="s">
        <v>1626</v>
      </c>
      <c r="G303" s="2" t="s">
        <v>4508</v>
      </c>
      <c r="H303" s="2" t="s">
        <v>4494</v>
      </c>
      <c r="I303" s="2" t="s">
        <v>4471</v>
      </c>
      <c r="J303" s="2" t="s">
        <v>2018</v>
      </c>
    </row>
    <row r="304" spans="1:10" ht="14.4" x14ac:dyDescent="0.3">
      <c r="A304" s="2" t="s">
        <v>8</v>
      </c>
      <c r="B304" s="2" t="s">
        <v>658</v>
      </c>
      <c r="C304" s="2" t="s">
        <v>657</v>
      </c>
      <c r="D304" s="2" t="s">
        <v>1410</v>
      </c>
      <c r="E304" s="2" t="s">
        <v>5017</v>
      </c>
      <c r="F304" s="2" t="s">
        <v>5018</v>
      </c>
      <c r="G304" s="2" t="s">
        <v>1925</v>
      </c>
      <c r="H304" s="2" t="s">
        <v>4494</v>
      </c>
      <c r="I304" s="2" t="s">
        <v>4471</v>
      </c>
      <c r="J304" s="2" t="s">
        <v>2018</v>
      </c>
    </row>
    <row r="305" spans="1:10" ht="14.4" x14ac:dyDescent="0.3">
      <c r="A305" s="2" t="s">
        <v>42</v>
      </c>
      <c r="B305" s="2" t="s">
        <v>664</v>
      </c>
      <c r="C305" s="2" t="s">
        <v>663</v>
      </c>
      <c r="D305" s="2" t="s">
        <v>1410</v>
      </c>
      <c r="E305" s="2" t="s">
        <v>4476</v>
      </c>
      <c r="F305" s="2" t="s">
        <v>4477</v>
      </c>
      <c r="G305" s="2" t="s">
        <v>3705</v>
      </c>
      <c r="H305" s="2" t="s">
        <v>1464</v>
      </c>
      <c r="I305" s="2" t="s">
        <v>1755</v>
      </c>
      <c r="J305" s="2" t="s">
        <v>2018</v>
      </c>
    </row>
    <row r="306" spans="1:10" ht="14.4" x14ac:dyDescent="0.3">
      <c r="A306" s="2" t="s">
        <v>22</v>
      </c>
      <c r="B306" s="2" t="s">
        <v>666</v>
      </c>
      <c r="C306" s="2" t="s">
        <v>665</v>
      </c>
      <c r="D306" s="2" t="s">
        <v>1410</v>
      </c>
      <c r="E306" s="2" t="s">
        <v>4629</v>
      </c>
      <c r="F306" s="2" t="s">
        <v>1883</v>
      </c>
      <c r="G306" s="2" t="s">
        <v>4630</v>
      </c>
      <c r="H306" s="2" t="s">
        <v>1464</v>
      </c>
      <c r="I306" s="2" t="s">
        <v>1755</v>
      </c>
      <c r="J306" s="2" t="s">
        <v>2018</v>
      </c>
    </row>
    <row r="307" spans="1:10" ht="14.4" x14ac:dyDescent="0.3">
      <c r="A307" s="2" t="s">
        <v>8</v>
      </c>
      <c r="B307" s="2" t="s">
        <v>668</v>
      </c>
      <c r="C307" s="2" t="s">
        <v>667</v>
      </c>
      <c r="D307" s="2" t="s">
        <v>1410</v>
      </c>
      <c r="E307" s="2" t="s">
        <v>3286</v>
      </c>
      <c r="F307" s="2" t="s">
        <v>3291</v>
      </c>
      <c r="G307" s="2" t="s">
        <v>4498</v>
      </c>
      <c r="H307" s="2" t="s">
        <v>1464</v>
      </c>
      <c r="I307" s="2" t="s">
        <v>1755</v>
      </c>
      <c r="J307" s="2" t="s">
        <v>2018</v>
      </c>
    </row>
    <row r="308" spans="1:10" ht="14.4" x14ac:dyDescent="0.3">
      <c r="A308" s="2" t="s">
        <v>11</v>
      </c>
      <c r="B308" s="2" t="s">
        <v>672</v>
      </c>
      <c r="C308" s="2" t="s">
        <v>671</v>
      </c>
      <c r="D308" s="2" t="s">
        <v>1410</v>
      </c>
      <c r="E308" s="2" t="s">
        <v>4482</v>
      </c>
      <c r="F308" s="2" t="s">
        <v>4479</v>
      </c>
      <c r="G308" s="2" t="s">
        <v>4484</v>
      </c>
      <c r="H308" s="2" t="s">
        <v>1464</v>
      </c>
      <c r="I308" s="2" t="s">
        <v>1755</v>
      </c>
      <c r="J308" s="2" t="s">
        <v>2018</v>
      </c>
    </row>
    <row r="309" spans="1:10" ht="14.4" x14ac:dyDescent="0.3">
      <c r="A309" s="2" t="s">
        <v>228</v>
      </c>
      <c r="B309" s="2" t="s">
        <v>674</v>
      </c>
      <c r="C309" s="2" t="s">
        <v>673</v>
      </c>
      <c r="D309" s="2" t="s">
        <v>1410</v>
      </c>
      <c r="E309" s="2" t="s">
        <v>1561</v>
      </c>
      <c r="F309" s="2" t="s">
        <v>4488</v>
      </c>
      <c r="G309" s="2" t="s">
        <v>1478</v>
      </c>
      <c r="H309" s="2" t="s">
        <v>4494</v>
      </c>
      <c r="I309" s="2" t="s">
        <v>4471</v>
      </c>
      <c r="J309" s="2" t="s">
        <v>2018</v>
      </c>
    </row>
    <row r="310" spans="1:10" ht="14.4" x14ac:dyDescent="0.3">
      <c r="A310" s="2" t="s">
        <v>55</v>
      </c>
      <c r="B310" s="2" t="s">
        <v>678</v>
      </c>
      <c r="C310" s="2" t="s">
        <v>677</v>
      </c>
      <c r="D310" s="2" t="s">
        <v>1410</v>
      </c>
      <c r="E310" s="2" t="s">
        <v>1616</v>
      </c>
      <c r="F310" s="2" t="s">
        <v>4501</v>
      </c>
      <c r="G310" s="2" t="s">
        <v>1598</v>
      </c>
      <c r="H310" s="2" t="s">
        <v>1464</v>
      </c>
      <c r="I310" s="2" t="s">
        <v>1755</v>
      </c>
      <c r="J310" s="2" t="s">
        <v>2018</v>
      </c>
    </row>
    <row r="311" spans="1:10" ht="14.4" x14ac:dyDescent="0.3">
      <c r="A311" s="2" t="s">
        <v>19</v>
      </c>
      <c r="B311" s="2" t="s">
        <v>680</v>
      </c>
      <c r="C311" s="2" t="s">
        <v>679</v>
      </c>
      <c r="D311" s="2" t="s">
        <v>1410</v>
      </c>
      <c r="E311" s="2" t="s">
        <v>1547</v>
      </c>
      <c r="F311" s="2" t="s">
        <v>4490</v>
      </c>
      <c r="G311" s="2" t="s">
        <v>4491</v>
      </c>
      <c r="H311" s="2" t="s">
        <v>1464</v>
      </c>
      <c r="I311" s="2" t="s">
        <v>1755</v>
      </c>
      <c r="J311" s="2" t="s">
        <v>2018</v>
      </c>
    </row>
    <row r="312" spans="1:10" ht="14.4" x14ac:dyDescent="0.3">
      <c r="A312" s="2" t="s">
        <v>28</v>
      </c>
      <c r="B312" s="2" t="s">
        <v>684</v>
      </c>
      <c r="C312" s="2" t="s">
        <v>683</v>
      </c>
      <c r="D312" s="2" t="s">
        <v>1410</v>
      </c>
      <c r="E312" s="2" t="s">
        <v>1556</v>
      </c>
      <c r="F312" s="2" t="s">
        <v>4488</v>
      </c>
      <c r="G312" s="2" t="s">
        <v>4489</v>
      </c>
      <c r="H312" s="2" t="s">
        <v>1464</v>
      </c>
      <c r="I312" s="2" t="s">
        <v>1755</v>
      </c>
      <c r="J312" s="2" t="s">
        <v>2018</v>
      </c>
    </row>
    <row r="313" spans="1:10" ht="14.4" x14ac:dyDescent="0.3">
      <c r="A313" s="2" t="s">
        <v>42</v>
      </c>
      <c r="B313" s="2" t="s">
        <v>686</v>
      </c>
      <c r="C313" s="2" t="s">
        <v>685</v>
      </c>
      <c r="D313" s="2" t="s">
        <v>1410</v>
      </c>
      <c r="E313" s="2" t="s">
        <v>1585</v>
      </c>
      <c r="F313" s="2" t="s">
        <v>1596</v>
      </c>
      <c r="G313" s="2" t="s">
        <v>4495</v>
      </c>
      <c r="H313" s="2" t="s">
        <v>4496</v>
      </c>
      <c r="I313" s="2" t="s">
        <v>4436</v>
      </c>
      <c r="J313" s="2" t="s">
        <v>1599</v>
      </c>
    </row>
    <row r="314" spans="1:10" ht="14.4" x14ac:dyDescent="0.3">
      <c r="A314" s="2" t="s">
        <v>123</v>
      </c>
      <c r="B314" s="2" t="s">
        <v>690</v>
      </c>
      <c r="C314" s="2" t="s">
        <v>689</v>
      </c>
      <c r="D314" s="2" t="s">
        <v>1456</v>
      </c>
      <c r="E314" s="2" t="s">
        <v>3286</v>
      </c>
      <c r="F314" s="2" t="s">
        <v>1415</v>
      </c>
      <c r="G314" s="2" t="s">
        <v>1415</v>
      </c>
      <c r="H314" s="2" t="s">
        <v>1415</v>
      </c>
      <c r="I314" s="2" t="s">
        <v>1755</v>
      </c>
      <c r="J314" s="2" t="s">
        <v>2018</v>
      </c>
    </row>
    <row r="315" spans="1:10" ht="14.4" x14ac:dyDescent="0.3">
      <c r="A315" s="2" t="s">
        <v>8</v>
      </c>
      <c r="B315" s="2" t="s">
        <v>258</v>
      </c>
      <c r="C315" s="2" t="s">
        <v>698</v>
      </c>
      <c r="D315" s="2" t="s">
        <v>1456</v>
      </c>
      <c r="E315" s="2" t="s">
        <v>3289</v>
      </c>
      <c r="F315" s="2" t="s">
        <v>1415</v>
      </c>
      <c r="G315" s="2" t="s">
        <v>1415</v>
      </c>
      <c r="H315" s="2" t="s">
        <v>1415</v>
      </c>
      <c r="I315" s="2" t="s">
        <v>1415</v>
      </c>
      <c r="J315" s="2" t="s">
        <v>1415</v>
      </c>
    </row>
    <row r="316" spans="1:10" ht="14.4" x14ac:dyDescent="0.3">
      <c r="A316" s="2" t="s">
        <v>31</v>
      </c>
      <c r="B316" s="2" t="s">
        <v>700</v>
      </c>
      <c r="C316" s="2" t="s">
        <v>699</v>
      </c>
      <c r="D316" s="2" t="s">
        <v>1410</v>
      </c>
      <c r="E316" s="2" t="s">
        <v>4500</v>
      </c>
      <c r="F316" s="2" t="s">
        <v>4501</v>
      </c>
      <c r="G316" s="2" t="s">
        <v>4266</v>
      </c>
      <c r="H316" s="2" t="s">
        <v>1414</v>
      </c>
      <c r="I316" s="2" t="s">
        <v>1414</v>
      </c>
      <c r="J316" s="2" t="s">
        <v>1414</v>
      </c>
    </row>
    <row r="317" spans="1:10" ht="14.4" x14ac:dyDescent="0.3">
      <c r="A317" s="2" t="s">
        <v>16</v>
      </c>
      <c r="B317" s="2" t="s">
        <v>702</v>
      </c>
      <c r="C317" s="2" t="s">
        <v>701</v>
      </c>
      <c r="D317" s="2" t="s">
        <v>1410</v>
      </c>
      <c r="E317" s="2" t="s">
        <v>1532</v>
      </c>
      <c r="F317" s="2" t="s">
        <v>4473</v>
      </c>
      <c r="G317" s="2" t="s">
        <v>4474</v>
      </c>
      <c r="H317" s="2" t="s">
        <v>1464</v>
      </c>
      <c r="I317" s="2" t="s">
        <v>1755</v>
      </c>
      <c r="J317" s="2" t="s">
        <v>2018</v>
      </c>
    </row>
    <row r="318" spans="1:10" ht="14.4" x14ac:dyDescent="0.3">
      <c r="A318" s="2" t="s">
        <v>123</v>
      </c>
      <c r="B318" s="2" t="s">
        <v>704</v>
      </c>
      <c r="C318" s="2" t="s">
        <v>703</v>
      </c>
      <c r="D318" s="2" t="s">
        <v>1410</v>
      </c>
      <c r="E318" s="2" t="s">
        <v>4384</v>
      </c>
      <c r="F318" s="2" t="s">
        <v>4412</v>
      </c>
      <c r="G318" s="2" t="s">
        <v>4751</v>
      </c>
      <c r="H318" s="2" t="s">
        <v>1464</v>
      </c>
      <c r="I318" s="2" t="s">
        <v>1755</v>
      </c>
      <c r="J318" s="2" t="s">
        <v>2018</v>
      </c>
    </row>
    <row r="319" spans="1:10" ht="14.4" x14ac:dyDescent="0.3">
      <c r="A319" s="2" t="s">
        <v>42</v>
      </c>
      <c r="B319" s="2" t="s">
        <v>706</v>
      </c>
      <c r="C319" s="2" t="s">
        <v>705</v>
      </c>
      <c r="D319" s="2" t="s">
        <v>1410</v>
      </c>
      <c r="E319" s="2" t="s">
        <v>1597</v>
      </c>
      <c r="F319" s="2" t="s">
        <v>1600</v>
      </c>
      <c r="G319" s="2" t="s">
        <v>4499</v>
      </c>
      <c r="H319" s="2" t="s">
        <v>1438</v>
      </c>
      <c r="I319" s="2" t="s">
        <v>1843</v>
      </c>
      <c r="J319" s="2" t="s">
        <v>1506</v>
      </c>
    </row>
    <row r="320" spans="1:10" ht="14.4" x14ac:dyDescent="0.3">
      <c r="A320" s="2" t="s">
        <v>8</v>
      </c>
      <c r="B320" s="2" t="s">
        <v>710</v>
      </c>
      <c r="C320" s="2" t="s">
        <v>709</v>
      </c>
      <c r="D320" s="2" t="s">
        <v>1410</v>
      </c>
      <c r="E320" s="2" t="s">
        <v>4459</v>
      </c>
      <c r="F320" s="2" t="s">
        <v>4460</v>
      </c>
      <c r="G320" s="2" t="s">
        <v>2499</v>
      </c>
      <c r="H320" s="2" t="s">
        <v>1464</v>
      </c>
      <c r="I320" s="2" t="s">
        <v>1755</v>
      </c>
      <c r="J320" s="2" t="s">
        <v>2018</v>
      </c>
    </row>
    <row r="321" spans="1:10" ht="14.4" x14ac:dyDescent="0.3">
      <c r="A321" s="2" t="s">
        <v>8</v>
      </c>
      <c r="B321" s="2" t="s">
        <v>714</v>
      </c>
      <c r="C321" s="2" t="s">
        <v>713</v>
      </c>
      <c r="D321" s="2" t="s">
        <v>1410</v>
      </c>
      <c r="E321" s="2" t="s">
        <v>1962</v>
      </c>
      <c r="F321" s="2" t="s">
        <v>1987</v>
      </c>
      <c r="G321" s="2" t="s">
        <v>1590</v>
      </c>
      <c r="H321" s="2" t="s">
        <v>4494</v>
      </c>
      <c r="I321" s="2" t="s">
        <v>4471</v>
      </c>
      <c r="J321" s="2" t="s">
        <v>2018</v>
      </c>
    </row>
    <row r="322" spans="1:10" ht="14.4" x14ac:dyDescent="0.3">
      <c r="A322" s="2" t="s">
        <v>28</v>
      </c>
      <c r="B322" s="2" t="s">
        <v>718</v>
      </c>
      <c r="C322" s="2" t="s">
        <v>717</v>
      </c>
      <c r="D322" s="2" t="s">
        <v>1410</v>
      </c>
      <c r="E322" s="2" t="s">
        <v>4674</v>
      </c>
      <c r="F322" s="2" t="s">
        <v>1959</v>
      </c>
      <c r="G322" s="2" t="s">
        <v>4675</v>
      </c>
      <c r="H322" s="2" t="s">
        <v>4494</v>
      </c>
      <c r="I322" s="2" t="s">
        <v>4471</v>
      </c>
      <c r="J322" s="2" t="s">
        <v>2018</v>
      </c>
    </row>
    <row r="323" spans="1:10" ht="14.4" x14ac:dyDescent="0.3">
      <c r="A323" s="2" t="s">
        <v>80</v>
      </c>
      <c r="B323" s="2" t="s">
        <v>720</v>
      </c>
      <c r="C323" s="2" t="s">
        <v>719</v>
      </c>
      <c r="D323" s="2" t="s">
        <v>1410</v>
      </c>
      <c r="E323" s="2" t="s">
        <v>3971</v>
      </c>
      <c r="F323" s="2" t="s">
        <v>5136</v>
      </c>
      <c r="G323" s="2" t="s">
        <v>2173</v>
      </c>
      <c r="H323" s="2" t="s">
        <v>4494</v>
      </c>
      <c r="I323" s="2" t="s">
        <v>4471</v>
      </c>
      <c r="J323" s="2" t="s">
        <v>2018</v>
      </c>
    </row>
    <row r="324" spans="1:10" ht="14.4" x14ac:dyDescent="0.3">
      <c r="A324" s="2" t="s">
        <v>723</v>
      </c>
      <c r="B324" s="2" t="s">
        <v>722</v>
      </c>
      <c r="C324" s="2" t="s">
        <v>721</v>
      </c>
      <c r="D324" s="2" t="s">
        <v>1410</v>
      </c>
      <c r="E324" s="2" t="s">
        <v>5401</v>
      </c>
      <c r="F324" s="2" t="s">
        <v>5395</v>
      </c>
      <c r="G324" s="2" t="s">
        <v>5402</v>
      </c>
      <c r="H324" s="2" t="s">
        <v>1452</v>
      </c>
      <c r="I324" s="2" t="s">
        <v>1755</v>
      </c>
      <c r="J324" s="2" t="s">
        <v>1551</v>
      </c>
    </row>
    <row r="325" spans="1:10" ht="14.4" x14ac:dyDescent="0.3">
      <c r="A325" s="2" t="s">
        <v>11</v>
      </c>
      <c r="B325" s="2" t="s">
        <v>727</v>
      </c>
      <c r="C325" s="2" t="s">
        <v>726</v>
      </c>
      <c r="D325" s="2" t="s">
        <v>1410</v>
      </c>
      <c r="E325" s="2" t="s">
        <v>2711</v>
      </c>
      <c r="F325" s="2" t="s">
        <v>5137</v>
      </c>
      <c r="G325" s="2" t="s">
        <v>4579</v>
      </c>
      <c r="H325" s="2" t="s">
        <v>1424</v>
      </c>
      <c r="I325" s="2" t="s">
        <v>1843</v>
      </c>
      <c r="J325" s="2" t="s">
        <v>2018</v>
      </c>
    </row>
    <row r="326" spans="1:10" ht="14.4" x14ac:dyDescent="0.3">
      <c r="A326" s="2" t="s">
        <v>22</v>
      </c>
      <c r="B326" s="2" t="s">
        <v>729</v>
      </c>
      <c r="C326" s="2" t="s">
        <v>728</v>
      </c>
      <c r="D326" s="2" t="s">
        <v>1410</v>
      </c>
      <c r="E326" s="2" t="s">
        <v>5068</v>
      </c>
      <c r="F326" s="2" t="s">
        <v>5069</v>
      </c>
      <c r="G326" s="2" t="s">
        <v>5070</v>
      </c>
      <c r="H326" s="2" t="s">
        <v>1464</v>
      </c>
      <c r="I326" s="2" t="s">
        <v>1755</v>
      </c>
      <c r="J326" s="2" t="s">
        <v>2018</v>
      </c>
    </row>
    <row r="327" spans="1:10" ht="14.4" x14ac:dyDescent="0.3">
      <c r="A327" s="2" t="s">
        <v>42</v>
      </c>
      <c r="B327" s="2" t="s">
        <v>731</v>
      </c>
      <c r="C327" s="2" t="s">
        <v>730</v>
      </c>
      <c r="D327" s="2" t="s">
        <v>1410</v>
      </c>
      <c r="E327" s="2" t="s">
        <v>5332</v>
      </c>
      <c r="F327" s="2" t="s">
        <v>5333</v>
      </c>
      <c r="G327" s="2" t="s">
        <v>1637</v>
      </c>
      <c r="H327" s="2" t="s">
        <v>1452</v>
      </c>
      <c r="I327" s="2" t="s">
        <v>1755</v>
      </c>
      <c r="J327" s="2" t="s">
        <v>1551</v>
      </c>
    </row>
    <row r="328" spans="1:10" ht="14.4" x14ac:dyDescent="0.3">
      <c r="A328" s="2" t="s">
        <v>55</v>
      </c>
      <c r="B328" s="2" t="s">
        <v>733</v>
      </c>
      <c r="C328" s="2" t="s">
        <v>732</v>
      </c>
      <c r="D328" s="2" t="s">
        <v>1410</v>
      </c>
      <c r="E328" s="2" t="s">
        <v>3992</v>
      </c>
      <c r="F328" s="2" t="s">
        <v>5157</v>
      </c>
      <c r="G328" s="2" t="s">
        <v>5158</v>
      </c>
      <c r="H328" s="2" t="s">
        <v>1452</v>
      </c>
      <c r="I328" s="2" t="s">
        <v>1755</v>
      </c>
      <c r="J328" s="2" t="s">
        <v>1551</v>
      </c>
    </row>
    <row r="329" spans="1:10" ht="14.4" x14ac:dyDescent="0.3">
      <c r="A329" s="2" t="s">
        <v>55</v>
      </c>
      <c r="B329" s="2" t="s">
        <v>735</v>
      </c>
      <c r="C329" s="2" t="s">
        <v>734</v>
      </c>
      <c r="D329" s="2" t="s">
        <v>1410</v>
      </c>
      <c r="E329" s="2" t="s">
        <v>5360</v>
      </c>
      <c r="F329" s="2" t="s">
        <v>5361</v>
      </c>
      <c r="G329" s="2" t="s">
        <v>5077</v>
      </c>
      <c r="H329" s="2" t="s">
        <v>1464</v>
      </c>
      <c r="I329" s="2" t="s">
        <v>1755</v>
      </c>
      <c r="J329" s="2" t="s">
        <v>2018</v>
      </c>
    </row>
    <row r="330" spans="1:10" ht="14.4" x14ac:dyDescent="0.3">
      <c r="A330" s="2" t="s">
        <v>19</v>
      </c>
      <c r="B330" s="2" t="s">
        <v>737</v>
      </c>
      <c r="C330" s="2" t="s">
        <v>736</v>
      </c>
      <c r="D330" s="2" t="s">
        <v>1410</v>
      </c>
      <c r="E330" s="2" t="s">
        <v>4774</v>
      </c>
      <c r="F330" s="2" t="s">
        <v>2215</v>
      </c>
      <c r="G330" s="2" t="s">
        <v>4098</v>
      </c>
      <c r="H330" s="2" t="s">
        <v>1464</v>
      </c>
      <c r="I330" s="2" t="s">
        <v>1755</v>
      </c>
      <c r="J330" s="2" t="s">
        <v>2018</v>
      </c>
    </row>
    <row r="331" spans="1:10" ht="14.4" x14ac:dyDescent="0.3">
      <c r="A331" s="2" t="s">
        <v>31</v>
      </c>
      <c r="B331" s="2" t="s">
        <v>739</v>
      </c>
      <c r="C331" s="2" t="s">
        <v>738</v>
      </c>
      <c r="D331" s="2" t="s">
        <v>1410</v>
      </c>
      <c r="E331" s="2" t="s">
        <v>5283</v>
      </c>
      <c r="F331" s="2" t="s">
        <v>2887</v>
      </c>
      <c r="G331" s="2" t="s">
        <v>1734</v>
      </c>
      <c r="H331" s="2" t="s">
        <v>1424</v>
      </c>
      <c r="I331" s="2" t="s">
        <v>1843</v>
      </c>
      <c r="J331" s="2" t="s">
        <v>2018</v>
      </c>
    </row>
    <row r="332" spans="1:10" ht="14.4" x14ac:dyDescent="0.3">
      <c r="A332" s="2" t="s">
        <v>49</v>
      </c>
      <c r="B332" s="2" t="s">
        <v>743</v>
      </c>
      <c r="C332" s="2" t="s">
        <v>742</v>
      </c>
      <c r="D332" s="2" t="s">
        <v>1410</v>
      </c>
      <c r="E332" s="2" t="s">
        <v>4340</v>
      </c>
      <c r="F332" s="2" t="s">
        <v>5424</v>
      </c>
      <c r="G332" s="2" t="s">
        <v>5425</v>
      </c>
      <c r="H332" s="2" t="s">
        <v>1464</v>
      </c>
      <c r="I332" s="2" t="s">
        <v>1755</v>
      </c>
      <c r="J332" s="2" t="s">
        <v>2018</v>
      </c>
    </row>
    <row r="333" spans="1:10" ht="14.4" x14ac:dyDescent="0.3">
      <c r="A333" s="2" t="s">
        <v>8</v>
      </c>
      <c r="B333" s="2" t="s">
        <v>745</v>
      </c>
      <c r="C333" s="2" t="s">
        <v>744</v>
      </c>
      <c r="D333" s="2" t="s">
        <v>1410</v>
      </c>
      <c r="E333" s="2" t="s">
        <v>5340</v>
      </c>
      <c r="F333" s="2" t="s">
        <v>5341</v>
      </c>
      <c r="G333" s="2" t="s">
        <v>2178</v>
      </c>
      <c r="H333" s="2" t="s">
        <v>1419</v>
      </c>
      <c r="I333" s="2" t="s">
        <v>1755</v>
      </c>
      <c r="J333" s="2" t="s">
        <v>1599</v>
      </c>
    </row>
    <row r="334" spans="1:10" ht="14.4" x14ac:dyDescent="0.3">
      <c r="A334" s="2" t="s">
        <v>748</v>
      </c>
      <c r="B334" s="2" t="s">
        <v>747</v>
      </c>
      <c r="C334" s="2" t="s">
        <v>746</v>
      </c>
      <c r="D334" s="2" t="s">
        <v>1410</v>
      </c>
      <c r="E334" s="2" t="s">
        <v>5285</v>
      </c>
      <c r="F334" s="2" t="s">
        <v>5287</v>
      </c>
      <c r="G334" s="2" t="s">
        <v>4943</v>
      </c>
      <c r="H334" s="2" t="s">
        <v>4535</v>
      </c>
      <c r="I334" s="2" t="s">
        <v>4471</v>
      </c>
      <c r="J334" s="2" t="s">
        <v>1551</v>
      </c>
    </row>
    <row r="335" spans="1:10" ht="14.4" x14ac:dyDescent="0.3">
      <c r="A335" s="2" t="s">
        <v>71</v>
      </c>
      <c r="B335" s="2" t="s">
        <v>750</v>
      </c>
      <c r="C335" s="2" t="s">
        <v>749</v>
      </c>
      <c r="D335" s="2" t="s">
        <v>1410</v>
      </c>
      <c r="E335" s="2" t="s">
        <v>4933</v>
      </c>
      <c r="F335" s="2" t="s">
        <v>4934</v>
      </c>
      <c r="G335" s="2" t="s">
        <v>4935</v>
      </c>
      <c r="H335" s="2" t="s">
        <v>1464</v>
      </c>
      <c r="I335" s="2" t="s">
        <v>1755</v>
      </c>
      <c r="J335" s="2" t="s">
        <v>2018</v>
      </c>
    </row>
    <row r="336" spans="1:10" ht="14.4" x14ac:dyDescent="0.3">
      <c r="A336" s="2" t="s">
        <v>123</v>
      </c>
      <c r="B336" s="2" t="s">
        <v>752</v>
      </c>
      <c r="C336" s="2" t="s">
        <v>751</v>
      </c>
      <c r="D336" s="2" t="s">
        <v>1410</v>
      </c>
      <c r="E336" s="2" t="s">
        <v>5294</v>
      </c>
      <c r="F336" s="2" t="s">
        <v>5295</v>
      </c>
      <c r="G336" s="2" t="s">
        <v>2686</v>
      </c>
      <c r="H336" s="2" t="s">
        <v>1464</v>
      </c>
      <c r="I336" s="2" t="s">
        <v>1755</v>
      </c>
      <c r="J336" s="2" t="s">
        <v>2018</v>
      </c>
    </row>
    <row r="337" spans="1:10" ht="14.4" x14ac:dyDescent="0.3">
      <c r="A337" s="2" t="s">
        <v>42</v>
      </c>
      <c r="B337" s="2" t="s">
        <v>754</v>
      </c>
      <c r="C337" s="2" t="s">
        <v>753</v>
      </c>
      <c r="D337" s="2" t="s">
        <v>1410</v>
      </c>
      <c r="E337" s="2" t="s">
        <v>5295</v>
      </c>
      <c r="F337" s="2" t="s">
        <v>5299</v>
      </c>
      <c r="G337" s="2" t="s">
        <v>2106</v>
      </c>
      <c r="H337" s="2" t="s">
        <v>1452</v>
      </c>
      <c r="I337" s="2" t="s">
        <v>1755</v>
      </c>
      <c r="J337" s="2" t="s">
        <v>1551</v>
      </c>
    </row>
    <row r="338" spans="1:10" ht="14.4" x14ac:dyDescent="0.3">
      <c r="A338" s="2" t="s">
        <v>11</v>
      </c>
      <c r="B338" s="2" t="s">
        <v>756</v>
      </c>
      <c r="C338" s="2" t="s">
        <v>755</v>
      </c>
      <c r="D338" s="2" t="s">
        <v>1410</v>
      </c>
      <c r="E338" s="2" t="s">
        <v>5065</v>
      </c>
      <c r="F338" s="2" t="s">
        <v>5066</v>
      </c>
      <c r="G338" s="2" t="s">
        <v>5067</v>
      </c>
      <c r="H338" s="2" t="s">
        <v>1419</v>
      </c>
      <c r="I338" s="2" t="s">
        <v>1755</v>
      </c>
      <c r="J338" s="2" t="s">
        <v>1599</v>
      </c>
    </row>
    <row r="339" spans="1:10" ht="14.4" x14ac:dyDescent="0.3">
      <c r="A339" s="2" t="s">
        <v>133</v>
      </c>
      <c r="B339" s="2" t="s">
        <v>756</v>
      </c>
      <c r="C339" s="2" t="s">
        <v>757</v>
      </c>
      <c r="D339" s="2" t="s">
        <v>1410</v>
      </c>
      <c r="E339" s="2" t="s">
        <v>3594</v>
      </c>
      <c r="F339" s="2" t="s">
        <v>4806</v>
      </c>
      <c r="G339" s="2" t="s">
        <v>4810</v>
      </c>
      <c r="H339" s="2" t="s">
        <v>1464</v>
      </c>
      <c r="I339" s="2" t="s">
        <v>1755</v>
      </c>
      <c r="J339" s="2" t="s">
        <v>2018</v>
      </c>
    </row>
    <row r="340" spans="1:10" ht="14.4" x14ac:dyDescent="0.3">
      <c r="A340" s="2" t="s">
        <v>71</v>
      </c>
      <c r="B340" s="2" t="s">
        <v>759</v>
      </c>
      <c r="C340" s="2" t="s">
        <v>758</v>
      </c>
      <c r="D340" s="2" t="s">
        <v>1410</v>
      </c>
      <c r="E340" s="2" t="s">
        <v>3014</v>
      </c>
      <c r="F340" s="2" t="s">
        <v>5376</v>
      </c>
      <c r="G340" s="2" t="s">
        <v>5377</v>
      </c>
      <c r="H340" s="2" t="s">
        <v>1464</v>
      </c>
      <c r="I340" s="2" t="s">
        <v>1755</v>
      </c>
      <c r="J340" s="2" t="s">
        <v>2018</v>
      </c>
    </row>
    <row r="341" spans="1:10" ht="14.4" x14ac:dyDescent="0.3">
      <c r="A341" s="2" t="s">
        <v>25</v>
      </c>
      <c r="B341" s="2" t="s">
        <v>762</v>
      </c>
      <c r="C341" s="2" t="s">
        <v>761</v>
      </c>
      <c r="D341" s="2" t="s">
        <v>1410</v>
      </c>
      <c r="E341" s="2" t="s">
        <v>5075</v>
      </c>
      <c r="F341" s="2" t="s">
        <v>5076</v>
      </c>
      <c r="G341" s="2" t="s">
        <v>5077</v>
      </c>
      <c r="H341" s="2" t="s">
        <v>1464</v>
      </c>
      <c r="I341" s="2" t="s">
        <v>1755</v>
      </c>
      <c r="J341" s="2" t="s">
        <v>2018</v>
      </c>
    </row>
    <row r="342" spans="1:10" ht="14.4" x14ac:dyDescent="0.3">
      <c r="A342" s="2" t="s">
        <v>42</v>
      </c>
      <c r="B342" s="2" t="s">
        <v>24</v>
      </c>
      <c r="C342" s="2" t="s">
        <v>763</v>
      </c>
      <c r="D342" s="2" t="s">
        <v>1410</v>
      </c>
      <c r="E342" s="2" t="s">
        <v>5139</v>
      </c>
      <c r="F342" s="2" t="s">
        <v>3972</v>
      </c>
      <c r="G342" s="2" t="s">
        <v>1836</v>
      </c>
      <c r="H342" s="2" t="s">
        <v>1464</v>
      </c>
      <c r="I342" s="2" t="s">
        <v>1755</v>
      </c>
      <c r="J342" s="2" t="s">
        <v>2018</v>
      </c>
    </row>
    <row r="343" spans="1:10" ht="14.4" x14ac:dyDescent="0.3">
      <c r="A343" s="2" t="s">
        <v>71</v>
      </c>
      <c r="B343" s="2" t="s">
        <v>765</v>
      </c>
      <c r="C343" s="2" t="s">
        <v>764</v>
      </c>
      <c r="D343" s="2" t="s">
        <v>1410</v>
      </c>
      <c r="E343" s="2" t="s">
        <v>4771</v>
      </c>
      <c r="F343" s="2" t="s">
        <v>4772</v>
      </c>
      <c r="G343" s="2" t="s">
        <v>4773</v>
      </c>
      <c r="H343" s="2" t="s">
        <v>1438</v>
      </c>
      <c r="I343" s="2" t="s">
        <v>1551</v>
      </c>
      <c r="J343" s="2" t="s">
        <v>2018</v>
      </c>
    </row>
    <row r="344" spans="1:10" ht="14.4" x14ac:dyDescent="0.3">
      <c r="A344" s="2" t="s">
        <v>42</v>
      </c>
      <c r="B344" s="2" t="s">
        <v>767</v>
      </c>
      <c r="C344" s="2" t="s">
        <v>766</v>
      </c>
      <c r="D344" s="2" t="s">
        <v>1410</v>
      </c>
      <c r="E344" s="2" t="s">
        <v>5163</v>
      </c>
      <c r="F344" s="2" t="s">
        <v>5164</v>
      </c>
      <c r="G344" s="2" t="s">
        <v>3067</v>
      </c>
      <c r="H344" s="2" t="s">
        <v>1464</v>
      </c>
      <c r="I344" s="2" t="s">
        <v>1755</v>
      </c>
      <c r="J344" s="2" t="s">
        <v>2018</v>
      </c>
    </row>
    <row r="345" spans="1:10" ht="14.4" x14ac:dyDescent="0.3">
      <c r="A345" s="2" t="s">
        <v>123</v>
      </c>
      <c r="B345" s="2" t="s">
        <v>769</v>
      </c>
      <c r="C345" s="2" t="s">
        <v>768</v>
      </c>
      <c r="D345" s="2" t="s">
        <v>1410</v>
      </c>
      <c r="E345" s="2" t="s">
        <v>4069</v>
      </c>
      <c r="F345" s="2" t="s">
        <v>2841</v>
      </c>
      <c r="G345" s="2" t="s">
        <v>5233</v>
      </c>
      <c r="H345" s="2" t="s">
        <v>1551</v>
      </c>
      <c r="I345" s="2" t="s">
        <v>1551</v>
      </c>
      <c r="J345" s="2" t="s">
        <v>1414</v>
      </c>
    </row>
    <row r="346" spans="1:10" ht="14.4" x14ac:dyDescent="0.3">
      <c r="A346" s="2" t="s">
        <v>31</v>
      </c>
      <c r="B346" s="2" t="s">
        <v>771</v>
      </c>
      <c r="C346" s="2" t="s">
        <v>770</v>
      </c>
      <c r="D346" s="2" t="s">
        <v>1410</v>
      </c>
      <c r="E346" s="2" t="s">
        <v>5173</v>
      </c>
      <c r="F346" s="2" t="s">
        <v>5174</v>
      </c>
      <c r="G346" s="2" t="s">
        <v>5175</v>
      </c>
      <c r="H346" s="2" t="s">
        <v>4496</v>
      </c>
      <c r="I346" s="2" t="s">
        <v>4471</v>
      </c>
      <c r="J346" s="2" t="s">
        <v>2062</v>
      </c>
    </row>
    <row r="347" spans="1:10" ht="14.4" x14ac:dyDescent="0.3">
      <c r="A347" s="2" t="s">
        <v>49</v>
      </c>
      <c r="B347" s="2" t="s">
        <v>773</v>
      </c>
      <c r="C347" s="2" t="s">
        <v>772</v>
      </c>
      <c r="D347" s="2" t="s">
        <v>1410</v>
      </c>
      <c r="E347" s="2" t="s">
        <v>5270</v>
      </c>
      <c r="F347" s="2" t="s">
        <v>5271</v>
      </c>
      <c r="G347" s="2" t="s">
        <v>5272</v>
      </c>
      <c r="H347" s="2" t="s">
        <v>4494</v>
      </c>
      <c r="I347" s="2" t="s">
        <v>4471</v>
      </c>
      <c r="J347" s="2" t="s">
        <v>2018</v>
      </c>
    </row>
    <row r="348" spans="1:10" ht="14.4" x14ac:dyDescent="0.3">
      <c r="A348" s="2" t="s">
        <v>49</v>
      </c>
      <c r="B348" s="2" t="s">
        <v>773</v>
      </c>
      <c r="C348" s="2" t="s">
        <v>772</v>
      </c>
      <c r="D348" s="2" t="s">
        <v>1410</v>
      </c>
      <c r="E348" s="2" t="s">
        <v>3043</v>
      </c>
      <c r="F348" s="2" t="s">
        <v>3040</v>
      </c>
      <c r="G348" s="2" t="s">
        <v>5385</v>
      </c>
      <c r="H348" s="2" t="s">
        <v>4494</v>
      </c>
      <c r="I348" s="2" t="s">
        <v>4471</v>
      </c>
      <c r="J348" s="2" t="s">
        <v>2018</v>
      </c>
    </row>
    <row r="349" spans="1:10" ht="14.4" x14ac:dyDescent="0.3">
      <c r="A349" s="2" t="s">
        <v>42</v>
      </c>
      <c r="B349" s="2" t="s">
        <v>775</v>
      </c>
      <c r="C349" s="2" t="s">
        <v>774</v>
      </c>
      <c r="D349" s="2" t="s">
        <v>1410</v>
      </c>
      <c r="E349" s="2" t="s">
        <v>5122</v>
      </c>
      <c r="F349" s="2" t="s">
        <v>2706</v>
      </c>
      <c r="G349" s="2" t="s">
        <v>3788</v>
      </c>
      <c r="H349" s="2" t="s">
        <v>4535</v>
      </c>
      <c r="I349" s="2" t="s">
        <v>4471</v>
      </c>
      <c r="J349" s="2" t="s">
        <v>1551</v>
      </c>
    </row>
    <row r="350" spans="1:10" ht="14.4" x14ac:dyDescent="0.3">
      <c r="A350" s="2" t="s">
        <v>55</v>
      </c>
      <c r="B350" s="2" t="s">
        <v>777</v>
      </c>
      <c r="C350" s="2" t="s">
        <v>776</v>
      </c>
      <c r="D350" s="2" t="s">
        <v>1410</v>
      </c>
      <c r="E350" s="2" t="s">
        <v>3800</v>
      </c>
      <c r="F350" s="2" t="s">
        <v>4986</v>
      </c>
      <c r="G350" s="2" t="s">
        <v>4301</v>
      </c>
      <c r="H350" s="2" t="s">
        <v>4487</v>
      </c>
      <c r="I350" s="2" t="s">
        <v>4471</v>
      </c>
      <c r="J350" s="2" t="s">
        <v>1506</v>
      </c>
    </row>
    <row r="351" spans="1:10" ht="14.4" x14ac:dyDescent="0.3">
      <c r="A351" s="2" t="s">
        <v>25</v>
      </c>
      <c r="B351" s="2" t="s">
        <v>779</v>
      </c>
      <c r="C351" s="2" t="s">
        <v>778</v>
      </c>
      <c r="D351" s="2" t="s">
        <v>1410</v>
      </c>
      <c r="E351" s="2" t="s">
        <v>5069</v>
      </c>
      <c r="F351" s="2" t="s">
        <v>5071</v>
      </c>
      <c r="G351" s="2" t="s">
        <v>2155</v>
      </c>
      <c r="H351" s="2" t="s">
        <v>4494</v>
      </c>
      <c r="I351" s="2" t="s">
        <v>4471</v>
      </c>
      <c r="J351" s="2" t="s">
        <v>2018</v>
      </c>
    </row>
    <row r="352" spans="1:10" ht="14.4" x14ac:dyDescent="0.3">
      <c r="A352" s="2" t="s">
        <v>8</v>
      </c>
      <c r="B352" s="2" t="s">
        <v>781</v>
      </c>
      <c r="C352" s="2" t="s">
        <v>780</v>
      </c>
      <c r="D352" s="2" t="s">
        <v>1410</v>
      </c>
      <c r="E352" s="2" t="s">
        <v>2574</v>
      </c>
      <c r="F352" s="2" t="s">
        <v>5025</v>
      </c>
      <c r="G352" s="2" t="s">
        <v>4470</v>
      </c>
      <c r="H352" s="2" t="s">
        <v>1414</v>
      </c>
      <c r="I352" s="2" t="s">
        <v>1414</v>
      </c>
      <c r="J352" s="2" t="s">
        <v>1414</v>
      </c>
    </row>
    <row r="353" spans="1:10" ht="14.4" x14ac:dyDescent="0.3">
      <c r="A353" s="2" t="s">
        <v>8</v>
      </c>
      <c r="B353" s="2" t="s">
        <v>781</v>
      </c>
      <c r="C353" s="2" t="s">
        <v>780</v>
      </c>
      <c r="D353" s="2" t="s">
        <v>1456</v>
      </c>
      <c r="E353" s="2" t="s">
        <v>3865</v>
      </c>
      <c r="F353" s="2" t="s">
        <v>1415</v>
      </c>
      <c r="G353" s="2" t="s">
        <v>1415</v>
      </c>
      <c r="H353" s="2" t="s">
        <v>1415</v>
      </c>
      <c r="I353" s="2" t="s">
        <v>1843</v>
      </c>
      <c r="J353" s="2" t="s">
        <v>2018</v>
      </c>
    </row>
    <row r="354" spans="1:10" ht="14.4" x14ac:dyDescent="0.3">
      <c r="A354" s="2" t="s">
        <v>71</v>
      </c>
      <c r="B354" s="2" t="s">
        <v>783</v>
      </c>
      <c r="C354" s="2" t="s">
        <v>782</v>
      </c>
      <c r="D354" s="2" t="s">
        <v>1410</v>
      </c>
      <c r="E354" s="2" t="s">
        <v>4217</v>
      </c>
      <c r="F354" s="2" t="s">
        <v>4225</v>
      </c>
      <c r="G354" s="2" t="s">
        <v>5325</v>
      </c>
      <c r="H354" s="2" t="s">
        <v>1414</v>
      </c>
      <c r="I354" s="2" t="s">
        <v>1414</v>
      </c>
      <c r="J354" s="2" t="s">
        <v>1414</v>
      </c>
    </row>
    <row r="355" spans="1:10" ht="14.4" x14ac:dyDescent="0.3">
      <c r="A355" s="2" t="s">
        <v>71</v>
      </c>
      <c r="B355" s="2" t="s">
        <v>783</v>
      </c>
      <c r="C355" s="2" t="s">
        <v>782</v>
      </c>
      <c r="D355" s="2" t="s">
        <v>1410</v>
      </c>
      <c r="E355" s="2" t="s">
        <v>3027</v>
      </c>
      <c r="F355" s="2" t="s">
        <v>3022</v>
      </c>
      <c r="G355" s="2" t="s">
        <v>5384</v>
      </c>
      <c r="H355" s="2" t="s">
        <v>1438</v>
      </c>
      <c r="I355" s="2" t="s">
        <v>1551</v>
      </c>
      <c r="J355" s="2" t="s">
        <v>2018</v>
      </c>
    </row>
    <row r="356" spans="1:10" ht="14.4" x14ac:dyDescent="0.3">
      <c r="A356" s="2" t="s">
        <v>8</v>
      </c>
      <c r="B356" s="2" t="s">
        <v>785</v>
      </c>
      <c r="C356" s="2" t="s">
        <v>784</v>
      </c>
      <c r="D356" s="2" t="s">
        <v>1410</v>
      </c>
      <c r="E356" s="2" t="s">
        <v>3562</v>
      </c>
      <c r="F356" s="2" t="s">
        <v>4797</v>
      </c>
      <c r="G356" s="2" t="s">
        <v>2052</v>
      </c>
      <c r="H356" s="2" t="s">
        <v>1464</v>
      </c>
      <c r="I356" s="2" t="s">
        <v>1755</v>
      </c>
      <c r="J356" s="2" t="s">
        <v>2018</v>
      </c>
    </row>
    <row r="357" spans="1:10" ht="14.4" x14ac:dyDescent="0.3">
      <c r="A357" s="2" t="s">
        <v>8</v>
      </c>
      <c r="B357" s="2" t="s">
        <v>785</v>
      </c>
      <c r="C357" s="2" t="s">
        <v>784</v>
      </c>
      <c r="D357" s="2" t="s">
        <v>1456</v>
      </c>
      <c r="E357" s="2" t="s">
        <v>2588</v>
      </c>
      <c r="F357" s="2" t="s">
        <v>1415</v>
      </c>
      <c r="G357" s="2" t="s">
        <v>1415</v>
      </c>
      <c r="H357" s="2" t="s">
        <v>1415</v>
      </c>
      <c r="I357" s="2" t="s">
        <v>1415</v>
      </c>
      <c r="J357" s="2" t="s">
        <v>1415</v>
      </c>
    </row>
    <row r="358" spans="1:10" ht="14.4" x14ac:dyDescent="0.3">
      <c r="A358" s="2" t="s">
        <v>8</v>
      </c>
      <c r="B358" s="2" t="s">
        <v>787</v>
      </c>
      <c r="C358" s="2" t="s">
        <v>786</v>
      </c>
      <c r="D358" s="2" t="s">
        <v>1410</v>
      </c>
      <c r="E358" s="2" t="s">
        <v>4079</v>
      </c>
      <c r="F358" s="2" t="s">
        <v>5253</v>
      </c>
      <c r="G358" s="2" t="s">
        <v>2601</v>
      </c>
      <c r="H358" s="2" t="s">
        <v>1464</v>
      </c>
      <c r="I358" s="2" t="s">
        <v>1755</v>
      </c>
      <c r="J358" s="2" t="s">
        <v>2018</v>
      </c>
    </row>
    <row r="359" spans="1:10" ht="14.4" x14ac:dyDescent="0.3">
      <c r="A359" s="2" t="s">
        <v>42</v>
      </c>
      <c r="B359" s="2" t="s">
        <v>57</v>
      </c>
      <c r="C359" s="2" t="s">
        <v>788</v>
      </c>
      <c r="D359" s="2" t="s">
        <v>1410</v>
      </c>
      <c r="E359" s="2" t="s">
        <v>5117</v>
      </c>
      <c r="F359" s="2" t="s">
        <v>5118</v>
      </c>
      <c r="G359" s="2" t="s">
        <v>5119</v>
      </c>
      <c r="H359" s="2" t="s">
        <v>1464</v>
      </c>
      <c r="I359" s="2" t="s">
        <v>1755</v>
      </c>
      <c r="J359" s="2" t="s">
        <v>2018</v>
      </c>
    </row>
    <row r="360" spans="1:10" ht="14.4" x14ac:dyDescent="0.3">
      <c r="A360" s="2" t="s">
        <v>8</v>
      </c>
      <c r="B360" s="2" t="s">
        <v>57</v>
      </c>
      <c r="C360" s="2" t="s">
        <v>789</v>
      </c>
      <c r="D360" s="2" t="s">
        <v>1410</v>
      </c>
      <c r="E360" s="2" t="s">
        <v>5269</v>
      </c>
      <c r="F360" s="2" t="s">
        <v>4100</v>
      </c>
      <c r="G360" s="2" t="s">
        <v>4953</v>
      </c>
      <c r="H360" s="2" t="s">
        <v>1464</v>
      </c>
      <c r="I360" s="2" t="s">
        <v>1755</v>
      </c>
      <c r="J360" s="2" t="s">
        <v>2018</v>
      </c>
    </row>
    <row r="361" spans="1:10" ht="14.4" x14ac:dyDescent="0.3">
      <c r="A361" s="2" t="s">
        <v>31</v>
      </c>
      <c r="B361" s="2" t="s">
        <v>791</v>
      </c>
      <c r="C361" s="2" t="s">
        <v>790</v>
      </c>
      <c r="D361" s="2" t="s">
        <v>1410</v>
      </c>
      <c r="E361" s="2" t="s">
        <v>4802</v>
      </c>
      <c r="F361" s="2" t="s">
        <v>2255</v>
      </c>
      <c r="G361" s="2" t="s">
        <v>4803</v>
      </c>
      <c r="H361" s="2" t="s">
        <v>1464</v>
      </c>
      <c r="I361" s="2" t="s">
        <v>1755</v>
      </c>
      <c r="J361" s="2" t="s">
        <v>2018</v>
      </c>
    </row>
    <row r="362" spans="1:10" ht="14.4" x14ac:dyDescent="0.3">
      <c r="A362" s="2" t="s">
        <v>794</v>
      </c>
      <c r="B362" s="2" t="s">
        <v>793</v>
      </c>
      <c r="C362" s="2" t="s">
        <v>792</v>
      </c>
      <c r="D362" s="2" t="s">
        <v>1410</v>
      </c>
      <c r="E362" s="2" t="s">
        <v>2591</v>
      </c>
      <c r="F362" s="2" t="s">
        <v>5035</v>
      </c>
      <c r="G362" s="2" t="s">
        <v>5036</v>
      </c>
      <c r="H362" s="2" t="s">
        <v>4494</v>
      </c>
      <c r="I362" s="2" t="s">
        <v>4471</v>
      </c>
      <c r="J362" s="2" t="s">
        <v>2018</v>
      </c>
    </row>
    <row r="363" spans="1:10" ht="14.4" x14ac:dyDescent="0.3">
      <c r="A363" s="2" t="s">
        <v>28</v>
      </c>
      <c r="B363" s="2" t="s">
        <v>796</v>
      </c>
      <c r="C363" s="2" t="s">
        <v>795</v>
      </c>
      <c r="D363" s="2" t="s">
        <v>1410</v>
      </c>
      <c r="E363" s="2" t="s">
        <v>5281</v>
      </c>
      <c r="F363" s="2" t="s">
        <v>5282</v>
      </c>
      <c r="G363" s="2" t="s">
        <v>2456</v>
      </c>
      <c r="H363" s="2" t="s">
        <v>4435</v>
      </c>
      <c r="I363" s="2" t="s">
        <v>4436</v>
      </c>
      <c r="J363" s="2" t="s">
        <v>1551</v>
      </c>
    </row>
    <row r="364" spans="1:10" ht="14.4" x14ac:dyDescent="0.3">
      <c r="A364" s="2" t="s">
        <v>8</v>
      </c>
      <c r="B364" s="2" t="s">
        <v>798</v>
      </c>
      <c r="C364" s="2" t="s">
        <v>797</v>
      </c>
      <c r="D364" s="2" t="s">
        <v>1410</v>
      </c>
      <c r="E364" s="2" t="s">
        <v>3987</v>
      </c>
      <c r="F364" s="2" t="s">
        <v>2736</v>
      </c>
      <c r="G364" s="2" t="s">
        <v>2949</v>
      </c>
      <c r="H364" s="2" t="s">
        <v>4494</v>
      </c>
      <c r="I364" s="2" t="s">
        <v>4471</v>
      </c>
      <c r="J364" s="2" t="s">
        <v>2018</v>
      </c>
    </row>
    <row r="365" spans="1:10" ht="14.4" x14ac:dyDescent="0.3">
      <c r="A365" s="2" t="s">
        <v>16</v>
      </c>
      <c r="B365" s="2" t="s">
        <v>800</v>
      </c>
      <c r="C365" s="2" t="s">
        <v>799</v>
      </c>
      <c r="D365" s="2" t="s">
        <v>1410</v>
      </c>
      <c r="E365" s="2" t="s">
        <v>4973</v>
      </c>
      <c r="F365" s="2" t="s">
        <v>4974</v>
      </c>
      <c r="G365" s="2" t="s">
        <v>2977</v>
      </c>
      <c r="H365" s="2" t="s">
        <v>1464</v>
      </c>
      <c r="I365" s="2" t="s">
        <v>1755</v>
      </c>
      <c r="J365" s="2" t="s">
        <v>2018</v>
      </c>
    </row>
    <row r="366" spans="1:10" ht="14.4" x14ac:dyDescent="0.3">
      <c r="A366" s="2" t="s">
        <v>31</v>
      </c>
      <c r="B366" s="2" t="s">
        <v>800</v>
      </c>
      <c r="C366" s="2" t="s">
        <v>801</v>
      </c>
      <c r="D366" s="2" t="s">
        <v>1410</v>
      </c>
      <c r="E366" s="2" t="s">
        <v>5296</v>
      </c>
      <c r="F366" s="2" t="s">
        <v>4176</v>
      </c>
      <c r="G366" s="2" t="s">
        <v>4484</v>
      </c>
      <c r="H366" s="2" t="s">
        <v>1464</v>
      </c>
      <c r="I366" s="2" t="s">
        <v>1755</v>
      </c>
      <c r="J366" s="2" t="s">
        <v>2018</v>
      </c>
    </row>
    <row r="367" spans="1:10" ht="14.4" x14ac:dyDescent="0.3">
      <c r="A367" s="2" t="s">
        <v>55</v>
      </c>
      <c r="B367" s="2" t="s">
        <v>803</v>
      </c>
      <c r="C367" s="2" t="s">
        <v>802</v>
      </c>
      <c r="D367" s="2" t="s">
        <v>1410</v>
      </c>
      <c r="E367" s="2" t="s">
        <v>5091</v>
      </c>
      <c r="F367" s="2" t="s">
        <v>5092</v>
      </c>
      <c r="G367" s="2" t="s">
        <v>4981</v>
      </c>
      <c r="H367" s="2" t="s">
        <v>1464</v>
      </c>
      <c r="I367" s="2" t="s">
        <v>1755</v>
      </c>
      <c r="J367" s="2" t="s">
        <v>2018</v>
      </c>
    </row>
    <row r="368" spans="1:10" ht="14.4" x14ac:dyDescent="0.3">
      <c r="A368" s="2" t="s">
        <v>123</v>
      </c>
      <c r="B368" s="2" t="s">
        <v>805</v>
      </c>
      <c r="C368" s="2" t="s">
        <v>804</v>
      </c>
      <c r="D368" s="2" t="s">
        <v>1410</v>
      </c>
      <c r="E368" s="2" t="s">
        <v>5098</v>
      </c>
      <c r="F368" s="2" t="s">
        <v>5099</v>
      </c>
      <c r="G368" s="2" t="s">
        <v>4484</v>
      </c>
      <c r="H368" s="2" t="s">
        <v>1464</v>
      </c>
      <c r="I368" s="2" t="s">
        <v>1755</v>
      </c>
      <c r="J368" s="2" t="s">
        <v>2018</v>
      </c>
    </row>
    <row r="369" spans="1:10" ht="14.4" x14ac:dyDescent="0.3">
      <c r="A369" s="2" t="s">
        <v>42</v>
      </c>
      <c r="B369" s="2" t="s">
        <v>307</v>
      </c>
      <c r="C369" s="2" t="s">
        <v>806</v>
      </c>
      <c r="D369" s="2" t="s">
        <v>1410</v>
      </c>
      <c r="E369" s="2" t="s">
        <v>5129</v>
      </c>
      <c r="F369" s="2" t="s">
        <v>5130</v>
      </c>
      <c r="G369" s="2" t="s">
        <v>5131</v>
      </c>
      <c r="H369" s="2" t="s">
        <v>1438</v>
      </c>
      <c r="I369" s="2" t="s">
        <v>1551</v>
      </c>
      <c r="J369" s="2" t="s">
        <v>2018</v>
      </c>
    </row>
    <row r="370" spans="1:10" ht="14.4" x14ac:dyDescent="0.3">
      <c r="A370" s="2" t="s">
        <v>28</v>
      </c>
      <c r="B370" s="2" t="s">
        <v>808</v>
      </c>
      <c r="C370" s="2" t="s">
        <v>807</v>
      </c>
      <c r="D370" s="2" t="s">
        <v>1410</v>
      </c>
      <c r="E370" s="2" t="s">
        <v>5048</v>
      </c>
      <c r="F370" s="2" t="s">
        <v>5049</v>
      </c>
      <c r="G370" s="2" t="s">
        <v>5050</v>
      </c>
      <c r="H370" s="2" t="s">
        <v>4535</v>
      </c>
      <c r="I370" s="2" t="s">
        <v>4471</v>
      </c>
      <c r="J370" s="2" t="s">
        <v>1551</v>
      </c>
    </row>
    <row r="371" spans="1:10" ht="14.4" x14ac:dyDescent="0.3">
      <c r="A371" s="2" t="s">
        <v>8</v>
      </c>
      <c r="B371" s="2" t="s">
        <v>810</v>
      </c>
      <c r="C371" s="2" t="s">
        <v>809</v>
      </c>
      <c r="D371" s="2" t="s">
        <v>1410</v>
      </c>
      <c r="E371" s="2" t="s">
        <v>2787</v>
      </c>
      <c r="F371" s="2" t="s">
        <v>4039</v>
      </c>
      <c r="G371" s="2" t="s">
        <v>4458</v>
      </c>
      <c r="H371" s="2" t="s">
        <v>1843</v>
      </c>
      <c r="I371" s="2" t="s">
        <v>1843</v>
      </c>
      <c r="J371" s="2" t="s">
        <v>1414</v>
      </c>
    </row>
    <row r="372" spans="1:10" ht="14.4" x14ac:dyDescent="0.3">
      <c r="A372" s="2" t="s">
        <v>8</v>
      </c>
      <c r="B372" s="2" t="s">
        <v>810</v>
      </c>
      <c r="C372" s="2" t="s">
        <v>809</v>
      </c>
      <c r="D372" s="2" t="s">
        <v>1410</v>
      </c>
      <c r="E372" s="2" t="s">
        <v>5198</v>
      </c>
      <c r="F372" s="2" t="s">
        <v>5199</v>
      </c>
      <c r="G372" s="2" t="s">
        <v>2413</v>
      </c>
      <c r="H372" s="2" t="s">
        <v>4956</v>
      </c>
      <c r="I372" s="2" t="s">
        <v>4556</v>
      </c>
      <c r="J372" s="2" t="s">
        <v>2018</v>
      </c>
    </row>
    <row r="373" spans="1:10" ht="28.8" x14ac:dyDescent="0.3">
      <c r="A373" s="2" t="s">
        <v>19</v>
      </c>
      <c r="B373" s="2" t="s">
        <v>812</v>
      </c>
      <c r="C373" s="2" t="s">
        <v>811</v>
      </c>
      <c r="D373" s="2" t="s">
        <v>1410</v>
      </c>
      <c r="E373" s="2" t="s">
        <v>5153</v>
      </c>
      <c r="F373" s="2" t="s">
        <v>5154</v>
      </c>
      <c r="G373" s="2" t="s">
        <v>5155</v>
      </c>
      <c r="H373" s="2" t="s">
        <v>1464</v>
      </c>
      <c r="I373" s="2" t="s">
        <v>1755</v>
      </c>
      <c r="J373" s="2" t="s">
        <v>2018</v>
      </c>
    </row>
    <row r="374" spans="1:10" ht="14.4" x14ac:dyDescent="0.3">
      <c r="A374" s="2" t="s">
        <v>71</v>
      </c>
      <c r="B374" s="2" t="s">
        <v>814</v>
      </c>
      <c r="C374" s="2" t="s">
        <v>813</v>
      </c>
      <c r="D374" s="2" t="s">
        <v>1410</v>
      </c>
      <c r="E374" s="2" t="s">
        <v>5019</v>
      </c>
      <c r="F374" s="2" t="s">
        <v>2572</v>
      </c>
      <c r="G374" s="2" t="s">
        <v>5020</v>
      </c>
      <c r="H374" s="2" t="s">
        <v>1424</v>
      </c>
      <c r="I374" s="2" t="s">
        <v>1843</v>
      </c>
      <c r="J374" s="2" t="s">
        <v>2018</v>
      </c>
    </row>
    <row r="375" spans="1:10" ht="14.4" x14ac:dyDescent="0.3">
      <c r="A375" s="2" t="s">
        <v>133</v>
      </c>
      <c r="B375" s="2" t="s">
        <v>816</v>
      </c>
      <c r="C375" s="2" t="s">
        <v>815</v>
      </c>
      <c r="D375" s="2" t="s">
        <v>1410</v>
      </c>
      <c r="E375" s="2" t="s">
        <v>5273</v>
      </c>
      <c r="F375" s="2" t="s">
        <v>2866</v>
      </c>
      <c r="G375" s="2" t="s">
        <v>1976</v>
      </c>
      <c r="H375" s="2" t="s">
        <v>1464</v>
      </c>
      <c r="I375" s="2" t="s">
        <v>1755</v>
      </c>
      <c r="J375" s="2" t="s">
        <v>2018</v>
      </c>
    </row>
    <row r="376" spans="1:10" ht="14.4" x14ac:dyDescent="0.3">
      <c r="A376" s="2" t="s">
        <v>19</v>
      </c>
      <c r="B376" s="2" t="s">
        <v>818</v>
      </c>
      <c r="C376" s="2" t="s">
        <v>817</v>
      </c>
      <c r="D376" s="2" t="s">
        <v>1410</v>
      </c>
      <c r="E376" s="2" t="s">
        <v>4875</v>
      </c>
      <c r="F376" s="2" t="s">
        <v>4876</v>
      </c>
      <c r="G376" s="2" t="s">
        <v>2129</v>
      </c>
      <c r="H376" s="2" t="s">
        <v>1843</v>
      </c>
      <c r="I376" s="2" t="s">
        <v>1843</v>
      </c>
      <c r="J376" s="2" t="s">
        <v>1414</v>
      </c>
    </row>
    <row r="377" spans="1:10" ht="14.4" x14ac:dyDescent="0.3">
      <c r="A377" s="2" t="s">
        <v>19</v>
      </c>
      <c r="B377" s="2" t="s">
        <v>818</v>
      </c>
      <c r="C377" s="2" t="s">
        <v>817</v>
      </c>
      <c r="D377" s="2" t="s">
        <v>1456</v>
      </c>
      <c r="E377" s="2" t="s">
        <v>4879</v>
      </c>
      <c r="F377" s="2" t="s">
        <v>1415</v>
      </c>
      <c r="G377" s="2" t="s">
        <v>1415</v>
      </c>
      <c r="H377" s="2" t="s">
        <v>1415</v>
      </c>
      <c r="I377" s="2" t="s">
        <v>1415</v>
      </c>
      <c r="J377" s="2" t="s">
        <v>1415</v>
      </c>
    </row>
    <row r="378" spans="1:10" ht="14.4" x14ac:dyDescent="0.3">
      <c r="A378" s="2" t="s">
        <v>19</v>
      </c>
      <c r="B378" s="2" t="s">
        <v>818</v>
      </c>
      <c r="C378" s="2" t="s">
        <v>819</v>
      </c>
      <c r="D378" s="2" t="s">
        <v>1410</v>
      </c>
      <c r="E378" s="2" t="s">
        <v>3846</v>
      </c>
      <c r="F378" s="2" t="s">
        <v>5023</v>
      </c>
      <c r="G378" s="2" t="s">
        <v>2472</v>
      </c>
      <c r="H378" s="2" t="s">
        <v>1438</v>
      </c>
      <c r="I378" s="2" t="s">
        <v>1551</v>
      </c>
      <c r="J378" s="2" t="s">
        <v>2018</v>
      </c>
    </row>
    <row r="379" spans="1:10" ht="14.4" x14ac:dyDescent="0.3">
      <c r="A379" s="2" t="s">
        <v>42</v>
      </c>
      <c r="B379" s="2" t="s">
        <v>818</v>
      </c>
      <c r="C379" s="2" t="s">
        <v>820</v>
      </c>
      <c r="D379" s="2" t="s">
        <v>1410</v>
      </c>
      <c r="E379" s="2" t="s">
        <v>5078</v>
      </c>
      <c r="F379" s="2" t="s">
        <v>5080</v>
      </c>
      <c r="G379" s="2" t="s">
        <v>3013</v>
      </c>
      <c r="H379" s="2" t="s">
        <v>1452</v>
      </c>
      <c r="I379" s="2" t="s">
        <v>1755</v>
      </c>
      <c r="J379" s="2" t="s">
        <v>1551</v>
      </c>
    </row>
    <row r="380" spans="1:10" ht="14.4" x14ac:dyDescent="0.3">
      <c r="A380" s="2" t="s">
        <v>11</v>
      </c>
      <c r="B380" s="2" t="s">
        <v>316</v>
      </c>
      <c r="C380" s="2" t="s">
        <v>821</v>
      </c>
      <c r="D380" s="2" t="s">
        <v>1410</v>
      </c>
      <c r="E380" s="2" t="s">
        <v>4196</v>
      </c>
      <c r="F380" s="2" t="s">
        <v>5305</v>
      </c>
      <c r="G380" s="2" t="s">
        <v>4512</v>
      </c>
      <c r="H380" s="2" t="s">
        <v>1464</v>
      </c>
      <c r="I380" s="2" t="s">
        <v>1755</v>
      </c>
      <c r="J380" s="2" t="s">
        <v>2018</v>
      </c>
    </row>
    <row r="381" spans="1:10" ht="14.4" x14ac:dyDescent="0.3">
      <c r="A381" s="2" t="s">
        <v>55</v>
      </c>
      <c r="B381" s="2" t="s">
        <v>319</v>
      </c>
      <c r="C381" s="2" t="s">
        <v>822</v>
      </c>
      <c r="D381" s="2" t="s">
        <v>1410</v>
      </c>
      <c r="E381" s="2" t="s">
        <v>4789</v>
      </c>
      <c r="F381" s="2" t="s">
        <v>4790</v>
      </c>
      <c r="G381" s="2" t="s">
        <v>4746</v>
      </c>
      <c r="H381" s="2" t="s">
        <v>4494</v>
      </c>
      <c r="I381" s="2" t="s">
        <v>4471</v>
      </c>
      <c r="J381" s="2" t="s">
        <v>2018</v>
      </c>
    </row>
    <row r="382" spans="1:10" ht="14.4" x14ac:dyDescent="0.3">
      <c r="A382" s="2" t="s">
        <v>55</v>
      </c>
      <c r="B382" s="2" t="s">
        <v>319</v>
      </c>
      <c r="C382" s="2" t="s">
        <v>822</v>
      </c>
      <c r="D382" s="2" t="s">
        <v>1410</v>
      </c>
      <c r="E382" s="2" t="s">
        <v>4944</v>
      </c>
      <c r="F382" s="2" t="s">
        <v>2468</v>
      </c>
      <c r="G382" s="2" t="s">
        <v>4945</v>
      </c>
      <c r="H382" s="2" t="s">
        <v>1464</v>
      </c>
      <c r="I382" s="2" t="s">
        <v>1755</v>
      </c>
      <c r="J382" s="2" t="s">
        <v>2018</v>
      </c>
    </row>
    <row r="383" spans="1:10" ht="14.4" x14ac:dyDescent="0.3">
      <c r="A383" s="2" t="s">
        <v>825</v>
      </c>
      <c r="B383" s="2" t="s">
        <v>824</v>
      </c>
      <c r="C383" s="2" t="s">
        <v>823</v>
      </c>
      <c r="D383" s="2" t="s">
        <v>1410</v>
      </c>
      <c r="E383" s="2" t="s">
        <v>3850</v>
      </c>
      <c r="F383" s="2" t="s">
        <v>5021</v>
      </c>
      <c r="G383" s="2" t="s">
        <v>5022</v>
      </c>
      <c r="H383" s="2" t="s">
        <v>4838</v>
      </c>
      <c r="I383" s="2" t="s">
        <v>4471</v>
      </c>
      <c r="J383" s="2" t="s">
        <v>1599</v>
      </c>
    </row>
    <row r="384" spans="1:10" ht="14.4" x14ac:dyDescent="0.3">
      <c r="A384" s="2" t="s">
        <v>8</v>
      </c>
      <c r="B384" s="2" t="s">
        <v>827</v>
      </c>
      <c r="C384" s="2" t="s">
        <v>826</v>
      </c>
      <c r="D384" s="2" t="s">
        <v>1410</v>
      </c>
      <c r="E384" s="2" t="s">
        <v>5338</v>
      </c>
      <c r="F384" s="2" t="s">
        <v>5339</v>
      </c>
      <c r="G384" s="2" t="s">
        <v>1868</v>
      </c>
      <c r="H384" s="2" t="s">
        <v>4436</v>
      </c>
      <c r="I384" s="2" t="s">
        <v>4436</v>
      </c>
      <c r="J384" s="2" t="s">
        <v>1414</v>
      </c>
    </row>
    <row r="385" spans="1:10" ht="14.4" x14ac:dyDescent="0.3">
      <c r="A385" s="2" t="s">
        <v>8</v>
      </c>
      <c r="B385" s="2" t="s">
        <v>79</v>
      </c>
      <c r="C385" s="2" t="s">
        <v>828</v>
      </c>
      <c r="D385" s="2" t="s">
        <v>1410</v>
      </c>
      <c r="E385" s="2" t="s">
        <v>5056</v>
      </c>
      <c r="F385" s="2" t="s">
        <v>3894</v>
      </c>
      <c r="G385" s="2" t="s">
        <v>4458</v>
      </c>
      <c r="H385" s="2" t="s">
        <v>1599</v>
      </c>
      <c r="I385" s="2" t="s">
        <v>1414</v>
      </c>
      <c r="J385" s="2" t="s">
        <v>1599</v>
      </c>
    </row>
    <row r="386" spans="1:10" ht="14.4" x14ac:dyDescent="0.3">
      <c r="A386" s="2" t="s">
        <v>337</v>
      </c>
      <c r="B386" s="2" t="s">
        <v>79</v>
      </c>
      <c r="C386" s="2" t="s">
        <v>829</v>
      </c>
      <c r="D386" s="2" t="s">
        <v>1410</v>
      </c>
      <c r="E386" s="2" t="s">
        <v>5307</v>
      </c>
      <c r="F386" s="2" t="s">
        <v>2910</v>
      </c>
      <c r="G386" s="2" t="s">
        <v>5162</v>
      </c>
      <c r="H386" s="2" t="s">
        <v>1464</v>
      </c>
      <c r="I386" s="2" t="s">
        <v>1755</v>
      </c>
      <c r="J386" s="2" t="s">
        <v>2018</v>
      </c>
    </row>
    <row r="387" spans="1:10" ht="28.8" x14ac:dyDescent="0.3">
      <c r="A387" s="2" t="s">
        <v>55</v>
      </c>
      <c r="B387" s="2" t="s">
        <v>831</v>
      </c>
      <c r="C387" s="2" t="s">
        <v>830</v>
      </c>
      <c r="D387" s="2" t="s">
        <v>1410</v>
      </c>
      <c r="E387" s="2" t="s">
        <v>5201</v>
      </c>
      <c r="F387" s="2" t="s">
        <v>5202</v>
      </c>
      <c r="G387" s="2" t="s">
        <v>4470</v>
      </c>
      <c r="H387" s="2" t="s">
        <v>1414</v>
      </c>
      <c r="I387" s="2" t="s">
        <v>1414</v>
      </c>
      <c r="J387" s="2" t="s">
        <v>1414</v>
      </c>
    </row>
    <row r="388" spans="1:10" ht="14.4" x14ac:dyDescent="0.3">
      <c r="A388" s="2" t="s">
        <v>49</v>
      </c>
      <c r="B388" s="2" t="s">
        <v>833</v>
      </c>
      <c r="C388" s="2" t="s">
        <v>832</v>
      </c>
      <c r="D388" s="2" t="s">
        <v>1410</v>
      </c>
      <c r="E388" s="2" t="s">
        <v>5076</v>
      </c>
      <c r="F388" s="2" t="s">
        <v>5078</v>
      </c>
      <c r="G388" s="2" t="s">
        <v>5079</v>
      </c>
      <c r="H388" s="2" t="s">
        <v>1464</v>
      </c>
      <c r="I388" s="2" t="s">
        <v>1755</v>
      </c>
      <c r="J388" s="2" t="s">
        <v>2018</v>
      </c>
    </row>
    <row r="389" spans="1:10" ht="14.4" x14ac:dyDescent="0.3">
      <c r="A389" s="2" t="s">
        <v>836</v>
      </c>
      <c r="B389" s="2" t="s">
        <v>835</v>
      </c>
      <c r="C389" s="2" t="s">
        <v>834</v>
      </c>
      <c r="D389" s="2" t="s">
        <v>1410</v>
      </c>
      <c r="E389" s="2" t="s">
        <v>5072</v>
      </c>
      <c r="F389" s="2" t="s">
        <v>5073</v>
      </c>
      <c r="G389" s="2" t="s">
        <v>5074</v>
      </c>
      <c r="H389" s="2" t="s">
        <v>1464</v>
      </c>
      <c r="I389" s="2" t="s">
        <v>1755</v>
      </c>
      <c r="J389" s="2" t="s">
        <v>2018</v>
      </c>
    </row>
    <row r="390" spans="1:10" ht="14.4" x14ac:dyDescent="0.3">
      <c r="A390" s="2" t="s">
        <v>25</v>
      </c>
      <c r="B390" s="2" t="s">
        <v>838</v>
      </c>
      <c r="C390" s="2" t="s">
        <v>837</v>
      </c>
      <c r="D390" s="2" t="s">
        <v>1410</v>
      </c>
      <c r="E390" s="2" t="s">
        <v>2741</v>
      </c>
      <c r="F390" s="2" t="s">
        <v>3992</v>
      </c>
      <c r="G390" s="2" t="s">
        <v>5156</v>
      </c>
      <c r="H390" s="2" t="s">
        <v>1464</v>
      </c>
      <c r="I390" s="2" t="s">
        <v>1755</v>
      </c>
      <c r="J390" s="2" t="s">
        <v>2018</v>
      </c>
    </row>
    <row r="391" spans="1:10" ht="14.4" x14ac:dyDescent="0.3">
      <c r="A391" s="2" t="s">
        <v>11</v>
      </c>
      <c r="B391" s="2" t="s">
        <v>840</v>
      </c>
      <c r="C391" s="2" t="s">
        <v>839</v>
      </c>
      <c r="D391" s="2" t="s">
        <v>1410</v>
      </c>
      <c r="E391" s="2" t="s">
        <v>5274</v>
      </c>
      <c r="F391" s="2" t="s">
        <v>5275</v>
      </c>
      <c r="G391" s="2" t="s">
        <v>1928</v>
      </c>
      <c r="H391" s="2" t="s">
        <v>4494</v>
      </c>
      <c r="I391" s="2" t="s">
        <v>4471</v>
      </c>
      <c r="J391" s="2" t="s">
        <v>2018</v>
      </c>
    </row>
    <row r="392" spans="1:10" ht="14.4" x14ac:dyDescent="0.3">
      <c r="A392" s="2" t="s">
        <v>31</v>
      </c>
      <c r="B392" s="2" t="s">
        <v>329</v>
      </c>
      <c r="C392" s="2" t="s">
        <v>841</v>
      </c>
      <c r="D392" s="2" t="s">
        <v>1410</v>
      </c>
      <c r="E392" s="2" t="s">
        <v>5242</v>
      </c>
      <c r="F392" s="2" t="s">
        <v>5243</v>
      </c>
      <c r="G392" s="2" t="s">
        <v>5244</v>
      </c>
      <c r="H392" s="2" t="s">
        <v>1488</v>
      </c>
      <c r="I392" s="2" t="s">
        <v>1843</v>
      </c>
      <c r="J392" s="2" t="s">
        <v>1551</v>
      </c>
    </row>
    <row r="393" spans="1:10" ht="14.4" x14ac:dyDescent="0.3">
      <c r="A393" s="2" t="s">
        <v>31</v>
      </c>
      <c r="B393" s="2" t="s">
        <v>329</v>
      </c>
      <c r="C393" s="2" t="s">
        <v>842</v>
      </c>
      <c r="D393" s="2" t="s">
        <v>1410</v>
      </c>
      <c r="E393" s="2" t="s">
        <v>5264</v>
      </c>
      <c r="F393" s="2" t="s">
        <v>5263</v>
      </c>
      <c r="G393" s="2" t="s">
        <v>5265</v>
      </c>
      <c r="H393" s="2" t="s">
        <v>1464</v>
      </c>
      <c r="I393" s="2" t="s">
        <v>1755</v>
      </c>
      <c r="J393" s="2" t="s">
        <v>2018</v>
      </c>
    </row>
    <row r="394" spans="1:10" ht="14.4" x14ac:dyDescent="0.3">
      <c r="A394" s="2" t="s">
        <v>25</v>
      </c>
      <c r="B394" s="2" t="s">
        <v>329</v>
      </c>
      <c r="C394" s="2" t="s">
        <v>843</v>
      </c>
      <c r="D394" s="2" t="s">
        <v>1410</v>
      </c>
      <c r="E394" s="2" t="s">
        <v>5224</v>
      </c>
      <c r="F394" s="2" t="s">
        <v>5225</v>
      </c>
      <c r="G394" s="2" t="s">
        <v>5226</v>
      </c>
      <c r="H394" s="2" t="s">
        <v>4494</v>
      </c>
      <c r="I394" s="2" t="s">
        <v>4471</v>
      </c>
      <c r="J394" s="2" t="s">
        <v>2018</v>
      </c>
    </row>
    <row r="395" spans="1:10" ht="14.4" x14ac:dyDescent="0.3">
      <c r="A395" s="2" t="s">
        <v>11</v>
      </c>
      <c r="B395" s="2" t="s">
        <v>845</v>
      </c>
      <c r="C395" s="2" t="s">
        <v>844</v>
      </c>
      <c r="D395" s="2" t="s">
        <v>1410</v>
      </c>
      <c r="E395" s="2" t="s">
        <v>4711</v>
      </c>
      <c r="F395" s="2" t="s">
        <v>4712</v>
      </c>
      <c r="G395" s="2" t="s">
        <v>4713</v>
      </c>
      <c r="H395" s="2" t="s">
        <v>1424</v>
      </c>
      <c r="I395" s="2" t="s">
        <v>1843</v>
      </c>
      <c r="J395" s="2" t="s">
        <v>2018</v>
      </c>
    </row>
    <row r="396" spans="1:10" ht="14.4" x14ac:dyDescent="0.3">
      <c r="A396" s="2" t="s">
        <v>31</v>
      </c>
      <c r="B396" s="2" t="s">
        <v>544</v>
      </c>
      <c r="C396" s="2" t="s">
        <v>846</v>
      </c>
      <c r="D396" s="2" t="s">
        <v>1410</v>
      </c>
      <c r="E396" s="2" t="s">
        <v>3984</v>
      </c>
      <c r="F396" s="2" t="s">
        <v>5147</v>
      </c>
      <c r="G396" s="2" t="s">
        <v>4458</v>
      </c>
      <c r="H396" s="2" t="s">
        <v>1551</v>
      </c>
      <c r="I396" s="2" t="s">
        <v>1414</v>
      </c>
      <c r="J396" s="2" t="s">
        <v>1551</v>
      </c>
    </row>
    <row r="397" spans="1:10" ht="14.4" x14ac:dyDescent="0.3">
      <c r="A397" s="2" t="s">
        <v>31</v>
      </c>
      <c r="B397" s="2" t="s">
        <v>544</v>
      </c>
      <c r="C397" s="2" t="s">
        <v>846</v>
      </c>
      <c r="D397" s="2" t="s">
        <v>1410</v>
      </c>
      <c r="E397" s="2" t="s">
        <v>5151</v>
      </c>
      <c r="F397" s="2" t="s">
        <v>5152</v>
      </c>
      <c r="G397" s="2" t="s">
        <v>3087</v>
      </c>
      <c r="H397" s="2" t="s">
        <v>1464</v>
      </c>
      <c r="I397" s="2" t="s">
        <v>1755</v>
      </c>
      <c r="J397" s="2" t="s">
        <v>2018</v>
      </c>
    </row>
    <row r="398" spans="1:10" ht="14.4" x14ac:dyDescent="0.3">
      <c r="A398" s="2" t="s">
        <v>42</v>
      </c>
      <c r="B398" s="2" t="s">
        <v>848</v>
      </c>
      <c r="C398" s="2" t="s">
        <v>847</v>
      </c>
      <c r="D398" s="2" t="s">
        <v>1410</v>
      </c>
      <c r="E398" s="2" t="s">
        <v>4685</v>
      </c>
      <c r="F398" s="2" t="s">
        <v>4686</v>
      </c>
      <c r="G398" s="2" t="s">
        <v>4687</v>
      </c>
      <c r="H398" s="2" t="s">
        <v>1755</v>
      </c>
      <c r="I398" s="2" t="s">
        <v>1755</v>
      </c>
      <c r="J398" s="2" t="s">
        <v>1414</v>
      </c>
    </row>
    <row r="399" spans="1:10" ht="14.4" x14ac:dyDescent="0.3">
      <c r="A399" s="2" t="s">
        <v>22</v>
      </c>
      <c r="B399" s="2" t="s">
        <v>848</v>
      </c>
      <c r="C399" s="2" t="s">
        <v>849</v>
      </c>
      <c r="D399" s="2" t="s">
        <v>1410</v>
      </c>
      <c r="E399" s="2" t="s">
        <v>5466</v>
      </c>
      <c r="F399" s="2" t="s">
        <v>5463</v>
      </c>
      <c r="G399" s="2" t="s">
        <v>5298</v>
      </c>
      <c r="H399" s="2" t="s">
        <v>1464</v>
      </c>
      <c r="I399" s="2" t="s">
        <v>1755</v>
      </c>
      <c r="J399" s="2" t="s">
        <v>2018</v>
      </c>
    </row>
    <row r="400" spans="1:10" ht="14.4" x14ac:dyDescent="0.3">
      <c r="A400" s="2" t="s">
        <v>28</v>
      </c>
      <c r="B400" s="2" t="s">
        <v>851</v>
      </c>
      <c r="C400" s="2" t="s">
        <v>850</v>
      </c>
      <c r="D400" s="2" t="s">
        <v>1410</v>
      </c>
      <c r="E400" s="2" t="s">
        <v>5205</v>
      </c>
      <c r="F400" s="2" t="s">
        <v>5206</v>
      </c>
      <c r="G400" s="2" t="s">
        <v>5207</v>
      </c>
      <c r="H400" s="2" t="s">
        <v>1563</v>
      </c>
      <c r="I400" s="2" t="s">
        <v>3204</v>
      </c>
      <c r="J400" s="2" t="s">
        <v>1599</v>
      </c>
    </row>
    <row r="401" spans="1:10" ht="14.4" x14ac:dyDescent="0.3">
      <c r="A401" s="2" t="s">
        <v>28</v>
      </c>
      <c r="B401" s="2" t="s">
        <v>851</v>
      </c>
      <c r="C401" s="2" t="s">
        <v>850</v>
      </c>
      <c r="D401" s="2" t="s">
        <v>1410</v>
      </c>
      <c r="E401" s="2" t="s">
        <v>2910</v>
      </c>
      <c r="F401" s="2" t="s">
        <v>4205</v>
      </c>
      <c r="G401" s="2" t="s">
        <v>2735</v>
      </c>
      <c r="H401" s="2" t="s">
        <v>4494</v>
      </c>
      <c r="I401" s="2" t="s">
        <v>4471</v>
      </c>
      <c r="J401" s="2" t="s">
        <v>2018</v>
      </c>
    </row>
    <row r="402" spans="1:10" ht="14.4" x14ac:dyDescent="0.3">
      <c r="A402" s="2" t="s">
        <v>31</v>
      </c>
      <c r="B402" s="2" t="s">
        <v>853</v>
      </c>
      <c r="C402" s="2" t="s">
        <v>852</v>
      </c>
      <c r="D402" s="2" t="s">
        <v>1410</v>
      </c>
      <c r="E402" s="2" t="s">
        <v>5148</v>
      </c>
      <c r="F402" s="2" t="s">
        <v>5149</v>
      </c>
      <c r="G402" s="2" t="s">
        <v>5150</v>
      </c>
      <c r="H402" s="2" t="s">
        <v>4494</v>
      </c>
      <c r="I402" s="2" t="s">
        <v>4471</v>
      </c>
      <c r="J402" s="2" t="s">
        <v>2018</v>
      </c>
    </row>
    <row r="403" spans="1:10" ht="14.4" x14ac:dyDescent="0.3">
      <c r="A403" s="2" t="s">
        <v>31</v>
      </c>
      <c r="B403" s="2" t="s">
        <v>855</v>
      </c>
      <c r="C403" s="2" t="s">
        <v>854</v>
      </c>
      <c r="D403" s="2" t="s">
        <v>1410</v>
      </c>
      <c r="E403" s="2" t="s">
        <v>4409</v>
      </c>
      <c r="F403" s="2" t="s">
        <v>5469</v>
      </c>
      <c r="G403" s="2" t="s">
        <v>2939</v>
      </c>
      <c r="H403" s="2" t="s">
        <v>1464</v>
      </c>
      <c r="I403" s="2" t="s">
        <v>1755</v>
      </c>
      <c r="J403" s="2" t="s">
        <v>2018</v>
      </c>
    </row>
    <row r="404" spans="1:10" ht="14.4" x14ac:dyDescent="0.3">
      <c r="A404" s="2" t="s">
        <v>8</v>
      </c>
      <c r="B404" s="2" t="s">
        <v>855</v>
      </c>
      <c r="C404" s="2" t="s">
        <v>856</v>
      </c>
      <c r="D404" s="2" t="s">
        <v>1410</v>
      </c>
      <c r="E404" s="2" t="s">
        <v>4673</v>
      </c>
      <c r="F404" s="2" t="s">
        <v>3457</v>
      </c>
      <c r="G404" s="2" t="s">
        <v>2291</v>
      </c>
      <c r="H404" s="2" t="s">
        <v>1452</v>
      </c>
      <c r="I404" s="2" t="s">
        <v>1755</v>
      </c>
      <c r="J404" s="2" t="s">
        <v>1551</v>
      </c>
    </row>
    <row r="405" spans="1:10" ht="14.4" x14ac:dyDescent="0.3">
      <c r="A405" s="2" t="s">
        <v>8</v>
      </c>
      <c r="B405" s="2" t="s">
        <v>855</v>
      </c>
      <c r="C405" s="2" t="s">
        <v>857</v>
      </c>
      <c r="D405" s="2" t="s">
        <v>1410</v>
      </c>
      <c r="E405" s="2" t="s">
        <v>5419</v>
      </c>
      <c r="F405" s="2" t="s">
        <v>4334</v>
      </c>
      <c r="G405" s="2" t="s">
        <v>4439</v>
      </c>
      <c r="H405" s="2" t="s">
        <v>1464</v>
      </c>
      <c r="I405" s="2" t="s">
        <v>1755</v>
      </c>
      <c r="J405" s="2" t="s">
        <v>2018</v>
      </c>
    </row>
    <row r="406" spans="1:10" ht="14.4" x14ac:dyDescent="0.3">
      <c r="A406" s="2" t="s">
        <v>28</v>
      </c>
      <c r="B406" s="2" t="s">
        <v>859</v>
      </c>
      <c r="C406" s="2" t="s">
        <v>858</v>
      </c>
      <c r="D406" s="2" t="s">
        <v>1410</v>
      </c>
      <c r="E406" s="2" t="s">
        <v>5044</v>
      </c>
      <c r="F406" s="2" t="s">
        <v>5045</v>
      </c>
      <c r="G406" s="2" t="s">
        <v>4938</v>
      </c>
      <c r="H406" s="2" t="s">
        <v>1464</v>
      </c>
      <c r="I406" s="2" t="s">
        <v>1755</v>
      </c>
      <c r="J406" s="2" t="s">
        <v>2018</v>
      </c>
    </row>
    <row r="407" spans="1:10" ht="14.4" x14ac:dyDescent="0.3">
      <c r="A407" s="2" t="s">
        <v>133</v>
      </c>
      <c r="B407" s="2" t="s">
        <v>553</v>
      </c>
      <c r="C407" s="2" t="s">
        <v>860</v>
      </c>
      <c r="D407" s="2" t="s">
        <v>1410</v>
      </c>
      <c r="E407" s="2" t="s">
        <v>5300</v>
      </c>
      <c r="F407" s="2" t="s">
        <v>5301</v>
      </c>
      <c r="G407" s="2" t="s">
        <v>1881</v>
      </c>
      <c r="H407" s="2" t="s">
        <v>1464</v>
      </c>
      <c r="I407" s="2" t="s">
        <v>1755</v>
      </c>
      <c r="J407" s="2" t="s">
        <v>2018</v>
      </c>
    </row>
    <row r="408" spans="1:10" ht="14.4" x14ac:dyDescent="0.3">
      <c r="A408" s="2" t="s">
        <v>585</v>
      </c>
      <c r="B408" s="2" t="s">
        <v>862</v>
      </c>
      <c r="C408" s="2" t="s">
        <v>861</v>
      </c>
      <c r="D408" s="2" t="s">
        <v>1410</v>
      </c>
      <c r="E408" s="2" t="s">
        <v>5228</v>
      </c>
      <c r="F408" s="2" t="s">
        <v>5229</v>
      </c>
      <c r="G408" s="2" t="s">
        <v>1497</v>
      </c>
      <c r="H408" s="2" t="s">
        <v>1464</v>
      </c>
      <c r="I408" s="2" t="s">
        <v>1755</v>
      </c>
      <c r="J408" s="2" t="s">
        <v>2018</v>
      </c>
    </row>
    <row r="409" spans="1:10" ht="14.4" x14ac:dyDescent="0.3">
      <c r="A409" s="2" t="s">
        <v>42</v>
      </c>
      <c r="B409" s="2" t="s">
        <v>864</v>
      </c>
      <c r="C409" s="2" t="s">
        <v>863</v>
      </c>
      <c r="D409" s="2" t="s">
        <v>1410</v>
      </c>
      <c r="E409" s="2" t="s">
        <v>5302</v>
      </c>
      <c r="F409" s="2" t="s">
        <v>5303</v>
      </c>
      <c r="G409" s="2" t="s">
        <v>5304</v>
      </c>
      <c r="H409" s="2" t="s">
        <v>1452</v>
      </c>
      <c r="I409" s="2" t="s">
        <v>1755</v>
      </c>
      <c r="J409" s="2" t="s">
        <v>1551</v>
      </c>
    </row>
    <row r="410" spans="1:10" ht="14.4" x14ac:dyDescent="0.3">
      <c r="A410" s="2" t="s">
        <v>8</v>
      </c>
      <c r="B410" s="2" t="s">
        <v>866</v>
      </c>
      <c r="C410" s="2" t="s">
        <v>865</v>
      </c>
      <c r="D410" s="2" t="s">
        <v>1410</v>
      </c>
      <c r="E410" s="2" t="s">
        <v>5392</v>
      </c>
      <c r="F410" s="2" t="s">
        <v>3061</v>
      </c>
      <c r="G410" s="2" t="s">
        <v>5393</v>
      </c>
      <c r="H410" s="2" t="s">
        <v>1464</v>
      </c>
      <c r="I410" s="2" t="s">
        <v>1755</v>
      </c>
      <c r="J410" s="2" t="s">
        <v>2018</v>
      </c>
    </row>
    <row r="411" spans="1:10" ht="14.4" x14ac:dyDescent="0.3">
      <c r="A411" s="2" t="s">
        <v>55</v>
      </c>
      <c r="B411" s="2" t="s">
        <v>868</v>
      </c>
      <c r="C411" s="2" t="s">
        <v>867</v>
      </c>
      <c r="D411" s="2" t="s">
        <v>1410</v>
      </c>
      <c r="E411" s="2" t="s">
        <v>5208</v>
      </c>
      <c r="F411" s="2" t="s">
        <v>5209</v>
      </c>
      <c r="G411" s="2" t="s">
        <v>2495</v>
      </c>
      <c r="H411" s="2" t="s">
        <v>1452</v>
      </c>
      <c r="I411" s="2" t="s">
        <v>1755</v>
      </c>
      <c r="J411" s="2" t="s">
        <v>1551</v>
      </c>
    </row>
    <row r="412" spans="1:10" ht="14.4" x14ac:dyDescent="0.3">
      <c r="A412" s="2" t="s">
        <v>8</v>
      </c>
      <c r="B412" s="2" t="s">
        <v>870</v>
      </c>
      <c r="C412" s="2" t="s">
        <v>869</v>
      </c>
      <c r="D412" s="2" t="s">
        <v>1410</v>
      </c>
      <c r="E412" s="2" t="s">
        <v>2690</v>
      </c>
      <c r="F412" s="2" t="s">
        <v>5111</v>
      </c>
      <c r="G412" s="2" t="s">
        <v>5112</v>
      </c>
      <c r="H412" s="2" t="s">
        <v>1464</v>
      </c>
      <c r="I412" s="2" t="s">
        <v>1755</v>
      </c>
      <c r="J412" s="2" t="s">
        <v>2018</v>
      </c>
    </row>
    <row r="413" spans="1:10" ht="14.4" x14ac:dyDescent="0.3">
      <c r="A413" s="2" t="s">
        <v>8</v>
      </c>
      <c r="B413" s="2" t="s">
        <v>339</v>
      </c>
      <c r="C413" s="2" t="s">
        <v>871</v>
      </c>
      <c r="D413" s="2" t="s">
        <v>1410</v>
      </c>
      <c r="E413" s="2" t="s">
        <v>5254</v>
      </c>
      <c r="F413" s="2" t="s">
        <v>5255</v>
      </c>
      <c r="G413" s="2" t="s">
        <v>5256</v>
      </c>
      <c r="H413" s="2" t="s">
        <v>1464</v>
      </c>
      <c r="I413" s="2" t="s">
        <v>1755</v>
      </c>
      <c r="J413" s="2" t="s">
        <v>2018</v>
      </c>
    </row>
    <row r="414" spans="1:10" ht="14.4" x14ac:dyDescent="0.3">
      <c r="A414" s="2" t="s">
        <v>133</v>
      </c>
      <c r="B414" s="2" t="s">
        <v>873</v>
      </c>
      <c r="C414" s="2" t="s">
        <v>872</v>
      </c>
      <c r="D414" s="2" t="s">
        <v>1410</v>
      </c>
      <c r="E414" s="2" t="s">
        <v>5104</v>
      </c>
      <c r="F414" s="2" t="s">
        <v>5105</v>
      </c>
      <c r="G414" s="2" t="s">
        <v>5106</v>
      </c>
      <c r="H414" s="2" t="s">
        <v>1464</v>
      </c>
      <c r="I414" s="2" t="s">
        <v>1755</v>
      </c>
      <c r="J414" s="2" t="s">
        <v>2018</v>
      </c>
    </row>
    <row r="415" spans="1:10" ht="14.4" x14ac:dyDescent="0.3">
      <c r="A415" s="2" t="s">
        <v>8</v>
      </c>
      <c r="B415" s="2" t="s">
        <v>875</v>
      </c>
      <c r="C415" s="2" t="s">
        <v>874</v>
      </c>
      <c r="D415" s="2" t="s">
        <v>1410</v>
      </c>
      <c r="E415" s="2" t="s">
        <v>4657</v>
      </c>
      <c r="F415" s="2" t="s">
        <v>4655</v>
      </c>
      <c r="G415" s="2" t="s">
        <v>3077</v>
      </c>
      <c r="H415" s="2" t="s">
        <v>1464</v>
      </c>
      <c r="I415" s="2" t="s">
        <v>1755</v>
      </c>
      <c r="J415" s="2" t="s">
        <v>2018</v>
      </c>
    </row>
    <row r="416" spans="1:10" ht="14.4" x14ac:dyDescent="0.3">
      <c r="A416" s="2" t="s">
        <v>8</v>
      </c>
      <c r="B416" s="2" t="s">
        <v>877</v>
      </c>
      <c r="C416" s="2" t="s">
        <v>876</v>
      </c>
      <c r="D416" s="2" t="s">
        <v>1410</v>
      </c>
      <c r="E416" s="2" t="s">
        <v>5278</v>
      </c>
      <c r="F416" s="2" t="s">
        <v>5279</v>
      </c>
      <c r="G416" s="2" t="s">
        <v>5280</v>
      </c>
      <c r="H416" s="2" t="s">
        <v>1464</v>
      </c>
      <c r="I416" s="2" t="s">
        <v>1755</v>
      </c>
      <c r="J416" s="2" t="s">
        <v>2018</v>
      </c>
    </row>
    <row r="417" spans="1:10" ht="14.4" x14ac:dyDescent="0.3">
      <c r="A417" s="2" t="s">
        <v>794</v>
      </c>
      <c r="B417" s="2" t="s">
        <v>879</v>
      </c>
      <c r="C417" s="2" t="s">
        <v>878</v>
      </c>
      <c r="D417" s="2" t="s">
        <v>1410</v>
      </c>
      <c r="E417" s="2" t="s">
        <v>4651</v>
      </c>
      <c r="F417" s="2" t="s">
        <v>4653</v>
      </c>
      <c r="G417" s="2" t="s">
        <v>3468</v>
      </c>
      <c r="H417" s="2" t="s">
        <v>4487</v>
      </c>
      <c r="I417" s="2" t="s">
        <v>4436</v>
      </c>
      <c r="J417" s="2" t="s">
        <v>2018</v>
      </c>
    </row>
    <row r="418" spans="1:10" ht="14.4" x14ac:dyDescent="0.3">
      <c r="A418" s="2" t="s">
        <v>123</v>
      </c>
      <c r="B418" s="2" t="s">
        <v>881</v>
      </c>
      <c r="C418" s="2" t="s">
        <v>880</v>
      </c>
      <c r="D418" s="2" t="s">
        <v>1410</v>
      </c>
      <c r="E418" s="2" t="s">
        <v>5432</v>
      </c>
      <c r="F418" s="2" t="s">
        <v>5433</v>
      </c>
      <c r="G418" s="2" t="s">
        <v>5280</v>
      </c>
      <c r="H418" s="2" t="s">
        <v>1464</v>
      </c>
      <c r="I418" s="2" t="s">
        <v>1755</v>
      </c>
      <c r="J418" s="2" t="s">
        <v>2018</v>
      </c>
    </row>
    <row r="419" spans="1:10" ht="14.4" x14ac:dyDescent="0.3">
      <c r="A419" s="2" t="s">
        <v>133</v>
      </c>
      <c r="B419" s="2" t="s">
        <v>883</v>
      </c>
      <c r="C419" s="2" t="s">
        <v>882</v>
      </c>
      <c r="D419" s="2" t="s">
        <v>1410</v>
      </c>
      <c r="E419" s="2" t="s">
        <v>4378</v>
      </c>
      <c r="F419" s="2" t="s">
        <v>5470</v>
      </c>
      <c r="G419" s="2" t="s">
        <v>5471</v>
      </c>
      <c r="H419" s="2" t="s">
        <v>4494</v>
      </c>
      <c r="I419" s="2" t="s">
        <v>4471</v>
      </c>
      <c r="J419" s="2" t="s">
        <v>2018</v>
      </c>
    </row>
    <row r="420" spans="1:10" ht="14.4" x14ac:dyDescent="0.3">
      <c r="A420" s="2" t="s">
        <v>8</v>
      </c>
      <c r="B420" s="2" t="s">
        <v>885</v>
      </c>
      <c r="C420" s="2" t="s">
        <v>884</v>
      </c>
      <c r="D420" s="2" t="s">
        <v>1410</v>
      </c>
      <c r="E420" s="2" t="s">
        <v>4647</v>
      </c>
      <c r="F420" s="2" t="s">
        <v>4648</v>
      </c>
      <c r="G420" s="2" t="s">
        <v>3255</v>
      </c>
      <c r="H420" s="2" t="s">
        <v>1464</v>
      </c>
      <c r="I420" s="2" t="s">
        <v>1755</v>
      </c>
      <c r="J420" s="2" t="s">
        <v>2018</v>
      </c>
    </row>
    <row r="421" spans="1:10" ht="14.4" x14ac:dyDescent="0.3">
      <c r="A421" s="2" t="s">
        <v>49</v>
      </c>
      <c r="B421" s="2" t="s">
        <v>887</v>
      </c>
      <c r="C421" s="2" t="s">
        <v>886</v>
      </c>
      <c r="D421" s="2" t="s">
        <v>1410</v>
      </c>
      <c r="E421" s="2" t="s">
        <v>5308</v>
      </c>
      <c r="F421" s="2" t="s">
        <v>5310</v>
      </c>
      <c r="G421" s="2" t="s">
        <v>2097</v>
      </c>
      <c r="H421" s="2" t="s">
        <v>4487</v>
      </c>
      <c r="I421" s="2" t="s">
        <v>4436</v>
      </c>
      <c r="J421" s="2" t="s">
        <v>2018</v>
      </c>
    </row>
    <row r="422" spans="1:10" ht="14.4" x14ac:dyDescent="0.3">
      <c r="A422" s="2" t="s">
        <v>31</v>
      </c>
      <c r="B422" s="2" t="s">
        <v>119</v>
      </c>
      <c r="C422" s="2" t="s">
        <v>888</v>
      </c>
      <c r="D422" s="2" t="s">
        <v>1410</v>
      </c>
      <c r="E422" s="2" t="s">
        <v>5127</v>
      </c>
      <c r="F422" s="2" t="s">
        <v>5128</v>
      </c>
      <c r="G422" s="2" t="s">
        <v>2977</v>
      </c>
      <c r="H422" s="2" t="s">
        <v>1464</v>
      </c>
      <c r="I422" s="2" t="s">
        <v>1755</v>
      </c>
      <c r="J422" s="2" t="s">
        <v>2018</v>
      </c>
    </row>
    <row r="423" spans="1:10" ht="14.4" x14ac:dyDescent="0.3">
      <c r="A423" s="2" t="s">
        <v>8</v>
      </c>
      <c r="B423" s="2" t="s">
        <v>890</v>
      </c>
      <c r="C423" s="2" t="s">
        <v>889</v>
      </c>
      <c r="D423" s="2" t="s">
        <v>1410</v>
      </c>
      <c r="E423" s="2" t="s">
        <v>5432</v>
      </c>
      <c r="F423" s="2" t="s">
        <v>5433</v>
      </c>
      <c r="G423" s="2" t="s">
        <v>5434</v>
      </c>
      <c r="H423" s="2" t="s">
        <v>1464</v>
      </c>
      <c r="I423" s="2" t="s">
        <v>1755</v>
      </c>
      <c r="J423" s="2" t="s">
        <v>2018</v>
      </c>
    </row>
    <row r="424" spans="1:10" ht="14.4" x14ac:dyDescent="0.3">
      <c r="A424" s="2" t="s">
        <v>893</v>
      </c>
      <c r="B424" s="2" t="s">
        <v>892</v>
      </c>
      <c r="C424" s="2" t="s">
        <v>891</v>
      </c>
      <c r="D424" s="2" t="s">
        <v>1410</v>
      </c>
      <c r="E424" s="2" t="s">
        <v>5426</v>
      </c>
      <c r="F424" s="2" t="s">
        <v>5427</v>
      </c>
      <c r="G424" s="2" t="s">
        <v>3560</v>
      </c>
      <c r="H424" s="2" t="s">
        <v>1488</v>
      </c>
      <c r="I424" s="2" t="s">
        <v>1843</v>
      </c>
      <c r="J424" s="2" t="s">
        <v>1551</v>
      </c>
    </row>
    <row r="425" spans="1:10" ht="14.4" x14ac:dyDescent="0.3">
      <c r="A425" s="2" t="s">
        <v>11</v>
      </c>
      <c r="B425" s="2" t="s">
        <v>895</v>
      </c>
      <c r="C425" s="2" t="s">
        <v>894</v>
      </c>
      <c r="D425" s="2" t="s">
        <v>1410</v>
      </c>
      <c r="E425" s="2" t="s">
        <v>5458</v>
      </c>
      <c r="F425" s="2" t="s">
        <v>5459</v>
      </c>
      <c r="G425" s="2" t="s">
        <v>5460</v>
      </c>
      <c r="H425" s="2" t="s">
        <v>1464</v>
      </c>
      <c r="I425" s="2" t="s">
        <v>1755</v>
      </c>
      <c r="J425" s="2" t="s">
        <v>2018</v>
      </c>
    </row>
    <row r="426" spans="1:10" ht="14.4" x14ac:dyDescent="0.3">
      <c r="A426" s="2" t="s">
        <v>8</v>
      </c>
      <c r="B426" s="2" t="s">
        <v>897</v>
      </c>
      <c r="C426" s="2" t="s">
        <v>896</v>
      </c>
      <c r="D426" s="2" t="s">
        <v>1410</v>
      </c>
      <c r="E426" s="2" t="s">
        <v>5448</v>
      </c>
      <c r="F426" s="2" t="s">
        <v>5450</v>
      </c>
      <c r="G426" s="2" t="s">
        <v>5451</v>
      </c>
      <c r="H426" s="2" t="s">
        <v>1464</v>
      </c>
      <c r="I426" s="2" t="s">
        <v>1755</v>
      </c>
      <c r="J426" s="2" t="s">
        <v>2018</v>
      </c>
    </row>
    <row r="427" spans="1:10" ht="14.4" x14ac:dyDescent="0.3">
      <c r="A427" s="2" t="s">
        <v>55</v>
      </c>
      <c r="B427" s="2" t="s">
        <v>899</v>
      </c>
      <c r="C427" s="2" t="s">
        <v>898</v>
      </c>
      <c r="D427" s="2" t="s">
        <v>1410</v>
      </c>
      <c r="E427" s="2" t="s">
        <v>4784</v>
      </c>
      <c r="F427" s="2" t="s">
        <v>4785</v>
      </c>
      <c r="G427" s="2" t="s">
        <v>4786</v>
      </c>
      <c r="H427" s="2" t="s">
        <v>4494</v>
      </c>
      <c r="I427" s="2" t="s">
        <v>4471</v>
      </c>
      <c r="J427" s="2" t="s">
        <v>2018</v>
      </c>
    </row>
    <row r="428" spans="1:10" ht="14.4" x14ac:dyDescent="0.3">
      <c r="A428" s="2" t="s">
        <v>8</v>
      </c>
      <c r="B428" s="2" t="s">
        <v>901</v>
      </c>
      <c r="C428" s="2" t="s">
        <v>900</v>
      </c>
      <c r="D428" s="2" t="s">
        <v>1410</v>
      </c>
      <c r="E428" s="2" t="s">
        <v>4537</v>
      </c>
      <c r="F428" s="2" t="s">
        <v>4538</v>
      </c>
      <c r="G428" s="2" t="s">
        <v>1993</v>
      </c>
      <c r="H428" s="2" t="s">
        <v>1464</v>
      </c>
      <c r="I428" s="2" t="s">
        <v>1755</v>
      </c>
      <c r="J428" s="2" t="s">
        <v>2018</v>
      </c>
    </row>
    <row r="429" spans="1:10" ht="14.4" x14ac:dyDescent="0.3">
      <c r="A429" s="2" t="s">
        <v>71</v>
      </c>
      <c r="B429" s="2" t="s">
        <v>903</v>
      </c>
      <c r="C429" s="2" t="s">
        <v>902</v>
      </c>
      <c r="D429" s="2" t="s">
        <v>1410</v>
      </c>
      <c r="E429" s="2" t="s">
        <v>5132</v>
      </c>
      <c r="F429" s="2" t="s">
        <v>5133</v>
      </c>
      <c r="G429" s="2" t="s">
        <v>4200</v>
      </c>
      <c r="H429" s="2" t="s">
        <v>2018</v>
      </c>
      <c r="I429" s="2" t="s">
        <v>1414</v>
      </c>
      <c r="J429" s="2" t="s">
        <v>2018</v>
      </c>
    </row>
    <row r="430" spans="1:10" ht="14.4" x14ac:dyDescent="0.3">
      <c r="A430" s="2" t="s">
        <v>71</v>
      </c>
      <c r="B430" s="2" t="s">
        <v>903</v>
      </c>
      <c r="C430" s="2" t="s">
        <v>902</v>
      </c>
      <c r="D430" s="2" t="s">
        <v>1410</v>
      </c>
      <c r="E430" s="2" t="s">
        <v>5165</v>
      </c>
      <c r="F430" s="2" t="s">
        <v>5166</v>
      </c>
      <c r="G430" s="2" t="s">
        <v>2456</v>
      </c>
      <c r="H430" s="2" t="s">
        <v>4535</v>
      </c>
      <c r="I430" s="2" t="s">
        <v>4471</v>
      </c>
      <c r="J430" s="2" t="s">
        <v>1551</v>
      </c>
    </row>
    <row r="431" spans="1:10" ht="14.4" x14ac:dyDescent="0.3">
      <c r="A431" s="2" t="s">
        <v>49</v>
      </c>
      <c r="B431" s="2" t="s">
        <v>905</v>
      </c>
      <c r="C431" s="2" t="s">
        <v>904</v>
      </c>
      <c r="D431" s="2" t="s">
        <v>1410</v>
      </c>
      <c r="E431" s="2" t="s">
        <v>2846</v>
      </c>
      <c r="F431" s="2" t="s">
        <v>4083</v>
      </c>
      <c r="G431" s="2" t="s">
        <v>5241</v>
      </c>
      <c r="H431" s="2" t="s">
        <v>1464</v>
      </c>
      <c r="I431" s="2" t="s">
        <v>1755</v>
      </c>
      <c r="J431" s="2" t="s">
        <v>2018</v>
      </c>
    </row>
    <row r="432" spans="1:10" ht="14.4" x14ac:dyDescent="0.3">
      <c r="A432" s="2" t="s">
        <v>31</v>
      </c>
      <c r="B432" s="2" t="s">
        <v>907</v>
      </c>
      <c r="C432" s="2" t="s">
        <v>906</v>
      </c>
      <c r="D432" s="2" t="s">
        <v>1410</v>
      </c>
      <c r="E432" s="2" t="s">
        <v>4872</v>
      </c>
      <c r="F432" s="2" t="s">
        <v>4873</v>
      </c>
      <c r="G432" s="2" t="s">
        <v>4874</v>
      </c>
      <c r="H432" s="2" t="s">
        <v>1464</v>
      </c>
      <c r="I432" s="2" t="s">
        <v>1755</v>
      </c>
      <c r="J432" s="2" t="s">
        <v>2018</v>
      </c>
    </row>
    <row r="433" spans="1:10" ht="14.4" x14ac:dyDescent="0.3">
      <c r="A433" s="2" t="s">
        <v>8</v>
      </c>
      <c r="B433" s="2" t="s">
        <v>909</v>
      </c>
      <c r="C433" s="2" t="s">
        <v>908</v>
      </c>
      <c r="D433" s="2" t="s">
        <v>1410</v>
      </c>
      <c r="E433" s="2" t="s">
        <v>5284</v>
      </c>
      <c r="F433" s="2" t="s">
        <v>5285</v>
      </c>
      <c r="G433" s="2" t="s">
        <v>5286</v>
      </c>
      <c r="H433" s="2" t="s">
        <v>4494</v>
      </c>
      <c r="I433" s="2" t="s">
        <v>4471</v>
      </c>
      <c r="J433" s="2" t="s">
        <v>2018</v>
      </c>
    </row>
    <row r="434" spans="1:10" ht="14.4" x14ac:dyDescent="0.3">
      <c r="A434" s="2" t="s">
        <v>31</v>
      </c>
      <c r="B434" s="2" t="s">
        <v>911</v>
      </c>
      <c r="C434" s="2" t="s">
        <v>910</v>
      </c>
      <c r="D434" s="2" t="s">
        <v>1410</v>
      </c>
      <c r="E434" s="2" t="s">
        <v>3307</v>
      </c>
      <c r="F434" s="2" t="s">
        <v>1735</v>
      </c>
      <c r="G434" s="2" t="s">
        <v>2669</v>
      </c>
      <c r="H434" s="2" t="s">
        <v>1464</v>
      </c>
      <c r="I434" s="2" t="s">
        <v>1755</v>
      </c>
      <c r="J434" s="2" t="s">
        <v>2018</v>
      </c>
    </row>
    <row r="435" spans="1:10" ht="14.4" x14ac:dyDescent="0.3">
      <c r="A435" s="2" t="s">
        <v>31</v>
      </c>
      <c r="B435" s="2" t="s">
        <v>911</v>
      </c>
      <c r="C435" s="2" t="s">
        <v>912</v>
      </c>
      <c r="D435" s="2" t="s">
        <v>1410</v>
      </c>
      <c r="E435" s="2" t="s">
        <v>5358</v>
      </c>
      <c r="F435" s="2" t="s">
        <v>2963</v>
      </c>
      <c r="G435" s="2" t="s">
        <v>5359</v>
      </c>
      <c r="H435" s="2" t="s">
        <v>1424</v>
      </c>
      <c r="I435" s="2" t="s">
        <v>1843</v>
      </c>
      <c r="J435" s="2" t="s">
        <v>2018</v>
      </c>
    </row>
    <row r="436" spans="1:10" ht="14.4" x14ac:dyDescent="0.3">
      <c r="A436" s="2" t="s">
        <v>11</v>
      </c>
      <c r="B436" s="2" t="s">
        <v>914</v>
      </c>
      <c r="C436" s="2" t="s">
        <v>913</v>
      </c>
      <c r="D436" s="2" t="s">
        <v>1410</v>
      </c>
      <c r="E436" s="2" t="s">
        <v>2935</v>
      </c>
      <c r="F436" s="2" t="s">
        <v>5326</v>
      </c>
      <c r="G436" s="2" t="s">
        <v>5327</v>
      </c>
      <c r="H436" s="2" t="s">
        <v>4956</v>
      </c>
      <c r="I436" s="2" t="s">
        <v>4436</v>
      </c>
      <c r="J436" s="2" t="s">
        <v>1506</v>
      </c>
    </row>
    <row r="437" spans="1:10" ht="14.4" x14ac:dyDescent="0.3">
      <c r="A437" s="2" t="s">
        <v>133</v>
      </c>
      <c r="B437" s="2" t="s">
        <v>916</v>
      </c>
      <c r="C437" s="2" t="s">
        <v>915</v>
      </c>
      <c r="D437" s="2" t="s">
        <v>1410</v>
      </c>
      <c r="E437" s="2" t="s">
        <v>5102</v>
      </c>
      <c r="F437" s="2" t="s">
        <v>5103</v>
      </c>
      <c r="G437" s="2" t="s">
        <v>4786</v>
      </c>
      <c r="H437" s="2" t="s">
        <v>1464</v>
      </c>
      <c r="I437" s="2" t="s">
        <v>1755</v>
      </c>
      <c r="J437" s="2" t="s">
        <v>2018</v>
      </c>
    </row>
    <row r="438" spans="1:10" ht="14.4" x14ac:dyDescent="0.3">
      <c r="A438" s="2" t="s">
        <v>919</v>
      </c>
      <c r="B438" s="2" t="s">
        <v>918</v>
      </c>
      <c r="C438" s="2" t="s">
        <v>917</v>
      </c>
      <c r="D438" s="2" t="s">
        <v>1410</v>
      </c>
      <c r="E438" s="2" t="s">
        <v>3061</v>
      </c>
      <c r="F438" s="2" t="s">
        <v>4295</v>
      </c>
      <c r="G438" s="2" t="s">
        <v>3866</v>
      </c>
      <c r="H438" s="2" t="s">
        <v>4984</v>
      </c>
      <c r="I438" s="2" t="s">
        <v>4999</v>
      </c>
      <c r="J438" s="2" t="s">
        <v>2018</v>
      </c>
    </row>
    <row r="439" spans="1:10" ht="14.4" x14ac:dyDescent="0.3">
      <c r="A439" s="2" t="s">
        <v>16</v>
      </c>
      <c r="B439" s="2" t="s">
        <v>921</v>
      </c>
      <c r="C439" s="2" t="s">
        <v>920</v>
      </c>
      <c r="D439" s="2" t="s">
        <v>1410</v>
      </c>
      <c r="E439" s="2" t="s">
        <v>1943</v>
      </c>
      <c r="F439" s="2" t="s">
        <v>4658</v>
      </c>
      <c r="G439" s="2" t="s">
        <v>4659</v>
      </c>
      <c r="H439" s="2" t="s">
        <v>3214</v>
      </c>
      <c r="I439" s="2" t="s">
        <v>3214</v>
      </c>
      <c r="J439" s="2" t="s">
        <v>1414</v>
      </c>
    </row>
    <row r="440" spans="1:10" ht="14.4" x14ac:dyDescent="0.3">
      <c r="A440" s="2" t="s">
        <v>16</v>
      </c>
      <c r="B440" s="2" t="s">
        <v>921</v>
      </c>
      <c r="C440" s="2" t="s">
        <v>920</v>
      </c>
      <c r="D440" s="2" t="s">
        <v>1410</v>
      </c>
      <c r="E440" s="2" t="s">
        <v>4670</v>
      </c>
      <c r="F440" s="2" t="s">
        <v>4669</v>
      </c>
      <c r="G440" s="2" t="s">
        <v>4499</v>
      </c>
      <c r="H440" s="2" t="s">
        <v>1464</v>
      </c>
      <c r="I440" s="2" t="s">
        <v>1755</v>
      </c>
      <c r="J440" s="2" t="s">
        <v>2018</v>
      </c>
    </row>
    <row r="441" spans="1:10" ht="14.4" x14ac:dyDescent="0.3">
      <c r="A441" s="2" t="s">
        <v>293</v>
      </c>
      <c r="B441" s="2" t="s">
        <v>923</v>
      </c>
      <c r="C441" s="2" t="s">
        <v>922</v>
      </c>
      <c r="D441" s="2" t="s">
        <v>1410</v>
      </c>
      <c r="E441" s="2" t="s">
        <v>2700</v>
      </c>
      <c r="F441" s="2" t="s">
        <v>5114</v>
      </c>
      <c r="G441" s="2" t="s">
        <v>4470</v>
      </c>
      <c r="H441" s="2" t="s">
        <v>1414</v>
      </c>
      <c r="I441" s="2" t="s">
        <v>1414</v>
      </c>
      <c r="J441" s="2" t="s">
        <v>1414</v>
      </c>
    </row>
    <row r="442" spans="1:10" ht="14.4" x14ac:dyDescent="0.3">
      <c r="A442" s="2" t="s">
        <v>293</v>
      </c>
      <c r="B442" s="2" t="s">
        <v>923</v>
      </c>
      <c r="C442" s="2" t="s">
        <v>922</v>
      </c>
      <c r="D442" s="2" t="s">
        <v>1410</v>
      </c>
      <c r="E442" s="2" t="s">
        <v>5123</v>
      </c>
      <c r="F442" s="2" t="s">
        <v>3958</v>
      </c>
      <c r="G442" s="2" t="s">
        <v>5124</v>
      </c>
      <c r="H442" s="2" t="s">
        <v>4494</v>
      </c>
      <c r="I442" s="2" t="s">
        <v>4471</v>
      </c>
      <c r="J442" s="2" t="s">
        <v>2018</v>
      </c>
    </row>
    <row r="443" spans="1:10" ht="14.4" x14ac:dyDescent="0.3">
      <c r="A443" s="2" t="s">
        <v>926</v>
      </c>
      <c r="B443" s="2" t="s">
        <v>925</v>
      </c>
      <c r="C443" s="2" t="s">
        <v>924</v>
      </c>
      <c r="D443" s="2" t="s">
        <v>1410</v>
      </c>
      <c r="E443" s="2" t="s">
        <v>2784</v>
      </c>
      <c r="F443" s="2" t="s">
        <v>5195</v>
      </c>
      <c r="G443" s="2" t="s">
        <v>5119</v>
      </c>
      <c r="H443" s="2" t="s">
        <v>1464</v>
      </c>
      <c r="I443" s="2" t="s">
        <v>1755</v>
      </c>
      <c r="J443" s="2" t="s">
        <v>2018</v>
      </c>
    </row>
    <row r="444" spans="1:10" ht="14.4" x14ac:dyDescent="0.3">
      <c r="A444" s="2" t="s">
        <v>31</v>
      </c>
      <c r="B444" s="2" t="s">
        <v>928</v>
      </c>
      <c r="C444" s="2" t="s">
        <v>927</v>
      </c>
      <c r="D444" s="2" t="s">
        <v>1410</v>
      </c>
      <c r="E444" s="2" t="s">
        <v>5144</v>
      </c>
      <c r="F444" s="2" t="s">
        <v>5145</v>
      </c>
      <c r="G444" s="2" t="s">
        <v>5146</v>
      </c>
      <c r="H444" s="2" t="s">
        <v>1464</v>
      </c>
      <c r="I444" s="2" t="s">
        <v>1755</v>
      </c>
      <c r="J444" s="2" t="s">
        <v>2018</v>
      </c>
    </row>
    <row r="445" spans="1:10" ht="14.4" x14ac:dyDescent="0.3">
      <c r="A445" s="2" t="s">
        <v>8</v>
      </c>
      <c r="B445" s="2" t="s">
        <v>930</v>
      </c>
      <c r="C445" s="2" t="s">
        <v>929</v>
      </c>
      <c r="D445" s="2" t="s">
        <v>1410</v>
      </c>
      <c r="E445" s="2" t="s">
        <v>5188</v>
      </c>
      <c r="F445" s="2" t="s">
        <v>2784</v>
      </c>
      <c r="G445" s="2" t="s">
        <v>5189</v>
      </c>
      <c r="H445" s="2" t="s">
        <v>1464</v>
      </c>
      <c r="I445" s="2" t="s">
        <v>1755</v>
      </c>
      <c r="J445" s="2" t="s">
        <v>2018</v>
      </c>
    </row>
    <row r="446" spans="1:10" ht="14.4" x14ac:dyDescent="0.3">
      <c r="A446" s="2" t="s">
        <v>25</v>
      </c>
      <c r="B446" s="2" t="s">
        <v>932</v>
      </c>
      <c r="C446" s="2" t="s">
        <v>931</v>
      </c>
      <c r="D446" s="2" t="s">
        <v>1410</v>
      </c>
      <c r="E446" s="2" t="s">
        <v>5170</v>
      </c>
      <c r="F446" s="2" t="s">
        <v>5171</v>
      </c>
      <c r="G446" s="2" t="s">
        <v>5172</v>
      </c>
      <c r="H446" s="2" t="s">
        <v>1464</v>
      </c>
      <c r="I446" s="2" t="s">
        <v>1755</v>
      </c>
      <c r="J446" s="2" t="s">
        <v>2018</v>
      </c>
    </row>
    <row r="447" spans="1:10" ht="14.4" x14ac:dyDescent="0.3">
      <c r="A447" s="2" t="s">
        <v>123</v>
      </c>
      <c r="B447" s="2" t="s">
        <v>934</v>
      </c>
      <c r="C447" s="2" t="s">
        <v>933</v>
      </c>
      <c r="D447" s="2" t="s">
        <v>1410</v>
      </c>
      <c r="E447" s="2" t="s">
        <v>5399</v>
      </c>
      <c r="F447" s="2" t="s">
        <v>5401</v>
      </c>
      <c r="G447" s="2" t="s">
        <v>4551</v>
      </c>
      <c r="H447" s="2" t="s">
        <v>1464</v>
      </c>
      <c r="I447" s="2" t="s">
        <v>1755</v>
      </c>
      <c r="J447" s="2" t="s">
        <v>2018</v>
      </c>
    </row>
    <row r="448" spans="1:10" ht="14.4" x14ac:dyDescent="0.3">
      <c r="A448" s="2" t="s">
        <v>123</v>
      </c>
      <c r="B448" s="2" t="s">
        <v>934</v>
      </c>
      <c r="C448" s="2" t="s">
        <v>935</v>
      </c>
      <c r="D448" s="2" t="s">
        <v>1410</v>
      </c>
      <c r="E448" s="2" t="s">
        <v>3061</v>
      </c>
      <c r="F448" s="2" t="s">
        <v>3055</v>
      </c>
      <c r="G448" s="2" t="s">
        <v>5398</v>
      </c>
      <c r="H448" s="2" t="s">
        <v>1464</v>
      </c>
      <c r="I448" s="2" t="s">
        <v>1755</v>
      </c>
      <c r="J448" s="2" t="s">
        <v>2018</v>
      </c>
    </row>
    <row r="449" spans="1:10" ht="14.4" x14ac:dyDescent="0.3">
      <c r="A449" s="2" t="s">
        <v>350</v>
      </c>
      <c r="B449" s="2" t="s">
        <v>934</v>
      </c>
      <c r="C449" s="2" t="s">
        <v>936</v>
      </c>
      <c r="D449" s="2" t="s">
        <v>1410</v>
      </c>
      <c r="E449" s="2" t="s">
        <v>5467</v>
      </c>
      <c r="F449" s="2" t="s">
        <v>5468</v>
      </c>
      <c r="G449" s="2" t="s">
        <v>5074</v>
      </c>
      <c r="H449" s="2" t="s">
        <v>1464</v>
      </c>
      <c r="I449" s="2" t="s">
        <v>1755</v>
      </c>
      <c r="J449" s="2" t="s">
        <v>2018</v>
      </c>
    </row>
    <row r="450" spans="1:10" ht="14.4" x14ac:dyDescent="0.3">
      <c r="A450" s="2" t="s">
        <v>939</v>
      </c>
      <c r="B450" s="2" t="s">
        <v>938</v>
      </c>
      <c r="C450" s="2" t="s">
        <v>937</v>
      </c>
      <c r="D450" s="2" t="s">
        <v>1410</v>
      </c>
      <c r="E450" s="2" t="s">
        <v>5355</v>
      </c>
      <c r="F450" s="2" t="s">
        <v>5356</v>
      </c>
      <c r="G450" s="2" t="s">
        <v>5357</v>
      </c>
      <c r="H450" s="2" t="s">
        <v>1464</v>
      </c>
      <c r="I450" s="2" t="s">
        <v>1755</v>
      </c>
      <c r="J450" s="2" t="s">
        <v>2018</v>
      </c>
    </row>
    <row r="451" spans="1:10" ht="14.4" x14ac:dyDescent="0.3">
      <c r="A451" s="2" t="s">
        <v>28</v>
      </c>
      <c r="B451" s="2" t="s">
        <v>941</v>
      </c>
      <c r="C451" s="2" t="s">
        <v>940</v>
      </c>
      <c r="D451" s="2" t="s">
        <v>1410</v>
      </c>
      <c r="E451" s="2" t="s">
        <v>5006</v>
      </c>
      <c r="F451" s="2" t="s">
        <v>5007</v>
      </c>
      <c r="G451" s="2" t="s">
        <v>4716</v>
      </c>
      <c r="H451" s="2" t="s">
        <v>1464</v>
      </c>
      <c r="I451" s="2" t="s">
        <v>1755</v>
      </c>
      <c r="J451" s="2" t="s">
        <v>2018</v>
      </c>
    </row>
    <row r="452" spans="1:10" ht="14.4" x14ac:dyDescent="0.3">
      <c r="A452" s="2" t="s">
        <v>42</v>
      </c>
      <c r="B452" s="2" t="s">
        <v>943</v>
      </c>
      <c r="C452" s="2" t="s">
        <v>942</v>
      </c>
      <c r="D452" s="2" t="s">
        <v>1410</v>
      </c>
      <c r="E452" s="2" t="s">
        <v>3169</v>
      </c>
      <c r="F452" s="2" t="s">
        <v>5456</v>
      </c>
      <c r="G452" s="2" t="s">
        <v>5186</v>
      </c>
      <c r="H452" s="2" t="s">
        <v>4494</v>
      </c>
      <c r="I452" s="2" t="s">
        <v>4471</v>
      </c>
      <c r="J452" s="2" t="s">
        <v>2018</v>
      </c>
    </row>
    <row r="453" spans="1:10" ht="14.4" x14ac:dyDescent="0.3">
      <c r="A453" s="2" t="s">
        <v>66</v>
      </c>
      <c r="B453" s="2" t="s">
        <v>943</v>
      </c>
      <c r="C453" s="2" t="s">
        <v>944</v>
      </c>
      <c r="D453" s="2" t="s">
        <v>1410</v>
      </c>
      <c r="E453" s="2" t="s">
        <v>5445</v>
      </c>
      <c r="F453" s="2" t="s">
        <v>5452</v>
      </c>
      <c r="G453" s="2" t="s">
        <v>5453</v>
      </c>
      <c r="H453" s="2" t="s">
        <v>4487</v>
      </c>
      <c r="I453" s="2" t="s">
        <v>4436</v>
      </c>
      <c r="J453" s="2" t="s">
        <v>2018</v>
      </c>
    </row>
    <row r="454" spans="1:10" ht="14.4" x14ac:dyDescent="0.3">
      <c r="A454" s="2" t="s">
        <v>947</v>
      </c>
      <c r="B454" s="2" t="s">
        <v>946</v>
      </c>
      <c r="C454" s="2" t="s">
        <v>945</v>
      </c>
      <c r="D454" s="2" t="s">
        <v>1410</v>
      </c>
      <c r="E454" s="2" t="s">
        <v>2722</v>
      </c>
      <c r="F454" s="2" t="s">
        <v>5137</v>
      </c>
      <c r="G454" s="2" t="s">
        <v>5138</v>
      </c>
      <c r="H454" s="2" t="s">
        <v>1464</v>
      </c>
      <c r="I454" s="2" t="s">
        <v>1755</v>
      </c>
      <c r="J454" s="2" t="s">
        <v>2018</v>
      </c>
    </row>
    <row r="455" spans="1:10" ht="14.4" x14ac:dyDescent="0.3">
      <c r="A455" s="2" t="s">
        <v>8</v>
      </c>
      <c r="B455" s="2" t="s">
        <v>949</v>
      </c>
      <c r="C455" s="2" t="s">
        <v>948</v>
      </c>
      <c r="D455" s="2" t="s">
        <v>1410</v>
      </c>
      <c r="E455" s="2" t="s">
        <v>5323</v>
      </c>
      <c r="F455" s="2" t="s">
        <v>5324</v>
      </c>
      <c r="G455" s="2" t="s">
        <v>2649</v>
      </c>
      <c r="H455" s="2" t="s">
        <v>2018</v>
      </c>
      <c r="I455" s="2" t="s">
        <v>1414</v>
      </c>
      <c r="J455" s="2" t="s">
        <v>2018</v>
      </c>
    </row>
    <row r="456" spans="1:10" ht="14.4" x14ac:dyDescent="0.3">
      <c r="A456" s="2" t="s">
        <v>133</v>
      </c>
      <c r="B456" s="2" t="s">
        <v>951</v>
      </c>
      <c r="C456" s="2" t="s">
        <v>950</v>
      </c>
      <c r="D456" s="2" t="s">
        <v>1410</v>
      </c>
      <c r="E456" s="2" t="s">
        <v>5115</v>
      </c>
      <c r="F456" s="2" t="s">
        <v>5114</v>
      </c>
      <c r="G456" s="2" t="s">
        <v>2469</v>
      </c>
      <c r="H456" s="2" t="s">
        <v>4494</v>
      </c>
      <c r="I456" s="2" t="s">
        <v>4471</v>
      </c>
      <c r="J456" s="2" t="s">
        <v>2018</v>
      </c>
    </row>
    <row r="457" spans="1:10" ht="14.4" x14ac:dyDescent="0.3">
      <c r="A457" s="2" t="s">
        <v>42</v>
      </c>
      <c r="B457" s="2" t="s">
        <v>953</v>
      </c>
      <c r="C457" s="2" t="s">
        <v>952</v>
      </c>
      <c r="D457" s="2" t="s">
        <v>1410</v>
      </c>
      <c r="E457" s="2" t="s">
        <v>4858</v>
      </c>
      <c r="F457" s="2" t="s">
        <v>4859</v>
      </c>
      <c r="G457" s="2" t="s">
        <v>4860</v>
      </c>
      <c r="H457" s="2" t="s">
        <v>1464</v>
      </c>
      <c r="I457" s="2" t="s">
        <v>1755</v>
      </c>
      <c r="J457" s="2" t="s">
        <v>2018</v>
      </c>
    </row>
    <row r="458" spans="1:10" ht="14.4" x14ac:dyDescent="0.3">
      <c r="A458" s="2" t="s">
        <v>42</v>
      </c>
      <c r="B458" s="2" t="s">
        <v>955</v>
      </c>
      <c r="C458" s="2" t="s">
        <v>954</v>
      </c>
      <c r="D458" s="2" t="s">
        <v>1410</v>
      </c>
      <c r="E458" s="2" t="s">
        <v>4360</v>
      </c>
      <c r="F458" s="2" t="s">
        <v>3159</v>
      </c>
      <c r="G458" s="2" t="s">
        <v>5437</v>
      </c>
      <c r="H458" s="2" t="s">
        <v>4535</v>
      </c>
      <c r="I458" s="2" t="s">
        <v>4471</v>
      </c>
      <c r="J458" s="2" t="s">
        <v>1551</v>
      </c>
    </row>
    <row r="459" spans="1:10" ht="14.4" x14ac:dyDescent="0.3">
      <c r="A459" s="2" t="s">
        <v>8</v>
      </c>
      <c r="B459" s="2" t="s">
        <v>389</v>
      </c>
      <c r="C459" s="2" t="s">
        <v>956</v>
      </c>
      <c r="D459" s="2" t="s">
        <v>1410</v>
      </c>
      <c r="E459" s="2" t="s">
        <v>5334</v>
      </c>
      <c r="F459" s="2" t="s">
        <v>5335</v>
      </c>
      <c r="G459" s="2" t="s">
        <v>4534</v>
      </c>
      <c r="H459" s="2" t="s">
        <v>4494</v>
      </c>
      <c r="I459" s="2" t="s">
        <v>4471</v>
      </c>
      <c r="J459" s="2" t="s">
        <v>2018</v>
      </c>
    </row>
    <row r="460" spans="1:10" ht="14.4" x14ac:dyDescent="0.3">
      <c r="A460" s="2" t="s">
        <v>28</v>
      </c>
      <c r="B460" s="2" t="s">
        <v>389</v>
      </c>
      <c r="C460" s="2" t="s">
        <v>957</v>
      </c>
      <c r="D460" s="2" t="s">
        <v>1410</v>
      </c>
      <c r="E460" s="2" t="s">
        <v>5116</v>
      </c>
      <c r="F460" s="2" t="s">
        <v>2703</v>
      </c>
      <c r="G460" s="2" t="s">
        <v>2393</v>
      </c>
      <c r="H460" s="2" t="s">
        <v>4496</v>
      </c>
      <c r="I460" s="2" t="s">
        <v>4436</v>
      </c>
      <c r="J460" s="2" t="s">
        <v>1599</v>
      </c>
    </row>
    <row r="461" spans="1:10" ht="14.4" x14ac:dyDescent="0.3">
      <c r="A461" s="2" t="s">
        <v>28</v>
      </c>
      <c r="B461" s="2" t="s">
        <v>389</v>
      </c>
      <c r="C461" s="2" t="s">
        <v>957</v>
      </c>
      <c r="D461" s="2" t="s">
        <v>1410</v>
      </c>
      <c r="E461" s="2" t="s">
        <v>5120</v>
      </c>
      <c r="F461" s="2" t="s">
        <v>5121</v>
      </c>
      <c r="G461" s="2" t="s">
        <v>4218</v>
      </c>
      <c r="H461" s="2" t="s">
        <v>1464</v>
      </c>
      <c r="I461" s="2" t="s">
        <v>1755</v>
      </c>
      <c r="J461" s="2" t="s">
        <v>2018</v>
      </c>
    </row>
    <row r="462" spans="1:10" ht="14.4" x14ac:dyDescent="0.3">
      <c r="A462" s="2" t="s">
        <v>55</v>
      </c>
      <c r="B462" s="2" t="s">
        <v>959</v>
      </c>
      <c r="C462" s="2" t="s">
        <v>958</v>
      </c>
      <c r="D462" s="2" t="s">
        <v>1410</v>
      </c>
      <c r="E462" s="2" t="s">
        <v>3159</v>
      </c>
      <c r="F462" s="2" t="s">
        <v>3162</v>
      </c>
      <c r="G462" s="2" t="s">
        <v>5454</v>
      </c>
      <c r="H462" s="2" t="s">
        <v>4494</v>
      </c>
      <c r="I462" s="2" t="s">
        <v>4471</v>
      </c>
      <c r="J462" s="2" t="s">
        <v>2018</v>
      </c>
    </row>
    <row r="463" spans="1:10" ht="14.4" x14ac:dyDescent="0.3">
      <c r="A463" s="2" t="s">
        <v>55</v>
      </c>
      <c r="B463" s="2" t="s">
        <v>961</v>
      </c>
      <c r="C463" s="2" t="s">
        <v>960</v>
      </c>
      <c r="D463" s="2" t="s">
        <v>1410</v>
      </c>
      <c r="E463" s="2" t="s">
        <v>5203</v>
      </c>
      <c r="F463" s="2" t="s">
        <v>4033</v>
      </c>
      <c r="G463" s="2" t="s">
        <v>5204</v>
      </c>
      <c r="H463" s="2" t="s">
        <v>1488</v>
      </c>
      <c r="I463" s="2" t="s">
        <v>1843</v>
      </c>
      <c r="J463" s="2" t="s">
        <v>1551</v>
      </c>
    </row>
    <row r="464" spans="1:10" ht="14.4" x14ac:dyDescent="0.3">
      <c r="A464" s="2" t="s">
        <v>8</v>
      </c>
      <c r="B464" s="2" t="s">
        <v>963</v>
      </c>
      <c r="C464" s="2" t="s">
        <v>962</v>
      </c>
      <c r="D464" s="2" t="s">
        <v>1410</v>
      </c>
      <c r="E464" s="2" t="s">
        <v>4844</v>
      </c>
      <c r="F464" s="2" t="s">
        <v>4845</v>
      </c>
      <c r="G464" s="2" t="s">
        <v>4846</v>
      </c>
      <c r="H464" s="2" t="s">
        <v>1464</v>
      </c>
      <c r="I464" s="2" t="s">
        <v>1755</v>
      </c>
      <c r="J464" s="2" t="s">
        <v>2018</v>
      </c>
    </row>
    <row r="465" spans="1:10" ht="14.4" x14ac:dyDescent="0.3">
      <c r="A465" s="2" t="s">
        <v>563</v>
      </c>
      <c r="B465" s="2" t="s">
        <v>965</v>
      </c>
      <c r="C465" s="2" t="s">
        <v>964</v>
      </c>
      <c r="D465" s="2" t="s">
        <v>1410</v>
      </c>
      <c r="E465" s="2" t="s">
        <v>5447</v>
      </c>
      <c r="F465" s="2" t="s">
        <v>5448</v>
      </c>
      <c r="G465" s="2" t="s">
        <v>5449</v>
      </c>
      <c r="H465" s="2" t="s">
        <v>1464</v>
      </c>
      <c r="I465" s="2" t="s">
        <v>1755</v>
      </c>
      <c r="J465" s="2" t="s">
        <v>2018</v>
      </c>
    </row>
    <row r="466" spans="1:10" ht="14.4" x14ac:dyDescent="0.3">
      <c r="A466" s="2" t="s">
        <v>55</v>
      </c>
      <c r="B466" s="2" t="s">
        <v>969</v>
      </c>
      <c r="C466" s="2" t="s">
        <v>968</v>
      </c>
      <c r="D466" s="2" t="s">
        <v>1410</v>
      </c>
      <c r="E466" s="2" t="s">
        <v>4852</v>
      </c>
      <c r="F466" s="2" t="s">
        <v>3639</v>
      </c>
      <c r="G466" s="2" t="s">
        <v>4854</v>
      </c>
      <c r="H466" s="2" t="s">
        <v>1464</v>
      </c>
      <c r="I466" s="2" t="s">
        <v>1755</v>
      </c>
      <c r="J466" s="2" t="s">
        <v>2018</v>
      </c>
    </row>
    <row r="467" spans="1:10" ht="14.4" x14ac:dyDescent="0.3">
      <c r="A467" s="2" t="s">
        <v>25</v>
      </c>
      <c r="B467" s="2" t="s">
        <v>971</v>
      </c>
      <c r="C467" s="2" t="s">
        <v>970</v>
      </c>
      <c r="D467" s="2" t="s">
        <v>1410</v>
      </c>
      <c r="E467" s="2" t="s">
        <v>5225</v>
      </c>
      <c r="F467" s="2" t="s">
        <v>4071</v>
      </c>
      <c r="G467" s="2" t="s">
        <v>5227</v>
      </c>
      <c r="H467" s="2" t="s">
        <v>1488</v>
      </c>
      <c r="I467" s="2" t="s">
        <v>1843</v>
      </c>
      <c r="J467" s="2" t="s">
        <v>1551</v>
      </c>
    </row>
    <row r="468" spans="1:10" ht="14.4" x14ac:dyDescent="0.3">
      <c r="A468" s="2" t="s">
        <v>8</v>
      </c>
      <c r="B468" s="2" t="s">
        <v>975</v>
      </c>
      <c r="C468" s="2" t="s">
        <v>974</v>
      </c>
      <c r="D468" s="2" t="s">
        <v>1410</v>
      </c>
      <c r="E468" s="2" t="s">
        <v>5141</v>
      </c>
      <c r="F468" s="2" t="s">
        <v>5142</v>
      </c>
      <c r="G468" s="2" t="s">
        <v>5143</v>
      </c>
      <c r="H468" s="2" t="s">
        <v>4487</v>
      </c>
      <c r="I468" s="2" t="s">
        <v>4436</v>
      </c>
      <c r="J468" s="2" t="s">
        <v>2018</v>
      </c>
    </row>
    <row r="469" spans="1:10" ht="14.4" x14ac:dyDescent="0.3">
      <c r="A469" s="2" t="s">
        <v>8</v>
      </c>
      <c r="B469" s="2" t="s">
        <v>977</v>
      </c>
      <c r="C469" s="2" t="s">
        <v>976</v>
      </c>
      <c r="D469" s="2" t="s">
        <v>1410</v>
      </c>
      <c r="E469" s="2" t="s">
        <v>5455</v>
      </c>
      <c r="F469" s="2" t="s">
        <v>5456</v>
      </c>
      <c r="G469" s="2" t="s">
        <v>4266</v>
      </c>
      <c r="H469" s="2" t="s">
        <v>1464</v>
      </c>
      <c r="I469" s="2" t="s">
        <v>1755</v>
      </c>
      <c r="J469" s="2" t="s">
        <v>2018</v>
      </c>
    </row>
    <row r="470" spans="1:10" ht="14.4" x14ac:dyDescent="0.3">
      <c r="A470" s="2" t="s">
        <v>123</v>
      </c>
      <c r="B470" s="2" t="s">
        <v>979</v>
      </c>
      <c r="C470" s="2" t="s">
        <v>978</v>
      </c>
      <c r="D470" s="2" t="s">
        <v>1410</v>
      </c>
      <c r="E470" s="2" t="s">
        <v>5051</v>
      </c>
      <c r="F470" s="2" t="s">
        <v>5052</v>
      </c>
      <c r="G470" s="2" t="s">
        <v>5053</v>
      </c>
      <c r="H470" s="2" t="s">
        <v>4956</v>
      </c>
      <c r="I470" s="2" t="s">
        <v>4556</v>
      </c>
      <c r="J470" s="2" t="s">
        <v>2018</v>
      </c>
    </row>
    <row r="471" spans="1:10" ht="14.4" x14ac:dyDescent="0.3">
      <c r="A471" s="2" t="s">
        <v>123</v>
      </c>
      <c r="B471" s="2" t="s">
        <v>979</v>
      </c>
      <c r="C471" s="2" t="s">
        <v>978</v>
      </c>
      <c r="D471" s="2" t="s">
        <v>1410</v>
      </c>
      <c r="E471" s="2" t="s">
        <v>5054</v>
      </c>
      <c r="F471" s="2" t="s">
        <v>5055</v>
      </c>
      <c r="G471" s="2" t="s">
        <v>1672</v>
      </c>
      <c r="H471" s="2" t="s">
        <v>1464</v>
      </c>
      <c r="I471" s="2" t="s">
        <v>1755</v>
      </c>
      <c r="J471" s="2" t="s">
        <v>2018</v>
      </c>
    </row>
    <row r="472" spans="1:10" ht="14.4" x14ac:dyDescent="0.3">
      <c r="A472" s="2" t="s">
        <v>8</v>
      </c>
      <c r="B472" s="2" t="s">
        <v>981</v>
      </c>
      <c r="C472" s="2" t="s">
        <v>980</v>
      </c>
      <c r="D472" s="2" t="s">
        <v>1410</v>
      </c>
      <c r="E472" s="2" t="s">
        <v>4290</v>
      </c>
      <c r="F472" s="2" t="s">
        <v>3084</v>
      </c>
      <c r="G472" s="2" t="s">
        <v>5406</v>
      </c>
      <c r="H472" s="2" t="s">
        <v>4494</v>
      </c>
      <c r="I472" s="2" t="s">
        <v>4471</v>
      </c>
      <c r="J472" s="2" t="s">
        <v>2018</v>
      </c>
    </row>
    <row r="473" spans="1:10" ht="14.4" x14ac:dyDescent="0.3">
      <c r="A473" s="2" t="s">
        <v>31</v>
      </c>
      <c r="B473" s="2" t="s">
        <v>985</v>
      </c>
      <c r="C473" s="2" t="s">
        <v>984</v>
      </c>
      <c r="D473" s="2" t="s">
        <v>1410</v>
      </c>
      <c r="E473" s="2" t="s">
        <v>5444</v>
      </c>
      <c r="F473" s="2" t="s">
        <v>5445</v>
      </c>
      <c r="G473" s="2" t="s">
        <v>5446</v>
      </c>
      <c r="H473" s="2" t="s">
        <v>1464</v>
      </c>
      <c r="I473" s="2" t="s">
        <v>1755</v>
      </c>
      <c r="J473" s="2" t="s">
        <v>2018</v>
      </c>
    </row>
    <row r="474" spans="1:10" ht="14.4" x14ac:dyDescent="0.3">
      <c r="A474" s="2" t="s">
        <v>25</v>
      </c>
      <c r="B474" s="2" t="s">
        <v>989</v>
      </c>
      <c r="C474" s="2" t="s">
        <v>988</v>
      </c>
      <c r="D474" s="2" t="s">
        <v>1410</v>
      </c>
      <c r="E474" s="2" t="s">
        <v>5438</v>
      </c>
      <c r="F474" s="2" t="s">
        <v>5439</v>
      </c>
      <c r="G474" s="2" t="s">
        <v>5440</v>
      </c>
      <c r="H474" s="2" t="s">
        <v>1488</v>
      </c>
      <c r="I474" s="2" t="s">
        <v>1843</v>
      </c>
      <c r="J474" s="2" t="s">
        <v>1551</v>
      </c>
    </row>
    <row r="475" spans="1:10" ht="14.4" x14ac:dyDescent="0.3">
      <c r="A475" s="2" t="s">
        <v>992</v>
      </c>
      <c r="B475" s="2" t="s">
        <v>991</v>
      </c>
      <c r="C475" s="2" t="s">
        <v>990</v>
      </c>
      <c r="D475" s="2" t="s">
        <v>1410</v>
      </c>
      <c r="E475" s="2" t="s">
        <v>5441</v>
      </c>
      <c r="F475" s="2" t="s">
        <v>5442</v>
      </c>
      <c r="G475" s="2" t="s">
        <v>5443</v>
      </c>
      <c r="H475" s="2" t="s">
        <v>1464</v>
      </c>
      <c r="I475" s="2" t="s">
        <v>1755</v>
      </c>
      <c r="J475" s="2" t="s">
        <v>2018</v>
      </c>
    </row>
    <row r="476" spans="1:10" ht="14.4" x14ac:dyDescent="0.3">
      <c r="A476" s="2" t="s">
        <v>995</v>
      </c>
      <c r="B476" s="2" t="s">
        <v>994</v>
      </c>
      <c r="C476" s="2" t="s">
        <v>993</v>
      </c>
      <c r="D476" s="2" t="s">
        <v>1410</v>
      </c>
      <c r="E476" s="2" t="s">
        <v>4861</v>
      </c>
      <c r="F476" s="2" t="s">
        <v>4862</v>
      </c>
      <c r="G476" s="2" t="s">
        <v>4863</v>
      </c>
      <c r="H476" s="2" t="s">
        <v>1464</v>
      </c>
      <c r="I476" s="2" t="s">
        <v>1755</v>
      </c>
      <c r="J476" s="2" t="s">
        <v>2018</v>
      </c>
    </row>
    <row r="477" spans="1:10" ht="14.4" x14ac:dyDescent="0.3">
      <c r="A477" s="2" t="s">
        <v>28</v>
      </c>
      <c r="B477" s="2" t="s">
        <v>997</v>
      </c>
      <c r="C477" s="2" t="s">
        <v>996</v>
      </c>
      <c r="D477" s="2" t="s">
        <v>1410</v>
      </c>
      <c r="E477" s="2" t="s">
        <v>2467</v>
      </c>
      <c r="F477" s="2" t="s">
        <v>3712</v>
      </c>
      <c r="G477" s="2" t="s">
        <v>4943</v>
      </c>
      <c r="H477" s="2" t="s">
        <v>1438</v>
      </c>
      <c r="I477" s="2" t="s">
        <v>1843</v>
      </c>
      <c r="J477" s="2" t="s">
        <v>1506</v>
      </c>
    </row>
    <row r="478" spans="1:10" ht="14.4" x14ac:dyDescent="0.3">
      <c r="A478" s="2" t="s">
        <v>322</v>
      </c>
      <c r="B478" s="2" t="s">
        <v>999</v>
      </c>
      <c r="C478" s="2" t="s">
        <v>998</v>
      </c>
      <c r="D478" s="2" t="s">
        <v>1410</v>
      </c>
      <c r="E478" s="2" t="s">
        <v>4847</v>
      </c>
      <c r="F478" s="2" t="s">
        <v>4848</v>
      </c>
      <c r="G478" s="2" t="s">
        <v>4849</v>
      </c>
      <c r="H478" s="2" t="s">
        <v>1464</v>
      </c>
      <c r="I478" s="2" t="s">
        <v>1755</v>
      </c>
      <c r="J478" s="2" t="s">
        <v>2018</v>
      </c>
    </row>
    <row r="479" spans="1:10" ht="14.4" x14ac:dyDescent="0.3">
      <c r="A479" s="2" t="s">
        <v>55</v>
      </c>
      <c r="B479" s="2" t="s">
        <v>1001</v>
      </c>
      <c r="C479" s="2" t="s">
        <v>1000</v>
      </c>
      <c r="D479" s="2" t="s">
        <v>1410</v>
      </c>
      <c r="E479" s="2" t="s">
        <v>5320</v>
      </c>
      <c r="F479" s="2" t="s">
        <v>5321</v>
      </c>
      <c r="G479" s="2" t="s">
        <v>5322</v>
      </c>
      <c r="H479" s="2" t="s">
        <v>4494</v>
      </c>
      <c r="I479" s="2" t="s">
        <v>4471</v>
      </c>
      <c r="J479" s="2" t="s">
        <v>2018</v>
      </c>
    </row>
    <row r="480" spans="1:10" ht="14.4" x14ac:dyDescent="0.3">
      <c r="A480" s="2" t="s">
        <v>19</v>
      </c>
      <c r="B480" s="2" t="s">
        <v>1003</v>
      </c>
      <c r="C480" s="2" t="s">
        <v>1002</v>
      </c>
      <c r="D480" s="2" t="s">
        <v>1410</v>
      </c>
      <c r="E480" s="2" t="s">
        <v>3162</v>
      </c>
      <c r="F480" s="2" t="s">
        <v>5457</v>
      </c>
      <c r="G480" s="2" t="s">
        <v>4764</v>
      </c>
      <c r="H480" s="2" t="s">
        <v>1464</v>
      </c>
      <c r="I480" s="2" t="s">
        <v>1755</v>
      </c>
      <c r="J480" s="2" t="s">
        <v>2018</v>
      </c>
    </row>
    <row r="481" spans="1:10" ht="14.4" x14ac:dyDescent="0.3">
      <c r="A481" s="2" t="s">
        <v>49</v>
      </c>
      <c r="B481" s="2" t="s">
        <v>1005</v>
      </c>
      <c r="C481" s="2" t="s">
        <v>1004</v>
      </c>
      <c r="D481" s="2" t="s">
        <v>1410</v>
      </c>
      <c r="E481" s="2" t="s">
        <v>5435</v>
      </c>
      <c r="F481" s="2" t="s">
        <v>5436</v>
      </c>
      <c r="G481" s="2" t="s">
        <v>2044</v>
      </c>
      <c r="H481" s="2" t="s">
        <v>1464</v>
      </c>
      <c r="I481" s="2" t="s">
        <v>1755</v>
      </c>
      <c r="J481" s="2" t="s">
        <v>2018</v>
      </c>
    </row>
    <row r="482" spans="1:10" ht="14.4" x14ac:dyDescent="0.3">
      <c r="A482" s="2" t="s">
        <v>71</v>
      </c>
      <c r="B482" s="2" t="s">
        <v>1007</v>
      </c>
      <c r="C482" s="2" t="s">
        <v>1006</v>
      </c>
      <c r="D482" s="2" t="s">
        <v>1410</v>
      </c>
      <c r="E482" s="2" t="s">
        <v>3150</v>
      </c>
      <c r="F482" s="2" t="s">
        <v>3166</v>
      </c>
      <c r="G482" s="2" t="s">
        <v>5214</v>
      </c>
      <c r="H482" s="2" t="s">
        <v>1464</v>
      </c>
      <c r="I482" s="2" t="s">
        <v>1755</v>
      </c>
      <c r="J482" s="2" t="s">
        <v>2018</v>
      </c>
    </row>
    <row r="483" spans="1:10" ht="28.8" x14ac:dyDescent="0.3">
      <c r="A483" s="2" t="s">
        <v>8</v>
      </c>
      <c r="B483" s="2" t="s">
        <v>1009</v>
      </c>
      <c r="C483" s="2" t="s">
        <v>1008</v>
      </c>
      <c r="D483" s="2" t="s">
        <v>1410</v>
      </c>
      <c r="E483" s="2" t="s">
        <v>4225</v>
      </c>
      <c r="F483" s="2" t="s">
        <v>5328</v>
      </c>
      <c r="G483" s="2" t="s">
        <v>5329</v>
      </c>
      <c r="H483" s="2" t="s">
        <v>1464</v>
      </c>
      <c r="I483" s="2" t="s">
        <v>1755</v>
      </c>
      <c r="J483" s="2" t="s">
        <v>2018</v>
      </c>
    </row>
    <row r="484" spans="1:10" ht="14.4" x14ac:dyDescent="0.3">
      <c r="A484" s="2" t="s">
        <v>31</v>
      </c>
      <c r="B484" s="2" t="s">
        <v>1011</v>
      </c>
      <c r="C484" s="2" t="s">
        <v>1010</v>
      </c>
      <c r="D484" s="2" t="s">
        <v>1410</v>
      </c>
      <c r="E484" s="2" t="s">
        <v>5314</v>
      </c>
      <c r="F484" s="2" t="s">
        <v>5315</v>
      </c>
      <c r="G484" s="2" t="s">
        <v>5316</v>
      </c>
      <c r="H484" s="2" t="s">
        <v>1464</v>
      </c>
      <c r="I484" s="2" t="s">
        <v>1755</v>
      </c>
      <c r="J484" s="2" t="s">
        <v>2018</v>
      </c>
    </row>
    <row r="485" spans="1:10" ht="14.4" x14ac:dyDescent="0.3">
      <c r="A485" s="2" t="s">
        <v>55</v>
      </c>
      <c r="B485" s="2" t="s">
        <v>1013</v>
      </c>
      <c r="C485" s="2" t="s">
        <v>1012</v>
      </c>
      <c r="D485" s="2" t="s">
        <v>1410</v>
      </c>
      <c r="E485" s="2" t="s">
        <v>5444</v>
      </c>
      <c r="F485" s="2" t="s">
        <v>3166</v>
      </c>
      <c r="G485" s="2" t="s">
        <v>4470</v>
      </c>
      <c r="H485" s="2" t="s">
        <v>1464</v>
      </c>
      <c r="I485" s="2" t="s">
        <v>1755</v>
      </c>
      <c r="J485" s="2" t="s">
        <v>2018</v>
      </c>
    </row>
    <row r="486" spans="1:10" ht="14.4" x14ac:dyDescent="0.3">
      <c r="A486" s="2" t="s">
        <v>8</v>
      </c>
      <c r="B486" s="2" t="s">
        <v>1015</v>
      </c>
      <c r="C486" s="2" t="s">
        <v>1014</v>
      </c>
      <c r="D486" s="2" t="s">
        <v>1410</v>
      </c>
      <c r="E486" s="2" t="s">
        <v>2671</v>
      </c>
      <c r="F486" s="2" t="s">
        <v>5100</v>
      </c>
      <c r="G486" s="2" t="s">
        <v>5101</v>
      </c>
      <c r="H486" s="2" t="s">
        <v>1464</v>
      </c>
      <c r="I486" s="2" t="s">
        <v>1755</v>
      </c>
      <c r="J486" s="2" t="s">
        <v>2018</v>
      </c>
    </row>
    <row r="487" spans="1:10" ht="14.4" x14ac:dyDescent="0.3">
      <c r="A487" s="2" t="s">
        <v>8</v>
      </c>
      <c r="B487" s="2" t="s">
        <v>1017</v>
      </c>
      <c r="C487" s="2" t="s">
        <v>1016</v>
      </c>
      <c r="D487" s="2" t="s">
        <v>1410</v>
      </c>
      <c r="E487" s="2" t="s">
        <v>5169</v>
      </c>
      <c r="F487" s="2" t="s">
        <v>2756</v>
      </c>
      <c r="G487" s="2" t="s">
        <v>4016</v>
      </c>
      <c r="H487" s="2" t="s">
        <v>1606</v>
      </c>
      <c r="I487" s="2" t="s">
        <v>1551</v>
      </c>
      <c r="J487" s="2" t="s">
        <v>1599</v>
      </c>
    </row>
    <row r="488" spans="1:10" ht="14.4" x14ac:dyDescent="0.3">
      <c r="A488" s="2" t="s">
        <v>1020</v>
      </c>
      <c r="B488" s="2" t="s">
        <v>1019</v>
      </c>
      <c r="C488" s="2" t="s">
        <v>1018</v>
      </c>
      <c r="D488" s="2" t="s">
        <v>1410</v>
      </c>
      <c r="E488" s="2" t="s">
        <v>4855</v>
      </c>
      <c r="F488" s="2" t="s">
        <v>4856</v>
      </c>
      <c r="G488" s="2" t="s">
        <v>4857</v>
      </c>
      <c r="H488" s="2" t="s">
        <v>1464</v>
      </c>
      <c r="I488" s="2" t="s">
        <v>1755</v>
      </c>
      <c r="J488" s="2" t="s">
        <v>2018</v>
      </c>
    </row>
    <row r="489" spans="1:10" ht="14.4" x14ac:dyDescent="0.3">
      <c r="A489" s="2" t="s">
        <v>19</v>
      </c>
      <c r="B489" s="2" t="s">
        <v>1022</v>
      </c>
      <c r="C489" s="2" t="s">
        <v>1021</v>
      </c>
      <c r="D489" s="2" t="s">
        <v>1410</v>
      </c>
      <c r="E489" s="2" t="s">
        <v>4065</v>
      </c>
      <c r="F489" s="2" t="s">
        <v>4055</v>
      </c>
      <c r="G489" s="2" t="s">
        <v>5220</v>
      </c>
      <c r="H489" s="2" t="s">
        <v>4535</v>
      </c>
      <c r="I489" s="2" t="s">
        <v>4471</v>
      </c>
      <c r="J489" s="2" t="s">
        <v>1551</v>
      </c>
    </row>
    <row r="490" spans="1:10" ht="14.4" x14ac:dyDescent="0.3">
      <c r="A490" s="2" t="s">
        <v>55</v>
      </c>
      <c r="B490" s="2" t="s">
        <v>1024</v>
      </c>
      <c r="C490" s="2" t="s">
        <v>1025</v>
      </c>
      <c r="D490" s="2" t="s">
        <v>1410</v>
      </c>
      <c r="E490" s="2" t="s">
        <v>5318</v>
      </c>
      <c r="F490" s="2" t="s">
        <v>5319</v>
      </c>
      <c r="G490" s="2" t="s">
        <v>4697</v>
      </c>
      <c r="H490" s="2" t="s">
        <v>2018</v>
      </c>
      <c r="I490" s="2" t="s">
        <v>1414</v>
      </c>
      <c r="J490" s="2" t="s">
        <v>2018</v>
      </c>
    </row>
    <row r="491" spans="1:10" ht="14.4" x14ac:dyDescent="0.3">
      <c r="A491" s="2" t="s">
        <v>8</v>
      </c>
      <c r="B491" s="2" t="s">
        <v>1027</v>
      </c>
      <c r="C491" s="2" t="s">
        <v>1026</v>
      </c>
      <c r="D491" s="2" t="s">
        <v>1410</v>
      </c>
      <c r="E491" s="2" t="s">
        <v>2581</v>
      </c>
      <c r="F491" s="2" t="s">
        <v>5034</v>
      </c>
      <c r="G491" s="2" t="s">
        <v>1734</v>
      </c>
      <c r="H491" s="2" t="s">
        <v>1464</v>
      </c>
      <c r="I491" s="2" t="s">
        <v>1755</v>
      </c>
      <c r="J491" s="2" t="s">
        <v>2018</v>
      </c>
    </row>
    <row r="492" spans="1:10" ht="14.4" x14ac:dyDescent="0.3">
      <c r="A492" s="2" t="s">
        <v>8</v>
      </c>
      <c r="B492" s="2" t="s">
        <v>1029</v>
      </c>
      <c r="C492" s="2" t="s">
        <v>1028</v>
      </c>
      <c r="D492" s="2" t="s">
        <v>1410</v>
      </c>
      <c r="E492" s="2" t="s">
        <v>5330</v>
      </c>
      <c r="F492" s="2" t="s">
        <v>5331</v>
      </c>
      <c r="G492" s="2" t="s">
        <v>5232</v>
      </c>
      <c r="H492" s="2" t="s">
        <v>4494</v>
      </c>
      <c r="I492" s="2" t="s">
        <v>4471</v>
      </c>
      <c r="J492" s="2" t="s">
        <v>2018</v>
      </c>
    </row>
    <row r="493" spans="1:10" ht="14.4" x14ac:dyDescent="0.3">
      <c r="A493" s="2" t="s">
        <v>31</v>
      </c>
      <c r="B493" s="2" t="s">
        <v>1031</v>
      </c>
      <c r="C493" s="2" t="s">
        <v>1030</v>
      </c>
      <c r="D493" s="2" t="s">
        <v>1410</v>
      </c>
      <c r="E493" s="2" t="s">
        <v>2458</v>
      </c>
      <c r="F493" s="2" t="s">
        <v>2471</v>
      </c>
      <c r="G493" s="2" t="s">
        <v>2097</v>
      </c>
      <c r="H493" s="2" t="s">
        <v>1452</v>
      </c>
      <c r="I493" s="2" t="s">
        <v>1755</v>
      </c>
      <c r="J493" s="2" t="s">
        <v>1551</v>
      </c>
    </row>
    <row r="494" spans="1:10" ht="14.4" x14ac:dyDescent="0.3">
      <c r="A494" s="2" t="s">
        <v>19</v>
      </c>
      <c r="B494" s="2" t="s">
        <v>1033</v>
      </c>
      <c r="C494" s="2" t="s">
        <v>1032</v>
      </c>
      <c r="D494" s="2" t="s">
        <v>1410</v>
      </c>
      <c r="E494" s="2" t="s">
        <v>5236</v>
      </c>
      <c r="F494" s="2" t="s">
        <v>2840</v>
      </c>
      <c r="G494" s="2" t="s">
        <v>4304</v>
      </c>
      <c r="H494" s="2" t="s">
        <v>4435</v>
      </c>
      <c r="I494" s="2" t="s">
        <v>4436</v>
      </c>
      <c r="J494" s="2" t="s">
        <v>1551</v>
      </c>
    </row>
    <row r="495" spans="1:10" ht="14.4" x14ac:dyDescent="0.3">
      <c r="A495" s="2" t="s">
        <v>19</v>
      </c>
      <c r="B495" s="2" t="s">
        <v>1033</v>
      </c>
      <c r="C495" s="2" t="s">
        <v>1032</v>
      </c>
      <c r="D495" s="2" t="s">
        <v>1410</v>
      </c>
      <c r="E495" s="2" t="s">
        <v>4153</v>
      </c>
      <c r="F495" s="2" t="s">
        <v>5288</v>
      </c>
      <c r="G495" s="2" t="s">
        <v>4736</v>
      </c>
      <c r="H495" s="2" t="s">
        <v>1464</v>
      </c>
      <c r="I495" s="2" t="s">
        <v>1755</v>
      </c>
      <c r="J495" s="2" t="s">
        <v>2018</v>
      </c>
    </row>
    <row r="496" spans="1:10" ht="14.4" x14ac:dyDescent="0.3">
      <c r="A496" s="2" t="s">
        <v>28</v>
      </c>
      <c r="B496" s="2" t="s">
        <v>1035</v>
      </c>
      <c r="C496" s="2" t="s">
        <v>1034</v>
      </c>
      <c r="D496" s="2" t="s">
        <v>1410</v>
      </c>
      <c r="E496" s="2" t="s">
        <v>4850</v>
      </c>
      <c r="F496" s="2" t="s">
        <v>4851</v>
      </c>
      <c r="G496" s="2" t="s">
        <v>3059</v>
      </c>
      <c r="H496" s="2" t="s">
        <v>1464</v>
      </c>
      <c r="I496" s="2" t="s">
        <v>1755</v>
      </c>
      <c r="J496" s="2" t="s">
        <v>2018</v>
      </c>
    </row>
    <row r="497" spans="1:10" ht="14.4" x14ac:dyDescent="0.3">
      <c r="A497" s="2" t="s">
        <v>55</v>
      </c>
      <c r="B497" s="2" t="s">
        <v>1037</v>
      </c>
      <c r="C497" s="2" t="s">
        <v>1036</v>
      </c>
      <c r="D497" s="2" t="s">
        <v>1410</v>
      </c>
      <c r="E497" s="2" t="s">
        <v>4852</v>
      </c>
      <c r="F497" s="2" t="s">
        <v>4853</v>
      </c>
      <c r="G497" s="2" t="s">
        <v>1587</v>
      </c>
      <c r="H497" s="2" t="s">
        <v>1464</v>
      </c>
      <c r="I497" s="2" t="s">
        <v>1755</v>
      </c>
      <c r="J497" s="2" t="s">
        <v>2018</v>
      </c>
    </row>
    <row r="498" spans="1:10" ht="14.4" x14ac:dyDescent="0.3">
      <c r="A498" s="2" t="s">
        <v>8</v>
      </c>
      <c r="B498" s="2" t="s">
        <v>1039</v>
      </c>
      <c r="C498" s="2" t="s">
        <v>1038</v>
      </c>
      <c r="D498" s="2" t="s">
        <v>1410</v>
      </c>
      <c r="E498" s="2" t="s">
        <v>5245</v>
      </c>
      <c r="F498" s="2" t="s">
        <v>2844</v>
      </c>
      <c r="G498" s="2" t="s">
        <v>4952</v>
      </c>
      <c r="H498" s="2" t="s">
        <v>1464</v>
      </c>
      <c r="I498" s="2" t="s">
        <v>1755</v>
      </c>
      <c r="J498" s="2" t="s">
        <v>2018</v>
      </c>
    </row>
    <row r="499" spans="1:10" ht="14.4" x14ac:dyDescent="0.3">
      <c r="A499" s="2" t="s">
        <v>25</v>
      </c>
      <c r="B499" s="2" t="s">
        <v>1041</v>
      </c>
      <c r="C499" s="2" t="s">
        <v>1040</v>
      </c>
      <c r="D499" s="2" t="s">
        <v>1410</v>
      </c>
      <c r="E499" s="2" t="s">
        <v>5262</v>
      </c>
      <c r="F499" s="2" t="s">
        <v>5263</v>
      </c>
      <c r="G499" s="2" t="s">
        <v>2493</v>
      </c>
      <c r="H499" s="2" t="s">
        <v>1464</v>
      </c>
      <c r="I499" s="2" t="s">
        <v>1755</v>
      </c>
      <c r="J499" s="2" t="s">
        <v>2018</v>
      </c>
    </row>
    <row r="500" spans="1:10" ht="14.4" x14ac:dyDescent="0.3">
      <c r="A500" s="2" t="s">
        <v>8</v>
      </c>
      <c r="B500" s="2" t="s">
        <v>777</v>
      </c>
      <c r="C500" s="2" t="s">
        <v>1042</v>
      </c>
      <c r="D500" s="2" t="s">
        <v>1410</v>
      </c>
      <c r="E500" s="2" t="s">
        <v>4903</v>
      </c>
      <c r="F500" s="2" t="s">
        <v>4904</v>
      </c>
      <c r="G500" s="2" t="s">
        <v>3856</v>
      </c>
      <c r="H500" s="2" t="s">
        <v>1464</v>
      </c>
      <c r="I500" s="2" t="s">
        <v>1755</v>
      </c>
      <c r="J500" s="2" t="s">
        <v>2018</v>
      </c>
    </row>
    <row r="501" spans="1:10" ht="14.4" x14ac:dyDescent="0.3">
      <c r="A501" s="2" t="s">
        <v>25</v>
      </c>
      <c r="B501" s="2" t="s">
        <v>1044</v>
      </c>
      <c r="C501" s="2" t="s">
        <v>1043</v>
      </c>
      <c r="D501" s="2" t="s">
        <v>1410</v>
      </c>
      <c r="E501" s="2" t="s">
        <v>5178</v>
      </c>
      <c r="F501" s="2" t="s">
        <v>5179</v>
      </c>
      <c r="G501" s="2" t="s">
        <v>2735</v>
      </c>
      <c r="H501" s="2" t="s">
        <v>1464</v>
      </c>
      <c r="I501" s="2" t="s">
        <v>1755</v>
      </c>
      <c r="J501" s="2" t="s">
        <v>2018</v>
      </c>
    </row>
    <row r="502" spans="1:10" ht="14.4" x14ac:dyDescent="0.3">
      <c r="A502" s="2" t="s">
        <v>49</v>
      </c>
      <c r="B502" s="2" t="s">
        <v>1046</v>
      </c>
      <c r="C502" s="2" t="s">
        <v>1045</v>
      </c>
      <c r="D502" s="2" t="s">
        <v>1410</v>
      </c>
      <c r="E502" s="2" t="s">
        <v>5218</v>
      </c>
      <c r="F502" s="2" t="s">
        <v>5219</v>
      </c>
      <c r="G502" s="2" t="s">
        <v>1830</v>
      </c>
      <c r="H502" s="2" t="s">
        <v>4535</v>
      </c>
      <c r="I502" s="2" t="s">
        <v>4471</v>
      </c>
      <c r="J502" s="2" t="s">
        <v>1551</v>
      </c>
    </row>
    <row r="503" spans="1:10" ht="14.4" x14ac:dyDescent="0.3">
      <c r="A503" s="2" t="s">
        <v>16</v>
      </c>
      <c r="B503" s="2" t="s">
        <v>1048</v>
      </c>
      <c r="C503" s="2" t="s">
        <v>1047</v>
      </c>
      <c r="D503" s="2" t="s">
        <v>1410</v>
      </c>
      <c r="E503" s="2" t="s">
        <v>5266</v>
      </c>
      <c r="F503" s="2" t="s">
        <v>5267</v>
      </c>
      <c r="G503" s="2" t="s">
        <v>5268</v>
      </c>
      <c r="H503" s="2" t="s">
        <v>1452</v>
      </c>
      <c r="I503" s="2" t="s">
        <v>1755</v>
      </c>
      <c r="J503" s="2" t="s">
        <v>1551</v>
      </c>
    </row>
    <row r="504" spans="1:10" ht="14.4" x14ac:dyDescent="0.3">
      <c r="A504" s="2" t="s">
        <v>8</v>
      </c>
      <c r="B504" s="2" t="s">
        <v>1050</v>
      </c>
      <c r="C504" s="2" t="s">
        <v>1049</v>
      </c>
      <c r="D504" s="2" t="s">
        <v>1410</v>
      </c>
      <c r="E504" s="2" t="s">
        <v>5317</v>
      </c>
      <c r="F504" s="2" t="s">
        <v>4213</v>
      </c>
      <c r="G504" s="2" t="s">
        <v>1566</v>
      </c>
      <c r="H504" s="2" t="s">
        <v>1424</v>
      </c>
      <c r="I504" s="2" t="s">
        <v>1755</v>
      </c>
      <c r="J504" s="2" t="s">
        <v>1506</v>
      </c>
    </row>
    <row r="505" spans="1:10" ht="14.4" x14ac:dyDescent="0.3">
      <c r="A505" s="2" t="s">
        <v>19</v>
      </c>
      <c r="B505" s="2" t="s">
        <v>827</v>
      </c>
      <c r="C505" s="2" t="s">
        <v>1051</v>
      </c>
      <c r="D505" s="2" t="s">
        <v>1410</v>
      </c>
      <c r="E505" s="2" t="s">
        <v>5352</v>
      </c>
      <c r="F505" s="2" t="s">
        <v>5353</v>
      </c>
      <c r="G505" s="2" t="s">
        <v>5354</v>
      </c>
      <c r="H505" s="2" t="s">
        <v>1464</v>
      </c>
      <c r="I505" s="2" t="s">
        <v>1755</v>
      </c>
      <c r="J505" s="2" t="s">
        <v>2018</v>
      </c>
    </row>
    <row r="506" spans="1:10" ht="14.4" x14ac:dyDescent="0.3">
      <c r="A506" s="2" t="s">
        <v>49</v>
      </c>
      <c r="B506" s="2" t="s">
        <v>79</v>
      </c>
      <c r="C506" s="2" t="s">
        <v>1052</v>
      </c>
      <c r="D506" s="2" t="s">
        <v>1410</v>
      </c>
      <c r="E506" s="2" t="s">
        <v>5369</v>
      </c>
      <c r="F506" s="2" t="s">
        <v>2984</v>
      </c>
      <c r="G506" s="2" t="s">
        <v>5370</v>
      </c>
      <c r="H506" s="2" t="s">
        <v>1464</v>
      </c>
      <c r="I506" s="2" t="s">
        <v>1755</v>
      </c>
      <c r="J506" s="2" t="s">
        <v>2018</v>
      </c>
    </row>
    <row r="507" spans="1:10" ht="14.4" x14ac:dyDescent="0.3">
      <c r="A507" s="2" t="s">
        <v>31</v>
      </c>
      <c r="B507" s="2" t="s">
        <v>1054</v>
      </c>
      <c r="C507" s="2" t="s">
        <v>1053</v>
      </c>
      <c r="D507" s="2" t="s">
        <v>1410</v>
      </c>
      <c r="E507" s="2" t="s">
        <v>3174</v>
      </c>
      <c r="F507" s="2" t="s">
        <v>5463</v>
      </c>
      <c r="G507" s="2" t="s">
        <v>1784</v>
      </c>
      <c r="H507" s="2" t="s">
        <v>1452</v>
      </c>
      <c r="I507" s="2" t="s">
        <v>1755</v>
      </c>
      <c r="J507" s="2" t="s">
        <v>1551</v>
      </c>
    </row>
    <row r="508" spans="1:10" ht="14.4" x14ac:dyDescent="0.3">
      <c r="A508" s="2" t="s">
        <v>123</v>
      </c>
      <c r="B508" s="2" t="s">
        <v>1056</v>
      </c>
      <c r="C508" s="2" t="s">
        <v>1055</v>
      </c>
      <c r="D508" s="2" t="s">
        <v>1410</v>
      </c>
      <c r="E508" s="2" t="s">
        <v>5183</v>
      </c>
      <c r="F508" s="2" t="s">
        <v>2778</v>
      </c>
      <c r="G508" s="2" t="s">
        <v>4753</v>
      </c>
      <c r="H508" s="2" t="s">
        <v>1414</v>
      </c>
      <c r="I508" s="2" t="s">
        <v>1414</v>
      </c>
      <c r="J508" s="2" t="s">
        <v>1414</v>
      </c>
    </row>
    <row r="509" spans="1:10" ht="14.4" x14ac:dyDescent="0.3">
      <c r="A509" s="2" t="s">
        <v>123</v>
      </c>
      <c r="B509" s="2" t="s">
        <v>1056</v>
      </c>
      <c r="C509" s="2" t="s">
        <v>1055</v>
      </c>
      <c r="D509" s="2" t="s">
        <v>1410</v>
      </c>
      <c r="E509" s="2" t="s">
        <v>5237</v>
      </c>
      <c r="F509" s="2" t="s">
        <v>5240</v>
      </c>
      <c r="G509" s="2" t="s">
        <v>4756</v>
      </c>
      <c r="H509" s="2" t="s">
        <v>1464</v>
      </c>
      <c r="I509" s="2" t="s">
        <v>1755</v>
      </c>
      <c r="J509" s="2" t="s">
        <v>2018</v>
      </c>
    </row>
    <row r="510" spans="1:10" ht="14.4" x14ac:dyDescent="0.3">
      <c r="A510" s="2" t="s">
        <v>1059</v>
      </c>
      <c r="B510" s="2" t="s">
        <v>1058</v>
      </c>
      <c r="C510" s="2" t="s">
        <v>1057</v>
      </c>
      <c r="D510" s="2" t="s">
        <v>1410</v>
      </c>
      <c r="E510" s="2" t="s">
        <v>5342</v>
      </c>
      <c r="F510" s="2" t="s">
        <v>5343</v>
      </c>
      <c r="G510" s="2" t="s">
        <v>5272</v>
      </c>
      <c r="H510" s="2" t="s">
        <v>1452</v>
      </c>
      <c r="I510" s="2" t="s">
        <v>1755</v>
      </c>
      <c r="J510" s="2" t="s">
        <v>1551</v>
      </c>
    </row>
    <row r="511" spans="1:10" ht="14.4" x14ac:dyDescent="0.3">
      <c r="A511" s="2" t="s">
        <v>49</v>
      </c>
      <c r="B511" s="2" t="s">
        <v>1063</v>
      </c>
      <c r="C511" s="2" t="s">
        <v>1062</v>
      </c>
      <c r="D511" s="2" t="s">
        <v>1410</v>
      </c>
      <c r="E511" s="2" t="s">
        <v>4864</v>
      </c>
      <c r="F511" s="2" t="s">
        <v>4865</v>
      </c>
      <c r="G511" s="2" t="s">
        <v>4866</v>
      </c>
      <c r="H511" s="2" t="s">
        <v>1464</v>
      </c>
      <c r="I511" s="2" t="s">
        <v>1755</v>
      </c>
      <c r="J511" s="2" t="s">
        <v>2018</v>
      </c>
    </row>
    <row r="512" spans="1:10" ht="14.4" x14ac:dyDescent="0.3">
      <c r="A512" s="2" t="s">
        <v>31</v>
      </c>
      <c r="B512" s="2" t="s">
        <v>1065</v>
      </c>
      <c r="C512" s="2" t="s">
        <v>1064</v>
      </c>
      <c r="D512" s="2" t="s">
        <v>1410</v>
      </c>
      <c r="E512" s="2" t="s">
        <v>5139</v>
      </c>
      <c r="F512" s="2" t="s">
        <v>3972</v>
      </c>
      <c r="G512" s="2" t="s">
        <v>5140</v>
      </c>
      <c r="H512" s="2" t="s">
        <v>1464</v>
      </c>
      <c r="I512" s="2" t="s">
        <v>1755</v>
      </c>
      <c r="J512" s="2" t="s">
        <v>2018</v>
      </c>
    </row>
    <row r="513" spans="1:10" ht="14.4" x14ac:dyDescent="0.3">
      <c r="A513" s="2" t="s">
        <v>42</v>
      </c>
      <c r="B513" s="2" t="s">
        <v>1067</v>
      </c>
      <c r="C513" s="2" t="s">
        <v>1066</v>
      </c>
      <c r="D513" s="2" t="s">
        <v>1410</v>
      </c>
      <c r="E513" s="2" t="s">
        <v>5374</v>
      </c>
      <c r="F513" s="2" t="s">
        <v>3037</v>
      </c>
      <c r="G513" s="2" t="s">
        <v>2884</v>
      </c>
      <c r="H513" s="2" t="s">
        <v>4494</v>
      </c>
      <c r="I513" s="2" t="s">
        <v>4471</v>
      </c>
      <c r="J513" s="2" t="s">
        <v>2018</v>
      </c>
    </row>
    <row r="514" spans="1:10" ht="14.4" x14ac:dyDescent="0.3">
      <c r="A514" s="2" t="s">
        <v>1070</v>
      </c>
      <c r="B514" s="2" t="s">
        <v>1069</v>
      </c>
      <c r="C514" s="2" t="s">
        <v>1068</v>
      </c>
      <c r="D514" s="2" t="s">
        <v>1410</v>
      </c>
      <c r="E514" s="2" t="s">
        <v>3597</v>
      </c>
      <c r="F514" s="2" t="s">
        <v>3611</v>
      </c>
      <c r="G514" s="2" t="s">
        <v>4458</v>
      </c>
      <c r="H514" s="2" t="s">
        <v>4494</v>
      </c>
      <c r="I514" s="2" t="s">
        <v>4471</v>
      </c>
      <c r="J514" s="2" t="s">
        <v>2018</v>
      </c>
    </row>
    <row r="515" spans="1:10" ht="14.4" x14ac:dyDescent="0.3">
      <c r="A515" s="2" t="s">
        <v>25</v>
      </c>
      <c r="B515" s="2" t="s">
        <v>1074</v>
      </c>
      <c r="C515" s="2" t="s">
        <v>1073</v>
      </c>
      <c r="D515" s="2" t="s">
        <v>1410</v>
      </c>
      <c r="E515" s="2" t="s">
        <v>4539</v>
      </c>
      <c r="F515" s="2" t="s">
        <v>4540</v>
      </c>
      <c r="G515" s="2" t="s">
        <v>3956</v>
      </c>
      <c r="H515" s="2" t="s">
        <v>4435</v>
      </c>
      <c r="I515" s="2" t="s">
        <v>4436</v>
      </c>
      <c r="J515" s="2" t="s">
        <v>1551</v>
      </c>
    </row>
    <row r="516" spans="1:10" ht="14.4" x14ac:dyDescent="0.3">
      <c r="A516" s="2" t="s">
        <v>49</v>
      </c>
      <c r="B516" s="2" t="s">
        <v>1081</v>
      </c>
      <c r="C516" s="2" t="s">
        <v>1080</v>
      </c>
      <c r="D516" s="2" t="s">
        <v>1410</v>
      </c>
      <c r="E516" s="2" t="s">
        <v>4930</v>
      </c>
      <c r="F516" s="2" t="s">
        <v>2462</v>
      </c>
      <c r="G516" s="2" t="s">
        <v>4470</v>
      </c>
      <c r="H516" s="2" t="s">
        <v>4471</v>
      </c>
      <c r="I516" s="2" t="s">
        <v>4436</v>
      </c>
      <c r="J516" s="2" t="s">
        <v>3214</v>
      </c>
    </row>
    <row r="517" spans="1:10" ht="14.4" x14ac:dyDescent="0.3">
      <c r="A517" s="2" t="s">
        <v>49</v>
      </c>
      <c r="B517" s="2" t="s">
        <v>1081</v>
      </c>
      <c r="C517" s="2" t="s">
        <v>1080</v>
      </c>
      <c r="D517" s="2" t="s">
        <v>1410</v>
      </c>
      <c r="E517" s="2" t="s">
        <v>5379</v>
      </c>
      <c r="F517" s="2" t="s">
        <v>5380</v>
      </c>
      <c r="G517" s="2" t="s">
        <v>5381</v>
      </c>
      <c r="H517" s="2" t="s">
        <v>1464</v>
      </c>
      <c r="I517" s="2" t="s">
        <v>1755</v>
      </c>
      <c r="J517" s="2" t="s">
        <v>2018</v>
      </c>
    </row>
    <row r="518" spans="1:10" ht="14.4" x14ac:dyDescent="0.3">
      <c r="A518" s="2" t="s">
        <v>1085</v>
      </c>
      <c r="B518" s="2" t="s">
        <v>1084</v>
      </c>
      <c r="C518" s="2" t="s">
        <v>1083</v>
      </c>
      <c r="D518" s="2" t="s">
        <v>1410</v>
      </c>
      <c r="E518" s="2" t="s">
        <v>5033</v>
      </c>
      <c r="F518" s="2" t="s">
        <v>3861</v>
      </c>
      <c r="G518" s="2" t="s">
        <v>2102</v>
      </c>
      <c r="H518" s="2" t="s">
        <v>1506</v>
      </c>
      <c r="I518" s="2" t="s">
        <v>1414</v>
      </c>
      <c r="J518" s="2" t="s">
        <v>1506</v>
      </c>
    </row>
    <row r="519" spans="1:10" ht="14.4" x14ac:dyDescent="0.3">
      <c r="A519" s="2" t="s">
        <v>123</v>
      </c>
      <c r="B519" s="2" t="s">
        <v>530</v>
      </c>
      <c r="C519" s="2" t="s">
        <v>1086</v>
      </c>
      <c r="D519" s="2" t="s">
        <v>1410</v>
      </c>
      <c r="E519" s="2" t="s">
        <v>5134</v>
      </c>
      <c r="F519" s="2" t="s">
        <v>2714</v>
      </c>
      <c r="G519" s="2" t="s">
        <v>5135</v>
      </c>
      <c r="H519" s="2" t="s">
        <v>1464</v>
      </c>
      <c r="I519" s="2" t="s">
        <v>1755</v>
      </c>
      <c r="J519" s="2" t="s">
        <v>2018</v>
      </c>
    </row>
    <row r="520" spans="1:10" ht="14.4" x14ac:dyDescent="0.3">
      <c r="A520" s="2" t="s">
        <v>31</v>
      </c>
      <c r="B520" s="2" t="s">
        <v>1088</v>
      </c>
      <c r="C520" s="2" t="s">
        <v>1087</v>
      </c>
      <c r="D520" s="2" t="s">
        <v>1410</v>
      </c>
      <c r="E520" s="2" t="s">
        <v>3824</v>
      </c>
      <c r="F520" s="2" t="s">
        <v>5011</v>
      </c>
      <c r="G520" s="2" t="s">
        <v>5012</v>
      </c>
      <c r="H520" s="2" t="s">
        <v>1464</v>
      </c>
      <c r="I520" s="2" t="s">
        <v>1755</v>
      </c>
      <c r="J520" s="2" t="s">
        <v>2018</v>
      </c>
    </row>
    <row r="521" spans="1:10" ht="14.4" x14ac:dyDescent="0.3">
      <c r="A521" s="2" t="s">
        <v>55</v>
      </c>
      <c r="B521" s="2" t="s">
        <v>329</v>
      </c>
      <c r="C521" s="2" t="s">
        <v>1090</v>
      </c>
      <c r="D521" s="2" t="s">
        <v>1410</v>
      </c>
      <c r="E521" s="2" t="s">
        <v>1753</v>
      </c>
      <c r="F521" s="2" t="s">
        <v>3333</v>
      </c>
      <c r="G521" s="2" t="s">
        <v>1568</v>
      </c>
      <c r="H521" s="2" t="s">
        <v>1452</v>
      </c>
      <c r="I521" s="2" t="s">
        <v>1755</v>
      </c>
      <c r="J521" s="2" t="s">
        <v>1551</v>
      </c>
    </row>
    <row r="522" spans="1:10" ht="14.4" x14ac:dyDescent="0.3">
      <c r="A522" s="2" t="s">
        <v>1095</v>
      </c>
      <c r="B522" s="2" t="s">
        <v>1094</v>
      </c>
      <c r="C522" s="2" t="s">
        <v>1093</v>
      </c>
      <c r="D522" s="2" t="s">
        <v>1410</v>
      </c>
      <c r="E522" s="2" t="s">
        <v>4277</v>
      </c>
      <c r="F522" s="2" t="s">
        <v>3034</v>
      </c>
      <c r="G522" s="2" t="s">
        <v>2956</v>
      </c>
      <c r="H522" s="2" t="s">
        <v>1464</v>
      </c>
      <c r="I522" s="2" t="s">
        <v>1755</v>
      </c>
      <c r="J522" s="2" t="s">
        <v>2018</v>
      </c>
    </row>
    <row r="523" spans="1:10" ht="14.4" x14ac:dyDescent="0.3">
      <c r="A523" s="2" t="s">
        <v>8</v>
      </c>
      <c r="B523" s="2" t="s">
        <v>1097</v>
      </c>
      <c r="C523" s="2" t="s">
        <v>1096</v>
      </c>
      <c r="D523" s="2" t="s">
        <v>1456</v>
      </c>
      <c r="E523" s="2" t="s">
        <v>1840</v>
      </c>
      <c r="F523" s="2" t="s">
        <v>1415</v>
      </c>
      <c r="G523" s="2" t="s">
        <v>1415</v>
      </c>
      <c r="H523" s="2" t="s">
        <v>1415</v>
      </c>
      <c r="I523" s="2" t="s">
        <v>1415</v>
      </c>
      <c r="J523" s="2" t="s">
        <v>1415</v>
      </c>
    </row>
    <row r="524" spans="1:10" ht="14.4" x14ac:dyDescent="0.3">
      <c r="A524" s="2" t="s">
        <v>8</v>
      </c>
      <c r="B524" s="2" t="s">
        <v>1099</v>
      </c>
      <c r="C524" s="2" t="s">
        <v>1098</v>
      </c>
      <c r="D524" s="2" t="s">
        <v>1410</v>
      </c>
      <c r="E524" s="2" t="s">
        <v>4793</v>
      </c>
      <c r="F524" s="2" t="s">
        <v>4796</v>
      </c>
      <c r="G524" s="2" t="s">
        <v>4693</v>
      </c>
      <c r="H524" s="2" t="s">
        <v>1452</v>
      </c>
      <c r="I524" s="2" t="s">
        <v>1755</v>
      </c>
      <c r="J524" s="2" t="s">
        <v>1551</v>
      </c>
    </row>
    <row r="525" spans="1:10" ht="14.4" x14ac:dyDescent="0.3">
      <c r="A525" s="2" t="s">
        <v>28</v>
      </c>
      <c r="B525" s="2" t="s">
        <v>1101</v>
      </c>
      <c r="C525" s="2" t="s">
        <v>1100</v>
      </c>
      <c r="D525" s="2" t="s">
        <v>1410</v>
      </c>
      <c r="E525" s="2" t="s">
        <v>2059</v>
      </c>
      <c r="F525" s="2" t="s">
        <v>4727</v>
      </c>
      <c r="G525" s="2" t="s">
        <v>4728</v>
      </c>
      <c r="H525" s="2" t="s">
        <v>1464</v>
      </c>
      <c r="I525" s="2" t="s">
        <v>1755</v>
      </c>
      <c r="J525" s="2" t="s">
        <v>2018</v>
      </c>
    </row>
    <row r="526" spans="1:10" ht="14.4" x14ac:dyDescent="0.3">
      <c r="A526" s="2" t="s">
        <v>133</v>
      </c>
      <c r="B526" s="2" t="s">
        <v>1103</v>
      </c>
      <c r="C526" s="2" t="s">
        <v>1102</v>
      </c>
      <c r="D526" s="2" t="s">
        <v>1410</v>
      </c>
      <c r="E526" s="2" t="s">
        <v>5368</v>
      </c>
      <c r="F526" s="2" t="s">
        <v>2997</v>
      </c>
      <c r="G526" s="2" t="s">
        <v>4085</v>
      </c>
      <c r="H526" s="2" t="s">
        <v>1452</v>
      </c>
      <c r="I526" s="2" t="s">
        <v>1755</v>
      </c>
      <c r="J526" s="2" t="s">
        <v>1551</v>
      </c>
    </row>
    <row r="527" spans="1:10" ht="14.4" x14ac:dyDescent="0.3">
      <c r="A527" s="2" t="s">
        <v>133</v>
      </c>
      <c r="B527" s="2" t="s">
        <v>1110</v>
      </c>
      <c r="C527" s="2" t="s">
        <v>1109</v>
      </c>
      <c r="D527" s="2" t="s">
        <v>1410</v>
      </c>
      <c r="E527" s="2" t="s">
        <v>5086</v>
      </c>
      <c r="F527" s="2" t="s">
        <v>5082</v>
      </c>
      <c r="G527" s="2" t="s">
        <v>3543</v>
      </c>
      <c r="H527" s="2" t="s">
        <v>1464</v>
      </c>
      <c r="I527" s="2" t="s">
        <v>1755</v>
      </c>
      <c r="J527" s="2" t="s">
        <v>2018</v>
      </c>
    </row>
    <row r="528" spans="1:10" ht="14.4" x14ac:dyDescent="0.3">
      <c r="A528" s="2" t="s">
        <v>31</v>
      </c>
      <c r="B528" s="2" t="s">
        <v>1112</v>
      </c>
      <c r="C528" s="2" t="s">
        <v>1111</v>
      </c>
      <c r="D528" s="2" t="s">
        <v>1410</v>
      </c>
      <c r="E528" s="2" t="s">
        <v>5180</v>
      </c>
      <c r="F528" s="2" t="s">
        <v>5179</v>
      </c>
      <c r="G528" s="2" t="s">
        <v>5181</v>
      </c>
      <c r="H528" s="2" t="s">
        <v>1464</v>
      </c>
      <c r="I528" s="2" t="s">
        <v>1755</v>
      </c>
      <c r="J528" s="2" t="s">
        <v>2018</v>
      </c>
    </row>
    <row r="529" spans="1:10" ht="28.8" x14ac:dyDescent="0.3">
      <c r="A529" s="2" t="s">
        <v>42</v>
      </c>
      <c r="B529" s="2" t="s">
        <v>1114</v>
      </c>
      <c r="C529" s="2" t="s">
        <v>1113</v>
      </c>
      <c r="D529" s="2" t="s">
        <v>1410</v>
      </c>
      <c r="E529" s="2" t="s">
        <v>2509</v>
      </c>
      <c r="F529" s="2" t="s">
        <v>2518</v>
      </c>
      <c r="G529" s="2" t="s">
        <v>2459</v>
      </c>
      <c r="H529" s="2" t="s">
        <v>1464</v>
      </c>
      <c r="I529" s="2" t="s">
        <v>1755</v>
      </c>
      <c r="J529" s="2" t="s">
        <v>2018</v>
      </c>
    </row>
    <row r="530" spans="1:10" ht="14.4" x14ac:dyDescent="0.3">
      <c r="A530" s="2" t="s">
        <v>25</v>
      </c>
      <c r="B530" s="2" t="s">
        <v>1118</v>
      </c>
      <c r="C530" s="2" t="s">
        <v>1117</v>
      </c>
      <c r="D530" s="2" t="s">
        <v>1410</v>
      </c>
      <c r="E530" s="2" t="s">
        <v>4724</v>
      </c>
      <c r="F530" s="2" t="s">
        <v>4725</v>
      </c>
      <c r="G530" s="2" t="s">
        <v>4726</v>
      </c>
      <c r="H530" s="2" t="s">
        <v>1464</v>
      </c>
      <c r="I530" s="2" t="s">
        <v>1755</v>
      </c>
      <c r="J530" s="2" t="s">
        <v>2018</v>
      </c>
    </row>
    <row r="531" spans="1:10" ht="14.4" x14ac:dyDescent="0.3">
      <c r="A531" s="2" t="s">
        <v>8</v>
      </c>
      <c r="B531" s="2" t="s">
        <v>1120</v>
      </c>
      <c r="C531" s="2" t="s">
        <v>1119</v>
      </c>
      <c r="D531" s="2" t="s">
        <v>1410</v>
      </c>
      <c r="E531" s="2" t="s">
        <v>3076</v>
      </c>
      <c r="F531" s="2" t="s">
        <v>4302</v>
      </c>
      <c r="G531" s="2" t="s">
        <v>5407</v>
      </c>
      <c r="H531" s="2" t="s">
        <v>1452</v>
      </c>
      <c r="I531" s="2" t="s">
        <v>1755</v>
      </c>
      <c r="J531" s="2" t="s">
        <v>1551</v>
      </c>
    </row>
    <row r="532" spans="1:10" ht="14.4" x14ac:dyDescent="0.3">
      <c r="A532" s="2" t="s">
        <v>49</v>
      </c>
      <c r="B532" s="2" t="s">
        <v>1122</v>
      </c>
      <c r="C532" s="2" t="s">
        <v>1121</v>
      </c>
      <c r="D532" s="2" t="s">
        <v>1410</v>
      </c>
      <c r="E532" s="2" t="s">
        <v>3433</v>
      </c>
      <c r="F532" s="2" t="s">
        <v>3441</v>
      </c>
      <c r="G532" s="2" t="s">
        <v>2820</v>
      </c>
      <c r="H532" s="2" t="s">
        <v>4494</v>
      </c>
      <c r="I532" s="2" t="s">
        <v>4471</v>
      </c>
      <c r="J532" s="2" t="s">
        <v>2018</v>
      </c>
    </row>
    <row r="533" spans="1:10" ht="14.4" x14ac:dyDescent="0.3">
      <c r="A533" s="2" t="s">
        <v>31</v>
      </c>
      <c r="B533" s="2" t="s">
        <v>1124</v>
      </c>
      <c r="C533" s="2" t="s">
        <v>1123</v>
      </c>
      <c r="D533" s="2" t="s">
        <v>1410</v>
      </c>
      <c r="E533" s="2" t="s">
        <v>5179</v>
      </c>
      <c r="F533" s="2" t="s">
        <v>5182</v>
      </c>
      <c r="G533" s="2" t="s">
        <v>3752</v>
      </c>
      <c r="H533" s="2" t="s">
        <v>4494</v>
      </c>
      <c r="I533" s="2" t="s">
        <v>4471</v>
      </c>
      <c r="J533" s="2" t="s">
        <v>2018</v>
      </c>
    </row>
    <row r="534" spans="1:10" ht="14.4" x14ac:dyDescent="0.3">
      <c r="A534" s="2" t="s">
        <v>1127</v>
      </c>
      <c r="B534" s="2" t="s">
        <v>1126</v>
      </c>
      <c r="C534" s="2" t="s">
        <v>1125</v>
      </c>
      <c r="D534" s="2" t="s">
        <v>1410</v>
      </c>
      <c r="E534" s="2" t="s">
        <v>4593</v>
      </c>
      <c r="F534" s="2" t="s">
        <v>4594</v>
      </c>
      <c r="G534" s="2" t="s">
        <v>4263</v>
      </c>
      <c r="H534" s="2" t="s">
        <v>1464</v>
      </c>
      <c r="I534" s="2" t="s">
        <v>1755</v>
      </c>
      <c r="J534" s="2" t="s">
        <v>2018</v>
      </c>
    </row>
    <row r="535" spans="1:10" ht="14.4" x14ac:dyDescent="0.3">
      <c r="A535" s="2" t="s">
        <v>8</v>
      </c>
      <c r="B535" s="2" t="s">
        <v>1129</v>
      </c>
      <c r="C535" s="2" t="s">
        <v>1128</v>
      </c>
      <c r="D535" s="2" t="s">
        <v>1410</v>
      </c>
      <c r="E535" s="2" t="s">
        <v>4316</v>
      </c>
      <c r="F535" s="2" t="s">
        <v>5414</v>
      </c>
      <c r="G535" s="2" t="s">
        <v>1691</v>
      </c>
      <c r="H535" s="2" t="s">
        <v>4494</v>
      </c>
      <c r="I535" s="2" t="s">
        <v>4471</v>
      </c>
      <c r="J535" s="2" t="s">
        <v>2018</v>
      </c>
    </row>
    <row r="536" spans="1:10" ht="14.4" x14ac:dyDescent="0.3">
      <c r="A536" s="2" t="s">
        <v>1134</v>
      </c>
      <c r="B536" s="2" t="s">
        <v>1133</v>
      </c>
      <c r="C536" s="2" t="s">
        <v>1132</v>
      </c>
      <c r="D536" s="2" t="s">
        <v>1410</v>
      </c>
      <c r="E536" s="2" t="s">
        <v>5013</v>
      </c>
      <c r="F536" s="2" t="s">
        <v>5014</v>
      </c>
      <c r="G536" s="2" t="s">
        <v>4470</v>
      </c>
      <c r="H536" s="2" t="s">
        <v>4556</v>
      </c>
      <c r="I536" s="2" t="s">
        <v>4556</v>
      </c>
      <c r="J536" s="2" t="s">
        <v>1414</v>
      </c>
    </row>
    <row r="537" spans="1:10" ht="14.4" x14ac:dyDescent="0.3">
      <c r="A537" s="2" t="s">
        <v>42</v>
      </c>
      <c r="B537" s="2" t="s">
        <v>1142</v>
      </c>
      <c r="C537" s="2" t="s">
        <v>1869</v>
      </c>
      <c r="D537" s="2" t="s">
        <v>1410</v>
      </c>
      <c r="E537" s="2" t="s">
        <v>3004</v>
      </c>
      <c r="F537" s="2" t="s">
        <v>4277</v>
      </c>
      <c r="G537" s="2" t="s">
        <v>5378</v>
      </c>
      <c r="H537" s="2" t="s">
        <v>2744</v>
      </c>
      <c r="I537" s="2" t="s">
        <v>3214</v>
      </c>
      <c r="J537" s="2" t="s">
        <v>1599</v>
      </c>
    </row>
    <row r="538" spans="1:10" ht="14.4" x14ac:dyDescent="0.3">
      <c r="A538" s="2" t="s">
        <v>8</v>
      </c>
      <c r="B538" s="2" t="s">
        <v>119</v>
      </c>
      <c r="C538" s="2" t="s">
        <v>3035</v>
      </c>
      <c r="D538" s="2" t="s">
        <v>1410</v>
      </c>
      <c r="E538" s="2" t="s">
        <v>3043</v>
      </c>
      <c r="F538" s="2" t="s">
        <v>5380</v>
      </c>
      <c r="G538" s="2" t="s">
        <v>5386</v>
      </c>
      <c r="H538" s="2" t="s">
        <v>1464</v>
      </c>
      <c r="I538" s="2" t="s">
        <v>1755</v>
      </c>
      <c r="J538" s="2" t="s">
        <v>2018</v>
      </c>
    </row>
    <row r="539" spans="1:10" ht="14.4" x14ac:dyDescent="0.3">
      <c r="A539" s="2" t="s">
        <v>794</v>
      </c>
      <c r="B539" s="2" t="s">
        <v>436</v>
      </c>
      <c r="C539" s="2" t="s">
        <v>1148</v>
      </c>
      <c r="D539" s="2" t="s">
        <v>1410</v>
      </c>
      <c r="E539" s="2" t="s">
        <v>4561</v>
      </c>
      <c r="F539" s="2" t="s">
        <v>4563</v>
      </c>
      <c r="G539" s="2" t="s">
        <v>3771</v>
      </c>
      <c r="H539" s="2" t="s">
        <v>1464</v>
      </c>
      <c r="I539" s="2" t="s">
        <v>1755</v>
      </c>
      <c r="J539" s="2" t="s">
        <v>2018</v>
      </c>
    </row>
    <row r="540" spans="1:10" ht="14.4" x14ac:dyDescent="0.3">
      <c r="A540" s="2" t="s">
        <v>8</v>
      </c>
      <c r="B540" s="2" t="s">
        <v>1150</v>
      </c>
      <c r="C540" s="2" t="s">
        <v>1149</v>
      </c>
      <c r="D540" s="2" t="s">
        <v>1410</v>
      </c>
      <c r="E540" s="2" t="s">
        <v>5365</v>
      </c>
      <c r="F540" s="2" t="s">
        <v>5366</v>
      </c>
      <c r="G540" s="2" t="s">
        <v>1531</v>
      </c>
      <c r="H540" s="2" t="s">
        <v>1452</v>
      </c>
      <c r="I540" s="2" t="s">
        <v>1755</v>
      </c>
      <c r="J540" s="2" t="s">
        <v>1551</v>
      </c>
    </row>
    <row r="541" spans="1:10" ht="14.4" x14ac:dyDescent="0.3">
      <c r="A541" s="2" t="s">
        <v>25</v>
      </c>
      <c r="B541" s="2" t="s">
        <v>1152</v>
      </c>
      <c r="C541" s="2" t="s">
        <v>1151</v>
      </c>
      <c r="D541" s="2" t="s">
        <v>1410</v>
      </c>
      <c r="E541" s="2" t="s">
        <v>4371</v>
      </c>
      <c r="F541" s="2" t="s">
        <v>5465</v>
      </c>
      <c r="G541" s="2" t="s">
        <v>3705</v>
      </c>
      <c r="H541" s="2" t="s">
        <v>1438</v>
      </c>
      <c r="I541" s="2" t="s">
        <v>1551</v>
      </c>
      <c r="J541" s="2" t="s">
        <v>2018</v>
      </c>
    </row>
    <row r="542" spans="1:10" ht="14.4" x14ac:dyDescent="0.3">
      <c r="A542" s="2" t="s">
        <v>170</v>
      </c>
      <c r="B542" s="2" t="s">
        <v>1154</v>
      </c>
      <c r="C542" s="2" t="s">
        <v>1153</v>
      </c>
      <c r="D542" s="2" t="s">
        <v>1410</v>
      </c>
      <c r="E542" s="2" t="s">
        <v>4440</v>
      </c>
      <c r="F542" s="2" t="s">
        <v>4441</v>
      </c>
      <c r="G542" s="2" t="s">
        <v>4442</v>
      </c>
      <c r="H542" s="2" t="s">
        <v>1452</v>
      </c>
      <c r="I542" s="2" t="s">
        <v>1755</v>
      </c>
      <c r="J542" s="2" t="s">
        <v>1551</v>
      </c>
    </row>
    <row r="543" spans="1:10" ht="14.4" x14ac:dyDescent="0.3">
      <c r="A543" s="2" t="s">
        <v>8</v>
      </c>
      <c r="B543" s="2" t="s">
        <v>1156</v>
      </c>
      <c r="C543" s="2" t="s">
        <v>1155</v>
      </c>
      <c r="D543" s="2" t="s">
        <v>1410</v>
      </c>
      <c r="E543" s="2" t="s">
        <v>5371</v>
      </c>
      <c r="F543" s="2" t="s">
        <v>3011</v>
      </c>
      <c r="G543" s="2" t="s">
        <v>5372</v>
      </c>
      <c r="H543" s="2" t="s">
        <v>1419</v>
      </c>
      <c r="I543" s="2" t="s">
        <v>1755</v>
      </c>
      <c r="J543" s="2" t="s">
        <v>1599</v>
      </c>
    </row>
    <row r="544" spans="1:10" ht="14.4" x14ac:dyDescent="0.3">
      <c r="A544" s="2" t="s">
        <v>8</v>
      </c>
      <c r="B544" s="2" t="s">
        <v>1160</v>
      </c>
      <c r="C544" s="2" t="s">
        <v>1159</v>
      </c>
      <c r="D544" s="2" t="s">
        <v>1410</v>
      </c>
      <c r="E544" s="2" t="s">
        <v>3086</v>
      </c>
      <c r="F544" s="2" t="s">
        <v>4303</v>
      </c>
      <c r="G544" s="2" t="s">
        <v>2254</v>
      </c>
      <c r="H544" s="2" t="s">
        <v>4984</v>
      </c>
      <c r="I544" s="2" t="s">
        <v>4556</v>
      </c>
      <c r="J544" s="2" t="s">
        <v>1506</v>
      </c>
    </row>
    <row r="545" spans="1:10" ht="14.4" x14ac:dyDescent="0.3">
      <c r="A545" s="2" t="s">
        <v>8</v>
      </c>
      <c r="B545" s="2" t="s">
        <v>1160</v>
      </c>
      <c r="C545" s="2" t="s">
        <v>1159</v>
      </c>
      <c r="D545" s="2" t="s">
        <v>1410</v>
      </c>
      <c r="E545" s="2" t="s">
        <v>5422</v>
      </c>
      <c r="F545" s="2" t="s">
        <v>4333</v>
      </c>
      <c r="G545" s="2" t="s">
        <v>5423</v>
      </c>
      <c r="H545" s="2" t="s">
        <v>1464</v>
      </c>
      <c r="I545" s="2" t="s">
        <v>1755</v>
      </c>
      <c r="J545" s="2" t="s">
        <v>2018</v>
      </c>
    </row>
    <row r="546" spans="1:10" ht="14.4" x14ac:dyDescent="0.3">
      <c r="A546" s="2" t="s">
        <v>16</v>
      </c>
      <c r="B546" s="2" t="s">
        <v>1162</v>
      </c>
      <c r="C546" s="2" t="s">
        <v>1161</v>
      </c>
      <c r="D546" s="2" t="s">
        <v>1410</v>
      </c>
      <c r="E546" s="2" t="s">
        <v>3103</v>
      </c>
      <c r="F546" s="2" t="s">
        <v>3099</v>
      </c>
      <c r="G546" s="2" t="s">
        <v>5027</v>
      </c>
      <c r="H546" s="2" t="s">
        <v>4494</v>
      </c>
      <c r="I546" s="2" t="s">
        <v>4471</v>
      </c>
      <c r="J546" s="2" t="s">
        <v>2018</v>
      </c>
    </row>
    <row r="547" spans="1:10" ht="14.4" x14ac:dyDescent="0.3">
      <c r="A547" s="2" t="s">
        <v>25</v>
      </c>
      <c r="B547" s="2" t="s">
        <v>1164</v>
      </c>
      <c r="C547" s="2" t="s">
        <v>1163</v>
      </c>
      <c r="D547" s="2" t="s">
        <v>1410</v>
      </c>
      <c r="E547" s="2" t="s">
        <v>4456</v>
      </c>
      <c r="F547" s="2" t="s">
        <v>4457</v>
      </c>
      <c r="G547" s="2" t="s">
        <v>4458</v>
      </c>
      <c r="H547" s="2" t="s">
        <v>1843</v>
      </c>
      <c r="I547" s="2" t="s">
        <v>1843</v>
      </c>
      <c r="J547" s="2" t="s">
        <v>1414</v>
      </c>
    </row>
    <row r="548" spans="1:10" ht="14.4" x14ac:dyDescent="0.3">
      <c r="A548" s="2" t="s">
        <v>25</v>
      </c>
      <c r="B548" s="2" t="s">
        <v>1164</v>
      </c>
      <c r="C548" s="2" t="s">
        <v>1163</v>
      </c>
      <c r="D548" s="2" t="s">
        <v>1410</v>
      </c>
      <c r="E548" s="2" t="s">
        <v>4461</v>
      </c>
      <c r="F548" s="2" t="s">
        <v>4462</v>
      </c>
      <c r="G548" s="2" t="s">
        <v>4463</v>
      </c>
      <c r="H548" s="2" t="s">
        <v>1464</v>
      </c>
      <c r="I548" s="2" t="s">
        <v>1755</v>
      </c>
      <c r="J548" s="2" t="s">
        <v>2018</v>
      </c>
    </row>
    <row r="549" spans="1:10" ht="14.4" x14ac:dyDescent="0.3">
      <c r="A549" s="2" t="s">
        <v>80</v>
      </c>
      <c r="B549" s="2" t="s">
        <v>468</v>
      </c>
      <c r="C549" s="2" t="s">
        <v>1165</v>
      </c>
      <c r="D549" s="2" t="s">
        <v>1410</v>
      </c>
      <c r="E549" s="2" t="s">
        <v>4695</v>
      </c>
      <c r="F549" s="2" t="s">
        <v>4696</v>
      </c>
      <c r="G549" s="2" t="s">
        <v>4697</v>
      </c>
      <c r="H549" s="2" t="s">
        <v>4435</v>
      </c>
      <c r="I549" s="2" t="s">
        <v>4471</v>
      </c>
      <c r="J549" s="2" t="s">
        <v>3204</v>
      </c>
    </row>
    <row r="550" spans="1:10" ht="14.4" x14ac:dyDescent="0.3">
      <c r="A550" s="2" t="s">
        <v>8</v>
      </c>
      <c r="B550" s="2" t="s">
        <v>1167</v>
      </c>
      <c r="C550" s="2" t="s">
        <v>1166</v>
      </c>
      <c r="D550" s="2" t="s">
        <v>1410</v>
      </c>
      <c r="E550" s="2" t="s">
        <v>1985</v>
      </c>
      <c r="F550" s="2" t="s">
        <v>4690</v>
      </c>
      <c r="G550" s="2" t="s">
        <v>4691</v>
      </c>
      <c r="H550" s="2" t="s">
        <v>4494</v>
      </c>
      <c r="I550" s="2" t="s">
        <v>4471</v>
      </c>
      <c r="J550" s="2" t="s">
        <v>2018</v>
      </c>
    </row>
    <row r="551" spans="1:10" ht="14.4" x14ac:dyDescent="0.3">
      <c r="A551" s="2" t="s">
        <v>16</v>
      </c>
      <c r="B551" s="2" t="s">
        <v>1169</v>
      </c>
      <c r="C551" s="2" t="s">
        <v>1168</v>
      </c>
      <c r="D551" s="2" t="s">
        <v>1410</v>
      </c>
      <c r="E551" s="2" t="s">
        <v>5413</v>
      </c>
      <c r="F551" s="2" t="s">
        <v>5417</v>
      </c>
      <c r="G551" s="2" t="s">
        <v>5348</v>
      </c>
      <c r="H551" s="2" t="s">
        <v>4494</v>
      </c>
      <c r="I551" s="2" t="s">
        <v>4471</v>
      </c>
      <c r="J551" s="2" t="s">
        <v>2018</v>
      </c>
    </row>
    <row r="552" spans="1:10" ht="14.4" x14ac:dyDescent="0.3">
      <c r="A552" s="2" t="s">
        <v>42</v>
      </c>
      <c r="B552" s="2" t="s">
        <v>1173</v>
      </c>
      <c r="C552" s="2" t="s">
        <v>1172</v>
      </c>
      <c r="D552" s="2" t="s">
        <v>1410</v>
      </c>
      <c r="E552" s="2" t="s">
        <v>5428</v>
      </c>
      <c r="F552" s="2" t="s">
        <v>5429</v>
      </c>
      <c r="G552" s="2" t="s">
        <v>4075</v>
      </c>
      <c r="H552" s="2" t="s">
        <v>1488</v>
      </c>
      <c r="I552" s="2" t="s">
        <v>1843</v>
      </c>
      <c r="J552" s="2" t="s">
        <v>1551</v>
      </c>
    </row>
    <row r="553" spans="1:10" ht="14.4" x14ac:dyDescent="0.3">
      <c r="A553" s="2" t="s">
        <v>31</v>
      </c>
      <c r="B553" s="2" t="s">
        <v>489</v>
      </c>
      <c r="C553" s="2" t="s">
        <v>1174</v>
      </c>
      <c r="D553" s="2" t="s">
        <v>1410</v>
      </c>
      <c r="E553" s="2" t="s">
        <v>3330</v>
      </c>
      <c r="F553" s="2" t="s">
        <v>4548</v>
      </c>
      <c r="G553" s="2" t="s">
        <v>4550</v>
      </c>
      <c r="H553" s="2" t="s">
        <v>1464</v>
      </c>
      <c r="I553" s="2" t="s">
        <v>1755</v>
      </c>
      <c r="J553" s="2" t="s">
        <v>2018</v>
      </c>
    </row>
    <row r="554" spans="1:10" ht="14.4" x14ac:dyDescent="0.3">
      <c r="A554" s="2" t="s">
        <v>22</v>
      </c>
      <c r="B554" s="2" t="s">
        <v>489</v>
      </c>
      <c r="C554" s="2" t="s">
        <v>1175</v>
      </c>
      <c r="D554" s="2" t="s">
        <v>1410</v>
      </c>
      <c r="E554" s="2" t="s">
        <v>5461</v>
      </c>
      <c r="F554" s="2" t="s">
        <v>5462</v>
      </c>
      <c r="G554" s="2" t="s">
        <v>3013</v>
      </c>
      <c r="H554" s="2" t="s">
        <v>4494</v>
      </c>
      <c r="I554" s="2" t="s">
        <v>4471</v>
      </c>
      <c r="J554" s="2" t="s">
        <v>2018</v>
      </c>
    </row>
    <row r="555" spans="1:10" ht="14.4" x14ac:dyDescent="0.3">
      <c r="A555" s="2" t="s">
        <v>19</v>
      </c>
      <c r="B555" s="2" t="s">
        <v>1179</v>
      </c>
      <c r="C555" s="2" t="s">
        <v>1178</v>
      </c>
      <c r="D555" s="2" t="s">
        <v>1410</v>
      </c>
      <c r="E555" s="2" t="s">
        <v>4452</v>
      </c>
      <c r="F555" s="2" t="s">
        <v>4453</v>
      </c>
      <c r="G555" s="2" t="s">
        <v>4454</v>
      </c>
      <c r="H555" s="2" t="s">
        <v>1424</v>
      </c>
      <c r="I555" s="2" t="s">
        <v>1843</v>
      </c>
      <c r="J555" s="2" t="s">
        <v>2018</v>
      </c>
    </row>
    <row r="556" spans="1:10" ht="14.4" x14ac:dyDescent="0.3">
      <c r="A556" s="2" t="s">
        <v>192</v>
      </c>
      <c r="B556" s="2" t="s">
        <v>1181</v>
      </c>
      <c r="C556" s="2" t="s">
        <v>1180</v>
      </c>
      <c r="D556" s="2" t="s">
        <v>1456</v>
      </c>
      <c r="E556" s="2" t="s">
        <v>4871</v>
      </c>
      <c r="F556" s="2" t="s">
        <v>1415</v>
      </c>
      <c r="G556" s="2" t="s">
        <v>1415</v>
      </c>
      <c r="H556" s="2" t="s">
        <v>1415</v>
      </c>
      <c r="I556" s="2" t="s">
        <v>1415</v>
      </c>
      <c r="J556" s="2" t="s">
        <v>1415</v>
      </c>
    </row>
    <row r="557" spans="1:10" ht="14.4" x14ac:dyDescent="0.3">
      <c r="A557" s="2" t="s">
        <v>31</v>
      </c>
      <c r="B557" s="2" t="s">
        <v>1183</v>
      </c>
      <c r="C557" s="2" t="s">
        <v>1182</v>
      </c>
      <c r="D557" s="2" t="s">
        <v>1410</v>
      </c>
      <c r="E557" s="2" t="s">
        <v>4469</v>
      </c>
      <c r="F557" s="2" t="s">
        <v>1528</v>
      </c>
      <c r="G557" s="2" t="s">
        <v>4470</v>
      </c>
      <c r="H557" s="2" t="s">
        <v>4471</v>
      </c>
      <c r="I557" s="2" t="s">
        <v>4471</v>
      </c>
      <c r="J557" s="2" t="s">
        <v>1414</v>
      </c>
    </row>
    <row r="558" spans="1:10" ht="14.4" x14ac:dyDescent="0.3">
      <c r="A558" s="2" t="s">
        <v>31</v>
      </c>
      <c r="B558" s="2" t="s">
        <v>1183</v>
      </c>
      <c r="C558" s="2" t="s">
        <v>1182</v>
      </c>
      <c r="D558" s="2" t="s">
        <v>1410</v>
      </c>
      <c r="E558" s="2" t="s">
        <v>4671</v>
      </c>
      <c r="F558" s="2" t="s">
        <v>1971</v>
      </c>
      <c r="G558" s="2" t="s">
        <v>4672</v>
      </c>
      <c r="H558" s="2" t="s">
        <v>1464</v>
      </c>
      <c r="I558" s="2" t="s">
        <v>1755</v>
      </c>
      <c r="J558" s="2" t="s">
        <v>2018</v>
      </c>
    </row>
    <row r="559" spans="1:10" ht="14.4" x14ac:dyDescent="0.3">
      <c r="A559" s="2" t="s">
        <v>22</v>
      </c>
      <c r="B559" s="2" t="s">
        <v>1187</v>
      </c>
      <c r="C559" s="2" t="s">
        <v>1186</v>
      </c>
      <c r="D559" s="2" t="s">
        <v>1410</v>
      </c>
      <c r="E559" s="2" t="s">
        <v>4683</v>
      </c>
      <c r="F559" s="2" t="s">
        <v>4684</v>
      </c>
      <c r="G559" s="2" t="s">
        <v>2969</v>
      </c>
      <c r="H559" s="2" t="s">
        <v>1464</v>
      </c>
      <c r="I559" s="2" t="s">
        <v>1755</v>
      </c>
      <c r="J559" s="2" t="s">
        <v>2018</v>
      </c>
    </row>
    <row r="560" spans="1:10" ht="14.4" x14ac:dyDescent="0.3">
      <c r="A560" s="2" t="s">
        <v>28</v>
      </c>
      <c r="B560" s="2" t="s">
        <v>1189</v>
      </c>
      <c r="C560" s="2" t="s">
        <v>1188</v>
      </c>
      <c r="D560" s="2" t="s">
        <v>1410</v>
      </c>
      <c r="E560" s="2" t="s">
        <v>3060</v>
      </c>
      <c r="F560" s="2" t="s">
        <v>3058</v>
      </c>
      <c r="G560" s="2" t="s">
        <v>5155</v>
      </c>
      <c r="H560" s="2" t="s">
        <v>2018</v>
      </c>
      <c r="I560" s="2" t="s">
        <v>1414</v>
      </c>
      <c r="J560" s="2" t="s">
        <v>2018</v>
      </c>
    </row>
    <row r="561" spans="1:10" ht="14.4" x14ac:dyDescent="0.3">
      <c r="A561" s="2" t="s">
        <v>31</v>
      </c>
      <c r="B561" s="2" t="s">
        <v>1191</v>
      </c>
      <c r="C561" s="2" t="s">
        <v>1190</v>
      </c>
      <c r="D561" s="2" t="s">
        <v>1410</v>
      </c>
      <c r="E561" s="2" t="s">
        <v>4385</v>
      </c>
      <c r="F561" s="2" t="s">
        <v>4408</v>
      </c>
      <c r="G561" s="2" t="s">
        <v>4474</v>
      </c>
      <c r="H561" s="2" t="s">
        <v>1464</v>
      </c>
      <c r="I561" s="2" t="s">
        <v>1755</v>
      </c>
      <c r="J561" s="2" t="s">
        <v>2018</v>
      </c>
    </row>
    <row r="562" spans="1:10" ht="14.4" x14ac:dyDescent="0.3">
      <c r="A562" s="2" t="s">
        <v>25</v>
      </c>
      <c r="B562" s="2" t="s">
        <v>1193</v>
      </c>
      <c r="C562" s="2" t="s">
        <v>1192</v>
      </c>
      <c r="D562" s="2" t="s">
        <v>1410</v>
      </c>
      <c r="E562" s="2" t="s">
        <v>5367</v>
      </c>
      <c r="F562" s="2" t="s">
        <v>2978</v>
      </c>
      <c r="G562" s="2" t="s">
        <v>4569</v>
      </c>
      <c r="H562" s="2" t="s">
        <v>1419</v>
      </c>
      <c r="I562" s="2" t="s">
        <v>1755</v>
      </c>
      <c r="J562" s="2" t="s">
        <v>1599</v>
      </c>
    </row>
    <row r="563" spans="1:10" ht="14.4" x14ac:dyDescent="0.3">
      <c r="A563" s="2" t="s">
        <v>25</v>
      </c>
      <c r="B563" s="2" t="s">
        <v>1199</v>
      </c>
      <c r="C563" s="2" t="s">
        <v>1198</v>
      </c>
      <c r="D563" s="2" t="s">
        <v>1410</v>
      </c>
      <c r="E563" s="2" t="s">
        <v>1767</v>
      </c>
      <c r="F563" s="2" t="s">
        <v>1757</v>
      </c>
      <c r="G563" s="2" t="s">
        <v>4470</v>
      </c>
      <c r="H563" s="2" t="s">
        <v>1414</v>
      </c>
      <c r="I563" s="2" t="s">
        <v>1414</v>
      </c>
      <c r="J563" s="2" t="s">
        <v>1414</v>
      </c>
    </row>
    <row r="564" spans="1:10" ht="14.4" x14ac:dyDescent="0.3">
      <c r="A564" s="2" t="s">
        <v>25</v>
      </c>
      <c r="B564" s="2" t="s">
        <v>1199</v>
      </c>
      <c r="C564" s="2" t="s">
        <v>1198</v>
      </c>
      <c r="D564" s="2" t="s">
        <v>1410</v>
      </c>
      <c r="E564" s="2" t="s">
        <v>3098</v>
      </c>
      <c r="F564" s="2" t="s">
        <v>5415</v>
      </c>
      <c r="G564" s="2" t="s">
        <v>5416</v>
      </c>
      <c r="H564" s="2" t="s">
        <v>4535</v>
      </c>
      <c r="I564" s="2" t="s">
        <v>4471</v>
      </c>
      <c r="J564" s="2" t="s">
        <v>1551</v>
      </c>
    </row>
    <row r="565" spans="1:10" ht="14.4" x14ac:dyDescent="0.3">
      <c r="A565" s="2" t="s">
        <v>42</v>
      </c>
      <c r="B565" s="2" t="s">
        <v>1204</v>
      </c>
      <c r="C565" s="2" t="s">
        <v>1203</v>
      </c>
      <c r="D565" s="2" t="s">
        <v>1410</v>
      </c>
      <c r="E565" s="2" t="s">
        <v>3104</v>
      </c>
      <c r="F565" s="2" t="s">
        <v>4327</v>
      </c>
      <c r="G565" s="2" t="s">
        <v>2499</v>
      </c>
      <c r="H565" s="2" t="s">
        <v>1464</v>
      </c>
      <c r="I565" s="2" t="s">
        <v>1755</v>
      </c>
      <c r="J565" s="2" t="s">
        <v>2018</v>
      </c>
    </row>
    <row r="566" spans="1:10" ht="14.4" x14ac:dyDescent="0.3">
      <c r="A566" s="2" t="s">
        <v>22</v>
      </c>
      <c r="B566" s="2" t="s">
        <v>1206</v>
      </c>
      <c r="C566" s="2" t="s">
        <v>1205</v>
      </c>
      <c r="D566" s="2" t="s">
        <v>1410</v>
      </c>
      <c r="E566" s="2" t="s">
        <v>5004</v>
      </c>
      <c r="F566" s="2" t="s">
        <v>5005</v>
      </c>
      <c r="G566" s="2" t="s">
        <v>2517</v>
      </c>
      <c r="H566" s="2" t="s">
        <v>4494</v>
      </c>
      <c r="I566" s="2" t="s">
        <v>4471</v>
      </c>
      <c r="J566" s="2" t="s">
        <v>2018</v>
      </c>
    </row>
    <row r="567" spans="1:10" ht="14.4" x14ac:dyDescent="0.3">
      <c r="A567" s="2" t="s">
        <v>133</v>
      </c>
      <c r="B567" s="2" t="s">
        <v>1208</v>
      </c>
      <c r="C567" s="2" t="s">
        <v>1207</v>
      </c>
      <c r="D567" s="2" t="s">
        <v>1410</v>
      </c>
      <c r="E567" s="2" t="s">
        <v>4676</v>
      </c>
      <c r="F567" s="2" t="s">
        <v>4679</v>
      </c>
      <c r="G567" s="2" t="s">
        <v>4680</v>
      </c>
      <c r="H567" s="2" t="s">
        <v>1464</v>
      </c>
      <c r="I567" s="2" t="s">
        <v>1755</v>
      </c>
      <c r="J567" s="2" t="s">
        <v>2018</v>
      </c>
    </row>
    <row r="568" spans="1:10" ht="14.4" x14ac:dyDescent="0.3">
      <c r="A568" s="2" t="s">
        <v>8</v>
      </c>
      <c r="B568" s="2" t="s">
        <v>1210</v>
      </c>
      <c r="C568" s="2" t="s">
        <v>1209</v>
      </c>
      <c r="D568" s="2" t="s">
        <v>1410</v>
      </c>
      <c r="E568" s="2" t="s">
        <v>4433</v>
      </c>
      <c r="F568" s="2" t="s">
        <v>4434</v>
      </c>
      <c r="G568" s="2" t="s">
        <v>2107</v>
      </c>
      <c r="H568" s="2" t="s">
        <v>4435</v>
      </c>
      <c r="I568" s="2" t="s">
        <v>4436</v>
      </c>
      <c r="J568" s="2" t="s">
        <v>1551</v>
      </c>
    </row>
    <row r="569" spans="1:10" ht="14.4" x14ac:dyDescent="0.3">
      <c r="A569" s="2" t="s">
        <v>947</v>
      </c>
      <c r="B569" s="2" t="s">
        <v>1212</v>
      </c>
      <c r="C569" s="2" t="s">
        <v>1211</v>
      </c>
      <c r="D569" s="2" t="s">
        <v>1410</v>
      </c>
      <c r="E569" s="2" t="s">
        <v>3330</v>
      </c>
      <c r="F569" s="2" t="s">
        <v>3333</v>
      </c>
      <c r="G569" s="2" t="s">
        <v>4551</v>
      </c>
      <c r="H569" s="2" t="s">
        <v>1464</v>
      </c>
      <c r="I569" s="2" t="s">
        <v>1755</v>
      </c>
      <c r="J569" s="2" t="s">
        <v>2018</v>
      </c>
    </row>
    <row r="570" spans="1:10" ht="14.4" x14ac:dyDescent="0.3">
      <c r="A570" s="2" t="s">
        <v>42</v>
      </c>
      <c r="B570" s="2" t="s">
        <v>1214</v>
      </c>
      <c r="C570" s="2" t="s">
        <v>1213</v>
      </c>
      <c r="D570" s="2" t="s">
        <v>1410</v>
      </c>
      <c r="E570" s="2" t="s">
        <v>3046</v>
      </c>
      <c r="F570" s="2" t="s">
        <v>3075</v>
      </c>
      <c r="G570" s="2" t="s">
        <v>2615</v>
      </c>
      <c r="H570" s="2" t="s">
        <v>4494</v>
      </c>
      <c r="I570" s="2" t="s">
        <v>4471</v>
      </c>
      <c r="J570" s="2" t="s">
        <v>2018</v>
      </c>
    </row>
    <row r="571" spans="1:10" ht="14.4" x14ac:dyDescent="0.3">
      <c r="A571" s="2" t="s">
        <v>66</v>
      </c>
      <c r="B571" s="2" t="s">
        <v>1218</v>
      </c>
      <c r="C571" s="2" t="s">
        <v>1217</v>
      </c>
      <c r="D571" s="2" t="s">
        <v>1410</v>
      </c>
      <c r="E571" s="2" t="s">
        <v>5237</v>
      </c>
      <c r="F571" s="2" t="s">
        <v>5238</v>
      </c>
      <c r="G571" s="2" t="s">
        <v>5239</v>
      </c>
      <c r="H571" s="2" t="s">
        <v>1488</v>
      </c>
      <c r="I571" s="2" t="s">
        <v>1843</v>
      </c>
      <c r="J571" s="2" t="s">
        <v>1551</v>
      </c>
    </row>
    <row r="572" spans="1:10" ht="28.8" x14ac:dyDescent="0.3">
      <c r="A572" s="2" t="s">
        <v>42</v>
      </c>
      <c r="B572" s="2" t="s">
        <v>1220</v>
      </c>
      <c r="C572" s="2" t="s">
        <v>1219</v>
      </c>
      <c r="D572" s="2" t="s">
        <v>1410</v>
      </c>
      <c r="E572" s="2" t="s">
        <v>2455</v>
      </c>
      <c r="F572" s="2" t="s">
        <v>4937</v>
      </c>
      <c r="G572" s="2" t="s">
        <v>4939</v>
      </c>
      <c r="H572" s="2" t="s">
        <v>1464</v>
      </c>
      <c r="I572" s="2" t="s">
        <v>1755</v>
      </c>
      <c r="J572" s="2" t="s">
        <v>2018</v>
      </c>
    </row>
    <row r="573" spans="1:10" ht="14.4" x14ac:dyDescent="0.3">
      <c r="A573" s="2" t="s">
        <v>31</v>
      </c>
      <c r="B573" s="2" t="s">
        <v>1222</v>
      </c>
      <c r="C573" s="2" t="s">
        <v>1221</v>
      </c>
      <c r="D573" s="2" t="s">
        <v>1456</v>
      </c>
      <c r="E573" s="2" t="s">
        <v>5390</v>
      </c>
      <c r="F573" s="2" t="s">
        <v>1415</v>
      </c>
      <c r="G573" s="2" t="s">
        <v>1415</v>
      </c>
      <c r="H573" s="2" t="s">
        <v>1415</v>
      </c>
      <c r="I573" s="2" t="s">
        <v>1843</v>
      </c>
      <c r="J573" s="2" t="s">
        <v>2018</v>
      </c>
    </row>
    <row r="574" spans="1:10" ht="14.4" x14ac:dyDescent="0.3">
      <c r="A574" s="2" t="s">
        <v>8</v>
      </c>
      <c r="B574" s="2" t="s">
        <v>1224</v>
      </c>
      <c r="C574" s="2" t="s">
        <v>1223</v>
      </c>
      <c r="D574" s="2" t="s">
        <v>1410</v>
      </c>
      <c r="E574" s="2" t="s">
        <v>5399</v>
      </c>
      <c r="F574" s="2" t="s">
        <v>3078</v>
      </c>
      <c r="G574" s="2" t="s">
        <v>5400</v>
      </c>
      <c r="H574" s="2" t="s">
        <v>4494</v>
      </c>
      <c r="I574" s="2" t="s">
        <v>4471</v>
      </c>
      <c r="J574" s="2" t="s">
        <v>2018</v>
      </c>
    </row>
    <row r="575" spans="1:10" ht="14.4" x14ac:dyDescent="0.3">
      <c r="A575" s="2" t="s">
        <v>31</v>
      </c>
      <c r="B575" s="2" t="s">
        <v>1226</v>
      </c>
      <c r="C575" s="2" t="s">
        <v>1225</v>
      </c>
      <c r="D575" s="2" t="s">
        <v>1410</v>
      </c>
      <c r="E575" s="2" t="s">
        <v>4820</v>
      </c>
      <c r="F575" s="2" t="s">
        <v>3595</v>
      </c>
      <c r="G575" s="2" t="s">
        <v>4821</v>
      </c>
      <c r="H575" s="2" t="s">
        <v>4494</v>
      </c>
      <c r="I575" s="2" t="s">
        <v>4471</v>
      </c>
      <c r="J575" s="2" t="s">
        <v>2018</v>
      </c>
    </row>
    <row r="576" spans="1:10" ht="14.4" x14ac:dyDescent="0.3">
      <c r="A576" s="2" t="s">
        <v>31</v>
      </c>
      <c r="B576" s="2" t="s">
        <v>1228</v>
      </c>
      <c r="C576" s="2" t="s">
        <v>1227</v>
      </c>
      <c r="D576" s="2" t="s">
        <v>1410</v>
      </c>
      <c r="E576" s="2" t="s">
        <v>4025</v>
      </c>
      <c r="F576" s="2" t="s">
        <v>5187</v>
      </c>
      <c r="G576" s="2" t="s">
        <v>2766</v>
      </c>
      <c r="H576" s="2" t="s">
        <v>1488</v>
      </c>
      <c r="I576" s="2" t="s">
        <v>1843</v>
      </c>
      <c r="J576" s="2" t="s">
        <v>1551</v>
      </c>
    </row>
    <row r="577" spans="1:10" ht="14.4" x14ac:dyDescent="0.3">
      <c r="A577" s="2" t="s">
        <v>31</v>
      </c>
      <c r="B577" s="2" t="s">
        <v>1230</v>
      </c>
      <c r="C577" s="2" t="s">
        <v>1229</v>
      </c>
      <c r="D577" s="2" t="s">
        <v>1410</v>
      </c>
      <c r="E577" s="2" t="s">
        <v>5311</v>
      </c>
      <c r="F577" s="2" t="s">
        <v>5312</v>
      </c>
      <c r="G577" s="2" t="s">
        <v>5313</v>
      </c>
      <c r="H577" s="2" t="s">
        <v>4496</v>
      </c>
      <c r="I577" s="2" t="s">
        <v>4436</v>
      </c>
      <c r="J577" s="2" t="s">
        <v>1599</v>
      </c>
    </row>
    <row r="578" spans="1:10" ht="14.4" x14ac:dyDescent="0.3">
      <c r="A578" s="2" t="s">
        <v>8</v>
      </c>
      <c r="B578" s="2" t="s">
        <v>1232</v>
      </c>
      <c r="C578" s="2" t="s">
        <v>1231</v>
      </c>
      <c r="D578" s="2" t="s">
        <v>1410</v>
      </c>
      <c r="E578" s="2" t="s">
        <v>5442</v>
      </c>
      <c r="F578" s="2" t="s">
        <v>3163</v>
      </c>
      <c r="G578" s="2" t="s">
        <v>4439</v>
      </c>
      <c r="H578" s="2" t="s">
        <v>1464</v>
      </c>
      <c r="I578" s="2" t="s">
        <v>1755</v>
      </c>
      <c r="J578" s="2" t="s">
        <v>2018</v>
      </c>
    </row>
    <row r="579" spans="1:10" ht="14.4" x14ac:dyDescent="0.3">
      <c r="A579" s="2" t="s">
        <v>71</v>
      </c>
      <c r="B579" s="2" t="s">
        <v>1234</v>
      </c>
      <c r="C579" s="2" t="s">
        <v>1233</v>
      </c>
      <c r="D579" s="2" t="s">
        <v>1410</v>
      </c>
      <c r="E579" s="2" t="s">
        <v>3073</v>
      </c>
      <c r="F579" s="2" t="s">
        <v>5408</v>
      </c>
      <c r="G579" s="2" t="s">
        <v>1740</v>
      </c>
      <c r="H579" s="2" t="s">
        <v>1438</v>
      </c>
      <c r="I579" s="2" t="s">
        <v>1551</v>
      </c>
      <c r="J579" s="2" t="s">
        <v>2018</v>
      </c>
    </row>
    <row r="580" spans="1:10" ht="14.4" x14ac:dyDescent="0.3">
      <c r="A580" s="2" t="s">
        <v>42</v>
      </c>
      <c r="B580" s="2" t="s">
        <v>1236</v>
      </c>
      <c r="C580" s="2" t="s">
        <v>1235</v>
      </c>
      <c r="D580" s="2" t="s">
        <v>1410</v>
      </c>
      <c r="E580" s="2" t="s">
        <v>4317</v>
      </c>
      <c r="F580" s="2" t="s">
        <v>3126</v>
      </c>
      <c r="G580" s="2" t="s">
        <v>4550</v>
      </c>
      <c r="H580" s="2" t="s">
        <v>1464</v>
      </c>
      <c r="I580" s="2" t="s">
        <v>1755</v>
      </c>
      <c r="J580" s="2" t="s">
        <v>2018</v>
      </c>
    </row>
    <row r="581" spans="1:10" ht="14.4" x14ac:dyDescent="0.3">
      <c r="A581" s="2" t="s">
        <v>42</v>
      </c>
      <c r="B581" s="2" t="s">
        <v>1238</v>
      </c>
      <c r="C581" s="2" t="s">
        <v>1237</v>
      </c>
      <c r="D581" s="2" t="s">
        <v>1410</v>
      </c>
      <c r="E581" s="2" t="s">
        <v>2826</v>
      </c>
      <c r="F581" s="2" t="s">
        <v>5223</v>
      </c>
      <c r="G581" s="2" t="s">
        <v>3788</v>
      </c>
      <c r="H581" s="2" t="s">
        <v>4487</v>
      </c>
      <c r="I581" s="2" t="s">
        <v>4436</v>
      </c>
      <c r="J581" s="2" t="s">
        <v>2018</v>
      </c>
    </row>
    <row r="582" spans="1:10" ht="14.4" x14ac:dyDescent="0.3">
      <c r="A582" s="2" t="s">
        <v>8</v>
      </c>
      <c r="B582" s="2" t="s">
        <v>1240</v>
      </c>
      <c r="C582" s="2" t="s">
        <v>1239</v>
      </c>
      <c r="D582" s="2" t="s">
        <v>1410</v>
      </c>
      <c r="E582" s="2" t="s">
        <v>5394</v>
      </c>
      <c r="F582" s="2" t="s">
        <v>5395</v>
      </c>
      <c r="G582" s="2" t="s">
        <v>5396</v>
      </c>
      <c r="H582" s="2" t="s">
        <v>5397</v>
      </c>
      <c r="I582" s="2" t="s">
        <v>4999</v>
      </c>
      <c r="J582" s="2" t="s">
        <v>1599</v>
      </c>
    </row>
    <row r="583" spans="1:10" ht="14.4" x14ac:dyDescent="0.3">
      <c r="A583" s="2" t="s">
        <v>825</v>
      </c>
      <c r="B583" s="2" t="s">
        <v>1242</v>
      </c>
      <c r="C583" s="2" t="s">
        <v>1241</v>
      </c>
      <c r="D583" s="2" t="s">
        <v>1410</v>
      </c>
      <c r="E583" s="2" t="s">
        <v>3120</v>
      </c>
      <c r="F583" s="2" t="s">
        <v>5418</v>
      </c>
      <c r="G583" s="2" t="s">
        <v>1989</v>
      </c>
      <c r="H583" s="2" t="s">
        <v>1464</v>
      </c>
      <c r="I583" s="2" t="s">
        <v>1755</v>
      </c>
      <c r="J583" s="2" t="s">
        <v>2018</v>
      </c>
    </row>
    <row r="584" spans="1:10" ht="14.4" x14ac:dyDescent="0.3">
      <c r="A584" s="2" t="s">
        <v>1245</v>
      </c>
      <c r="B584" s="2" t="s">
        <v>1244</v>
      </c>
      <c r="C584" s="2" t="s">
        <v>1243</v>
      </c>
      <c r="D584" s="2" t="s">
        <v>1410</v>
      </c>
      <c r="E584" s="2" t="s">
        <v>5411</v>
      </c>
      <c r="F584" s="2" t="s">
        <v>4325</v>
      </c>
      <c r="G584" s="2" t="s">
        <v>3321</v>
      </c>
      <c r="H584" s="2" t="s">
        <v>5412</v>
      </c>
      <c r="I584" s="2" t="s">
        <v>4783</v>
      </c>
      <c r="J584" s="2" t="s">
        <v>2018</v>
      </c>
    </row>
    <row r="585" spans="1:10" ht="14.4" x14ac:dyDescent="0.3">
      <c r="A585" s="2" t="s">
        <v>528</v>
      </c>
      <c r="B585" s="2" t="s">
        <v>1247</v>
      </c>
      <c r="C585" s="2" t="s">
        <v>1246</v>
      </c>
      <c r="D585" s="2" t="s">
        <v>1410</v>
      </c>
      <c r="E585" s="2" t="s">
        <v>2457</v>
      </c>
      <c r="F585" s="2" t="s">
        <v>4936</v>
      </c>
      <c r="G585" s="2" t="s">
        <v>3442</v>
      </c>
      <c r="H585" s="2" t="s">
        <v>1452</v>
      </c>
      <c r="I585" s="2" t="s">
        <v>1755</v>
      </c>
      <c r="J585" s="2" t="s">
        <v>1551</v>
      </c>
    </row>
    <row r="586" spans="1:10" ht="14.4" x14ac:dyDescent="0.3">
      <c r="A586" s="2" t="s">
        <v>528</v>
      </c>
      <c r="B586" s="2" t="s">
        <v>1247</v>
      </c>
      <c r="C586" s="2" t="s">
        <v>1246</v>
      </c>
      <c r="D586" s="2" t="s">
        <v>1410</v>
      </c>
      <c r="E586" s="2" t="s">
        <v>2467</v>
      </c>
      <c r="F586" s="2" t="s">
        <v>4937</v>
      </c>
      <c r="G586" s="2" t="s">
        <v>1912</v>
      </c>
      <c r="H586" s="2" t="s">
        <v>1464</v>
      </c>
      <c r="I586" s="2" t="s">
        <v>1755</v>
      </c>
      <c r="J586" s="2" t="s">
        <v>2018</v>
      </c>
    </row>
    <row r="587" spans="1:10" ht="14.4" x14ac:dyDescent="0.3">
      <c r="A587" s="2" t="s">
        <v>8</v>
      </c>
      <c r="B587" s="2" t="s">
        <v>1251</v>
      </c>
      <c r="C587" s="2" t="s">
        <v>1250</v>
      </c>
      <c r="D587" s="2" t="s">
        <v>1410</v>
      </c>
      <c r="E587" s="2" t="s">
        <v>4293</v>
      </c>
      <c r="F587" s="2" t="s">
        <v>5395</v>
      </c>
      <c r="G587" s="2" t="s">
        <v>5404</v>
      </c>
      <c r="H587" s="2" t="s">
        <v>1424</v>
      </c>
      <c r="I587" s="2" t="s">
        <v>1755</v>
      </c>
      <c r="J587" s="2" t="s">
        <v>1506</v>
      </c>
    </row>
    <row r="588" spans="1:10" ht="14.4" x14ac:dyDescent="0.3">
      <c r="A588" s="2" t="s">
        <v>8</v>
      </c>
      <c r="B588" s="2" t="s">
        <v>642</v>
      </c>
      <c r="C588" s="2" t="s">
        <v>1253</v>
      </c>
      <c r="D588" s="2" t="s">
        <v>1410</v>
      </c>
      <c r="E588" s="2" t="s">
        <v>3709</v>
      </c>
      <c r="F588" s="2" t="s">
        <v>4937</v>
      </c>
      <c r="G588" s="2" t="s">
        <v>4942</v>
      </c>
      <c r="H588" s="2" t="s">
        <v>1464</v>
      </c>
      <c r="I588" s="2" t="s">
        <v>1755</v>
      </c>
      <c r="J588" s="2" t="s">
        <v>2018</v>
      </c>
    </row>
    <row r="589" spans="1:10" ht="14.4" x14ac:dyDescent="0.3">
      <c r="A589" s="2" t="s">
        <v>16</v>
      </c>
      <c r="B589" s="2" t="s">
        <v>1255</v>
      </c>
      <c r="C589" s="2" t="s">
        <v>1254</v>
      </c>
      <c r="D589" s="2" t="s">
        <v>1410</v>
      </c>
      <c r="E589" s="2" t="s">
        <v>2455</v>
      </c>
      <c r="F589" s="2" t="s">
        <v>4937</v>
      </c>
      <c r="G589" s="2" t="s">
        <v>4938</v>
      </c>
      <c r="H589" s="2" t="s">
        <v>1464</v>
      </c>
      <c r="I589" s="2" t="s">
        <v>1755</v>
      </c>
      <c r="J589" s="2" t="s">
        <v>2018</v>
      </c>
    </row>
    <row r="590" spans="1:10" ht="14.4" x14ac:dyDescent="0.3">
      <c r="A590" s="2" t="s">
        <v>22</v>
      </c>
      <c r="B590" s="2" t="s">
        <v>1257</v>
      </c>
      <c r="C590" s="2" t="s">
        <v>1256</v>
      </c>
      <c r="D590" s="2" t="s">
        <v>1410</v>
      </c>
      <c r="E590" s="2" t="s">
        <v>5409</v>
      </c>
      <c r="F590" s="2" t="s">
        <v>3085</v>
      </c>
      <c r="G590" s="2" t="s">
        <v>5410</v>
      </c>
      <c r="H590" s="2" t="s">
        <v>1464</v>
      </c>
      <c r="I590" s="2" t="s">
        <v>1755</v>
      </c>
      <c r="J590" s="2" t="s">
        <v>2018</v>
      </c>
    </row>
    <row r="591" spans="1:10" ht="14.4" x14ac:dyDescent="0.3">
      <c r="A591" s="2" t="s">
        <v>8</v>
      </c>
      <c r="B591" s="2" t="s">
        <v>1259</v>
      </c>
      <c r="C591" s="2" t="s">
        <v>1258</v>
      </c>
      <c r="D591" s="2" t="s">
        <v>1410</v>
      </c>
      <c r="E591" s="2" t="s">
        <v>4368</v>
      </c>
      <c r="F591" s="2" t="s">
        <v>5464</v>
      </c>
      <c r="G591" s="2" t="s">
        <v>5286</v>
      </c>
      <c r="H591" s="2" t="s">
        <v>1464</v>
      </c>
      <c r="I591" s="2" t="s">
        <v>1755</v>
      </c>
      <c r="J591" s="2" t="s">
        <v>2018</v>
      </c>
    </row>
    <row r="592" spans="1:10" ht="14.4" x14ac:dyDescent="0.3">
      <c r="A592" s="2" t="s">
        <v>31</v>
      </c>
      <c r="B592" s="2" t="s">
        <v>1261</v>
      </c>
      <c r="C592" s="2" t="s">
        <v>1260</v>
      </c>
      <c r="D592" s="2" t="s">
        <v>1410</v>
      </c>
      <c r="E592" s="2" t="s">
        <v>3060</v>
      </c>
      <c r="F592" s="2" t="s">
        <v>3068</v>
      </c>
      <c r="G592" s="2" t="s">
        <v>4512</v>
      </c>
      <c r="H592" s="2" t="s">
        <v>4984</v>
      </c>
      <c r="I592" s="2" t="s">
        <v>4556</v>
      </c>
      <c r="J592" s="2" t="s">
        <v>1506</v>
      </c>
    </row>
    <row r="593" spans="1:10" ht="14.4" x14ac:dyDescent="0.3">
      <c r="A593" s="2" t="s">
        <v>42</v>
      </c>
      <c r="B593" s="2" t="s">
        <v>1265</v>
      </c>
      <c r="C593" s="2" t="s">
        <v>1264</v>
      </c>
      <c r="D593" s="2" t="s">
        <v>1410</v>
      </c>
      <c r="E593" s="2" t="s">
        <v>3071</v>
      </c>
      <c r="F593" s="2" t="s">
        <v>5405</v>
      </c>
      <c r="G593" s="2" t="s">
        <v>2101</v>
      </c>
      <c r="H593" s="2" t="s">
        <v>5397</v>
      </c>
      <c r="I593" s="2" t="s">
        <v>4999</v>
      </c>
      <c r="J593" s="2" t="s">
        <v>1599</v>
      </c>
    </row>
    <row r="594" spans="1:10" ht="14.4" x14ac:dyDescent="0.3">
      <c r="A594" s="2" t="s">
        <v>8</v>
      </c>
      <c r="B594" s="2" t="s">
        <v>204</v>
      </c>
      <c r="C594" s="2" t="s">
        <v>1266</v>
      </c>
      <c r="D594" s="2" t="s">
        <v>1410</v>
      </c>
      <c r="E594" s="2" t="s">
        <v>5401</v>
      </c>
      <c r="F594" s="2" t="s">
        <v>5403</v>
      </c>
      <c r="G594" s="2" t="s">
        <v>4273</v>
      </c>
      <c r="H594" s="2" t="s">
        <v>1464</v>
      </c>
      <c r="I594" s="2" t="s">
        <v>1755</v>
      </c>
      <c r="J594" s="2" t="s">
        <v>2018</v>
      </c>
    </row>
    <row r="595" spans="1:10" ht="14.4" x14ac:dyDescent="0.3">
      <c r="A595" s="2" t="s">
        <v>49</v>
      </c>
      <c r="B595" s="2" t="s">
        <v>1268</v>
      </c>
      <c r="C595" s="2" t="s">
        <v>1267</v>
      </c>
      <c r="D595" s="2" t="s">
        <v>1410</v>
      </c>
      <c r="E595" s="2" t="s">
        <v>5362</v>
      </c>
      <c r="F595" s="2" t="s">
        <v>5363</v>
      </c>
      <c r="G595" s="2" t="s">
        <v>5364</v>
      </c>
      <c r="H595" s="2" t="s">
        <v>1464</v>
      </c>
      <c r="I595" s="2" t="s">
        <v>1755</v>
      </c>
      <c r="J595" s="2" t="s">
        <v>2018</v>
      </c>
    </row>
    <row r="596" spans="1:10" ht="14.4" x14ac:dyDescent="0.3">
      <c r="A596" s="2" t="s">
        <v>8</v>
      </c>
      <c r="B596" s="2" t="s">
        <v>1270</v>
      </c>
      <c r="C596" s="2" t="s">
        <v>1269</v>
      </c>
      <c r="D596" s="2" t="s">
        <v>1410</v>
      </c>
      <c r="E596" s="2" t="s">
        <v>4336</v>
      </c>
      <c r="F596" s="2" t="s">
        <v>3126</v>
      </c>
      <c r="G596" s="2" t="s">
        <v>2737</v>
      </c>
      <c r="H596" s="2" t="s">
        <v>1452</v>
      </c>
      <c r="I596" s="2" t="s">
        <v>1755</v>
      </c>
      <c r="J596" s="2" t="s">
        <v>1551</v>
      </c>
    </row>
    <row r="597" spans="1:10" ht="14.4" x14ac:dyDescent="0.3">
      <c r="A597" s="2" t="s">
        <v>293</v>
      </c>
      <c r="B597" s="2" t="s">
        <v>1274</v>
      </c>
      <c r="C597" s="2" t="s">
        <v>1273</v>
      </c>
      <c r="D597" s="2" t="s">
        <v>1410</v>
      </c>
      <c r="E597" s="2" t="s">
        <v>4314</v>
      </c>
      <c r="F597" s="2" t="s">
        <v>5413</v>
      </c>
      <c r="G597" s="2" t="s">
        <v>4550</v>
      </c>
      <c r="H597" s="2" t="s">
        <v>1452</v>
      </c>
      <c r="I597" s="2" t="s">
        <v>1755</v>
      </c>
      <c r="J597" s="2" t="s">
        <v>1551</v>
      </c>
    </row>
    <row r="598" spans="1:10" ht="14.4" x14ac:dyDescent="0.3">
      <c r="A598" s="2" t="s">
        <v>123</v>
      </c>
      <c r="B598" s="2" t="s">
        <v>1280</v>
      </c>
      <c r="C598" s="2" t="s">
        <v>1279</v>
      </c>
      <c r="D598" s="2" t="s">
        <v>1410</v>
      </c>
      <c r="E598" s="2" t="s">
        <v>5063</v>
      </c>
      <c r="F598" s="2" t="s">
        <v>5064</v>
      </c>
      <c r="G598" s="2" t="s">
        <v>2622</v>
      </c>
      <c r="H598" s="2" t="s">
        <v>1464</v>
      </c>
      <c r="I598" s="2" t="s">
        <v>1755</v>
      </c>
      <c r="J598" s="2" t="s">
        <v>2018</v>
      </c>
    </row>
    <row r="599" spans="1:10" ht="14.4" x14ac:dyDescent="0.3">
      <c r="A599" s="2" t="s">
        <v>28</v>
      </c>
      <c r="B599" s="2" t="s">
        <v>1282</v>
      </c>
      <c r="C599" s="2" t="s">
        <v>1281</v>
      </c>
      <c r="D599" s="2" t="s">
        <v>1410</v>
      </c>
      <c r="E599" s="2" t="s">
        <v>4964</v>
      </c>
      <c r="F599" s="2" t="s">
        <v>3774</v>
      </c>
      <c r="G599" s="2" t="s">
        <v>2511</v>
      </c>
      <c r="H599" s="2" t="s">
        <v>1464</v>
      </c>
      <c r="I599" s="2" t="s">
        <v>1755</v>
      </c>
      <c r="J599" s="2" t="s">
        <v>2018</v>
      </c>
    </row>
    <row r="600" spans="1:10" ht="14.4" x14ac:dyDescent="0.3">
      <c r="A600" s="2" t="s">
        <v>28</v>
      </c>
      <c r="B600" s="2" t="s">
        <v>1284</v>
      </c>
      <c r="C600" s="2" t="s">
        <v>1283</v>
      </c>
      <c r="D600" s="2" t="s">
        <v>1410</v>
      </c>
      <c r="E600" s="2" t="s">
        <v>3227</v>
      </c>
      <c r="F600" s="2" t="s">
        <v>4455</v>
      </c>
      <c r="G600" s="2" t="s">
        <v>2165</v>
      </c>
      <c r="H600" s="2" t="s">
        <v>1464</v>
      </c>
      <c r="I600" s="2" t="s">
        <v>1755</v>
      </c>
      <c r="J600" s="2" t="s">
        <v>2018</v>
      </c>
    </row>
    <row r="601" spans="1:10" ht="14.4" x14ac:dyDescent="0.3">
      <c r="A601" s="2" t="s">
        <v>8</v>
      </c>
      <c r="B601" s="2" t="s">
        <v>1286</v>
      </c>
      <c r="C601" s="2" t="s">
        <v>1285</v>
      </c>
      <c r="D601" s="2" t="s">
        <v>1410</v>
      </c>
      <c r="E601" s="2" t="s">
        <v>4867</v>
      </c>
      <c r="F601" s="2" t="s">
        <v>4868</v>
      </c>
      <c r="G601" s="2" t="s">
        <v>2977</v>
      </c>
      <c r="H601" s="2" t="s">
        <v>1464</v>
      </c>
      <c r="I601" s="2" t="s">
        <v>1755</v>
      </c>
      <c r="J601" s="2" t="s">
        <v>2018</v>
      </c>
    </row>
    <row r="602" spans="1:10" ht="14.4" x14ac:dyDescent="0.3">
      <c r="A602" s="2" t="s">
        <v>42</v>
      </c>
      <c r="B602" s="2" t="s">
        <v>1290</v>
      </c>
      <c r="C602" s="2" t="s">
        <v>1289</v>
      </c>
      <c r="D602" s="2" t="s">
        <v>1410</v>
      </c>
      <c r="E602" s="2" t="s">
        <v>4660</v>
      </c>
      <c r="F602" s="2" t="s">
        <v>4661</v>
      </c>
      <c r="G602" s="2" t="s">
        <v>1836</v>
      </c>
      <c r="H602" s="2" t="s">
        <v>1414</v>
      </c>
      <c r="I602" s="2" t="s">
        <v>1414</v>
      </c>
      <c r="J602" s="2" t="s">
        <v>1414</v>
      </c>
    </row>
    <row r="603" spans="1:10" ht="14.4" x14ac:dyDescent="0.3">
      <c r="A603" s="2" t="s">
        <v>8</v>
      </c>
      <c r="B603" s="2" t="s">
        <v>1294</v>
      </c>
      <c r="C603" s="2" t="s">
        <v>1293</v>
      </c>
      <c r="D603" s="2" t="s">
        <v>1410</v>
      </c>
      <c r="E603" s="2" t="s">
        <v>3444</v>
      </c>
      <c r="F603" s="2" t="s">
        <v>4663</v>
      </c>
      <c r="G603" s="2" t="s">
        <v>4664</v>
      </c>
      <c r="H603" s="2" t="s">
        <v>1464</v>
      </c>
      <c r="I603" s="2" t="s">
        <v>1755</v>
      </c>
      <c r="J603" s="2" t="s">
        <v>2018</v>
      </c>
    </row>
    <row r="604" spans="1:10" ht="14.4" x14ac:dyDescent="0.3">
      <c r="A604" s="2" t="s">
        <v>42</v>
      </c>
      <c r="B604" s="2" t="s">
        <v>1298</v>
      </c>
      <c r="C604" s="2" t="s">
        <v>1297</v>
      </c>
      <c r="D604" s="2" t="s">
        <v>1410</v>
      </c>
      <c r="E604" s="2" t="s">
        <v>4636</v>
      </c>
      <c r="F604" s="2" t="s">
        <v>1915</v>
      </c>
      <c r="G604" s="2" t="s">
        <v>1524</v>
      </c>
      <c r="H604" s="2" t="s">
        <v>1464</v>
      </c>
      <c r="I604" s="2" t="s">
        <v>1755</v>
      </c>
      <c r="J604" s="2" t="s">
        <v>2018</v>
      </c>
    </row>
    <row r="605" spans="1:10" ht="14.4" x14ac:dyDescent="0.3">
      <c r="A605" s="2" t="s">
        <v>16</v>
      </c>
      <c r="B605" s="2" t="s">
        <v>1304</v>
      </c>
      <c r="C605" s="2" t="s">
        <v>1303</v>
      </c>
      <c r="D605" s="2" t="s">
        <v>1410</v>
      </c>
      <c r="E605" s="2" t="s">
        <v>1900</v>
      </c>
      <c r="F605" s="2" t="s">
        <v>1897</v>
      </c>
      <c r="G605" s="2" t="s">
        <v>4633</v>
      </c>
      <c r="H605" s="2" t="s">
        <v>1755</v>
      </c>
      <c r="I605" s="2" t="s">
        <v>1755</v>
      </c>
      <c r="J605" s="2" t="s">
        <v>1414</v>
      </c>
    </row>
    <row r="606" spans="1:10" ht="14.4" x14ac:dyDescent="0.3">
      <c r="A606" s="2" t="s">
        <v>1307</v>
      </c>
      <c r="B606" s="2" t="s">
        <v>483</v>
      </c>
      <c r="C606" s="2" t="s">
        <v>1306</v>
      </c>
      <c r="D606" s="2" t="s">
        <v>1410</v>
      </c>
      <c r="E606" s="2" t="s">
        <v>1906</v>
      </c>
      <c r="F606" s="2" t="s">
        <v>4635</v>
      </c>
      <c r="G606" s="2" t="s">
        <v>2709</v>
      </c>
      <c r="H606" s="2" t="s">
        <v>1464</v>
      </c>
      <c r="I606" s="2" t="s">
        <v>1755</v>
      </c>
      <c r="J606" s="2" t="s">
        <v>2018</v>
      </c>
    </row>
    <row r="607" spans="1:10" ht="14.4" x14ac:dyDescent="0.3">
      <c r="A607" s="2" t="s">
        <v>22</v>
      </c>
      <c r="B607" s="2" t="s">
        <v>483</v>
      </c>
      <c r="C607" s="2" t="s">
        <v>1309</v>
      </c>
      <c r="D607" s="2" t="s">
        <v>1410</v>
      </c>
      <c r="E607" s="2" t="s">
        <v>4722</v>
      </c>
      <c r="F607" s="2" t="s">
        <v>4723</v>
      </c>
      <c r="G607" s="2" t="s">
        <v>3321</v>
      </c>
      <c r="H607" s="2" t="s">
        <v>1464</v>
      </c>
      <c r="I607" s="2" t="s">
        <v>1755</v>
      </c>
      <c r="J607" s="2" t="s">
        <v>2018</v>
      </c>
    </row>
    <row r="608" spans="1:10" ht="14.4" x14ac:dyDescent="0.3">
      <c r="A608" s="2" t="s">
        <v>8</v>
      </c>
      <c r="B608" s="2" t="s">
        <v>1316</v>
      </c>
      <c r="C608" s="2" t="s">
        <v>1315</v>
      </c>
      <c r="D608" s="2" t="s">
        <v>1410</v>
      </c>
      <c r="E608" s="2" t="s">
        <v>5473</v>
      </c>
      <c r="F608" s="2" t="s">
        <v>5474</v>
      </c>
      <c r="G608" s="2" t="s">
        <v>2545</v>
      </c>
      <c r="H608" s="2" t="s">
        <v>4494</v>
      </c>
      <c r="I608" s="2" t="s">
        <v>4471</v>
      </c>
      <c r="J608" s="2" t="s">
        <v>2018</v>
      </c>
    </row>
    <row r="609" spans="1:10" ht="14.4" x14ac:dyDescent="0.3">
      <c r="A609" s="2" t="s">
        <v>133</v>
      </c>
      <c r="B609" s="2" t="s">
        <v>1318</v>
      </c>
      <c r="C609" s="2" t="s">
        <v>1317</v>
      </c>
      <c r="D609" s="2" t="s">
        <v>1410</v>
      </c>
      <c r="E609" s="2" t="s">
        <v>4639</v>
      </c>
      <c r="F609" s="2" t="s">
        <v>4640</v>
      </c>
      <c r="G609" s="2" t="s">
        <v>4641</v>
      </c>
      <c r="H609" s="2" t="s">
        <v>1464</v>
      </c>
      <c r="I609" s="2" t="s">
        <v>1755</v>
      </c>
      <c r="J609" s="2" t="s">
        <v>2018</v>
      </c>
    </row>
    <row r="610" spans="1:10" ht="14.4" x14ac:dyDescent="0.3">
      <c r="A610" s="2" t="s">
        <v>16</v>
      </c>
      <c r="B610" s="2" t="s">
        <v>1320</v>
      </c>
      <c r="C610" s="2" t="s">
        <v>1319</v>
      </c>
      <c r="D610" s="2" t="s">
        <v>1410</v>
      </c>
      <c r="E610" s="2" t="s">
        <v>3427</v>
      </c>
      <c r="F610" s="2" t="s">
        <v>1915</v>
      </c>
      <c r="G610" s="2" t="s">
        <v>4483</v>
      </c>
      <c r="H610" s="2" t="s">
        <v>4494</v>
      </c>
      <c r="I610" s="2" t="s">
        <v>4471</v>
      </c>
      <c r="J610" s="2" t="s">
        <v>2018</v>
      </c>
    </row>
    <row r="611" spans="1:10" ht="14.4" x14ac:dyDescent="0.3">
      <c r="A611" s="2" t="s">
        <v>31</v>
      </c>
      <c r="B611" s="2" t="s">
        <v>1322</v>
      </c>
      <c r="C611" s="2" t="s">
        <v>1321</v>
      </c>
      <c r="D611" s="2" t="s">
        <v>1410</v>
      </c>
      <c r="E611" s="2" t="s">
        <v>4731</v>
      </c>
      <c r="F611" s="2" t="s">
        <v>4732</v>
      </c>
      <c r="G611" s="2" t="s">
        <v>4733</v>
      </c>
      <c r="H611" s="2" t="s">
        <v>2018</v>
      </c>
      <c r="I611" s="2" t="s">
        <v>1414</v>
      </c>
      <c r="J611" s="2" t="s">
        <v>2018</v>
      </c>
    </row>
    <row r="612" spans="1:10" ht="14.4" x14ac:dyDescent="0.3">
      <c r="A612" s="2" t="s">
        <v>8</v>
      </c>
      <c r="B612" s="2" t="s">
        <v>1324</v>
      </c>
      <c r="C612" s="2" t="s">
        <v>1323</v>
      </c>
      <c r="D612" s="2" t="s">
        <v>1410</v>
      </c>
      <c r="E612" s="2" t="s">
        <v>4196</v>
      </c>
      <c r="F612" s="2" t="s">
        <v>5306</v>
      </c>
      <c r="G612" s="2" t="s">
        <v>2058</v>
      </c>
      <c r="H612" s="2" t="s">
        <v>2744</v>
      </c>
      <c r="I612" s="2" t="s">
        <v>3214</v>
      </c>
      <c r="J612" s="2" t="s">
        <v>1599</v>
      </c>
    </row>
    <row r="613" spans="1:10" ht="14.4" x14ac:dyDescent="0.3">
      <c r="A613" s="2" t="s">
        <v>8</v>
      </c>
      <c r="B613" s="2" t="s">
        <v>1324</v>
      </c>
      <c r="C613" s="2" t="s">
        <v>1323</v>
      </c>
      <c r="D613" s="2" t="s">
        <v>1410</v>
      </c>
      <c r="E613" s="2" t="s">
        <v>5308</v>
      </c>
      <c r="F613" s="2" t="s">
        <v>4205</v>
      </c>
      <c r="G613" s="2" t="s">
        <v>5309</v>
      </c>
      <c r="H613" s="2" t="s">
        <v>1424</v>
      </c>
      <c r="I613" s="2" t="s">
        <v>1755</v>
      </c>
      <c r="J613" s="2" t="s">
        <v>1506</v>
      </c>
    </row>
    <row r="614" spans="1:10" ht="14.4" x14ac:dyDescent="0.3">
      <c r="A614" s="2" t="s">
        <v>11</v>
      </c>
      <c r="B614" s="2" t="s">
        <v>1334</v>
      </c>
      <c r="C614" s="2" t="s">
        <v>1333</v>
      </c>
      <c r="D614" s="2" t="s">
        <v>1410</v>
      </c>
      <c r="E614" s="2" t="s">
        <v>5289</v>
      </c>
      <c r="F614" s="2" t="s">
        <v>5290</v>
      </c>
      <c r="G614" s="2" t="s">
        <v>5291</v>
      </c>
      <c r="H614" s="2" t="s">
        <v>1424</v>
      </c>
      <c r="I614" s="2" t="s">
        <v>1843</v>
      </c>
      <c r="J614" s="2" t="s">
        <v>2018</v>
      </c>
    </row>
    <row r="615" spans="1:10" ht="14.4" x14ac:dyDescent="0.3">
      <c r="A615" s="2" t="s">
        <v>11</v>
      </c>
      <c r="B615" s="2" t="s">
        <v>1334</v>
      </c>
      <c r="C615" s="2" t="s">
        <v>1333</v>
      </c>
      <c r="D615" s="2" t="s">
        <v>1410</v>
      </c>
      <c r="E615" s="2" t="s">
        <v>5290</v>
      </c>
      <c r="F615" s="2" t="s">
        <v>5292</v>
      </c>
      <c r="G615" s="2" t="s">
        <v>5293</v>
      </c>
      <c r="H615" s="2" t="s">
        <v>1464</v>
      </c>
      <c r="I615" s="2" t="s">
        <v>1755</v>
      </c>
      <c r="J615" s="2" t="s">
        <v>2018</v>
      </c>
    </row>
    <row r="616" spans="1:10" ht="14.4" x14ac:dyDescent="0.3">
      <c r="A616" s="2" t="s">
        <v>8</v>
      </c>
      <c r="B616" s="2" t="s">
        <v>1338</v>
      </c>
      <c r="C616" s="2" t="s">
        <v>1337</v>
      </c>
      <c r="D616" s="2" t="s">
        <v>1456</v>
      </c>
      <c r="E616" s="2" t="s">
        <v>4729</v>
      </c>
      <c r="F616" s="2" t="s">
        <v>1415</v>
      </c>
      <c r="G616" s="2" t="s">
        <v>1415</v>
      </c>
      <c r="H616" s="2" t="s">
        <v>1415</v>
      </c>
      <c r="I616" s="2" t="s">
        <v>1415</v>
      </c>
      <c r="J616" s="2" t="s">
        <v>1415</v>
      </c>
    </row>
    <row r="617" spans="1:10" ht="14.4" x14ac:dyDescent="0.3">
      <c r="A617" s="2" t="s">
        <v>8</v>
      </c>
      <c r="B617" s="2" t="s">
        <v>1340</v>
      </c>
      <c r="C617" s="2" t="s">
        <v>1339</v>
      </c>
      <c r="D617" s="2" t="s">
        <v>1410</v>
      </c>
      <c r="E617" s="2" t="s">
        <v>4658</v>
      </c>
      <c r="F617" s="2" t="s">
        <v>4669</v>
      </c>
      <c r="G617" s="2" t="s">
        <v>2416</v>
      </c>
      <c r="H617" s="2" t="s">
        <v>1464</v>
      </c>
      <c r="I617" s="2" t="s">
        <v>1755</v>
      </c>
      <c r="J617" s="2" t="s">
        <v>2018</v>
      </c>
    </row>
    <row r="618" spans="1:10" ht="14.4" x14ac:dyDescent="0.3">
      <c r="A618" s="2" t="s">
        <v>25</v>
      </c>
      <c r="B618" s="2" t="s">
        <v>1342</v>
      </c>
      <c r="C618" s="2" t="s">
        <v>1341</v>
      </c>
      <c r="D618" s="2" t="s">
        <v>1410</v>
      </c>
      <c r="E618" s="2" t="s">
        <v>4443</v>
      </c>
      <c r="F618" s="2" t="s">
        <v>4444</v>
      </c>
      <c r="G618" s="2" t="s">
        <v>1813</v>
      </c>
      <c r="H618" s="2" t="s">
        <v>1464</v>
      </c>
      <c r="I618" s="2" t="s">
        <v>1755</v>
      </c>
      <c r="J618" s="2" t="s">
        <v>2018</v>
      </c>
    </row>
    <row r="619" spans="1:10" ht="14.4" x14ac:dyDescent="0.3">
      <c r="A619" s="2" t="s">
        <v>25</v>
      </c>
      <c r="B619" s="2" t="s">
        <v>1344</v>
      </c>
      <c r="C619" s="2" t="s">
        <v>1343</v>
      </c>
      <c r="D619" s="2" t="s">
        <v>1410</v>
      </c>
      <c r="E619" s="2" t="s">
        <v>4425</v>
      </c>
      <c r="F619" s="2" t="s">
        <v>5472</v>
      </c>
      <c r="G619" s="2" t="s">
        <v>4565</v>
      </c>
      <c r="H619" s="2" t="s">
        <v>1464</v>
      </c>
      <c r="I619" s="2" t="s">
        <v>1755</v>
      </c>
      <c r="J619" s="2" t="s">
        <v>2018</v>
      </c>
    </row>
    <row r="620" spans="1:10" ht="14.4" x14ac:dyDescent="0.3">
      <c r="A620" s="2" t="s">
        <v>31</v>
      </c>
      <c r="B620" s="2" t="s">
        <v>1346</v>
      </c>
      <c r="C620" s="2" t="s">
        <v>1345</v>
      </c>
      <c r="D620" s="2" t="s">
        <v>1410</v>
      </c>
      <c r="E620" s="2" t="s">
        <v>4642</v>
      </c>
      <c r="F620" s="2" t="s">
        <v>4643</v>
      </c>
      <c r="G620" s="2" t="s">
        <v>4644</v>
      </c>
      <c r="H620" s="2" t="s">
        <v>4535</v>
      </c>
      <c r="I620" s="2" t="s">
        <v>4471</v>
      </c>
      <c r="J620" s="2" t="s">
        <v>1551</v>
      </c>
    </row>
    <row r="621" spans="1:10" ht="14.4" x14ac:dyDescent="0.3">
      <c r="A621" s="2" t="s">
        <v>25</v>
      </c>
      <c r="B621" s="2" t="s">
        <v>1348</v>
      </c>
      <c r="C621" s="2" t="s">
        <v>1347</v>
      </c>
      <c r="D621" s="2" t="s">
        <v>1410</v>
      </c>
      <c r="E621" s="2" t="s">
        <v>2083</v>
      </c>
      <c r="F621" s="2" t="s">
        <v>4734</v>
      </c>
      <c r="G621" s="2" t="s">
        <v>1836</v>
      </c>
      <c r="H621" s="2" t="s">
        <v>1488</v>
      </c>
      <c r="I621" s="2" t="s">
        <v>1843</v>
      </c>
      <c r="J621" s="2" t="s">
        <v>1551</v>
      </c>
    </row>
    <row r="622" spans="1:10" ht="14.4" x14ac:dyDescent="0.3">
      <c r="A622" s="2" t="s">
        <v>31</v>
      </c>
      <c r="B622" s="2" t="s">
        <v>1352</v>
      </c>
      <c r="C622" s="2" t="s">
        <v>1351</v>
      </c>
      <c r="D622" s="2" t="s">
        <v>1410</v>
      </c>
      <c r="E622" s="2" t="s">
        <v>4637</v>
      </c>
      <c r="F622" s="2" t="s">
        <v>4638</v>
      </c>
      <c r="G622" s="2" t="s">
        <v>2336</v>
      </c>
      <c r="H622" s="2" t="s">
        <v>1464</v>
      </c>
      <c r="I622" s="2" t="s">
        <v>1755</v>
      </c>
      <c r="J622" s="2" t="s">
        <v>2018</v>
      </c>
    </row>
    <row r="623" spans="1:10" ht="14.4" x14ac:dyDescent="0.3">
      <c r="A623" s="2" t="s">
        <v>8</v>
      </c>
      <c r="B623" s="2" t="s">
        <v>1358</v>
      </c>
      <c r="C623" s="2" t="s">
        <v>1357</v>
      </c>
      <c r="D623" s="2" t="s">
        <v>1410</v>
      </c>
      <c r="E623" s="2" t="s">
        <v>4437</v>
      </c>
      <c r="F623" s="2" t="s">
        <v>4438</v>
      </c>
      <c r="G623" s="2" t="s">
        <v>4439</v>
      </c>
      <c r="H623" s="2" t="s">
        <v>1464</v>
      </c>
      <c r="I623" s="2" t="s">
        <v>1755</v>
      </c>
      <c r="J623" s="2" t="s">
        <v>2018</v>
      </c>
    </row>
    <row r="624" spans="1:10" ht="14.4" x14ac:dyDescent="0.3">
      <c r="A624" s="2" t="s">
        <v>31</v>
      </c>
      <c r="B624" s="2" t="s">
        <v>1360</v>
      </c>
      <c r="C624" s="2" t="s">
        <v>1359</v>
      </c>
      <c r="D624" s="2" t="s">
        <v>1410</v>
      </c>
      <c r="E624" s="2" t="s">
        <v>4896</v>
      </c>
      <c r="F624" s="2" t="s">
        <v>4897</v>
      </c>
      <c r="G624" s="2" t="s">
        <v>4898</v>
      </c>
      <c r="H624" s="2" t="s">
        <v>4494</v>
      </c>
      <c r="I624" s="2" t="s">
        <v>4471</v>
      </c>
      <c r="J624" s="2" t="s">
        <v>2018</v>
      </c>
    </row>
    <row r="625" spans="1:10" ht="14.4" x14ac:dyDescent="0.3">
      <c r="A625" s="2" t="s">
        <v>19</v>
      </c>
      <c r="B625" s="2" t="s">
        <v>1364</v>
      </c>
      <c r="C625" s="2" t="s">
        <v>1363</v>
      </c>
      <c r="D625" s="2" t="s">
        <v>1410</v>
      </c>
      <c r="E625" s="2" t="s">
        <v>3039</v>
      </c>
      <c r="F625" s="2" t="s">
        <v>5382</v>
      </c>
      <c r="G625" s="2" t="s">
        <v>5383</v>
      </c>
      <c r="H625" s="2" t="s">
        <v>1488</v>
      </c>
      <c r="I625" s="2" t="s">
        <v>1755</v>
      </c>
      <c r="J625" s="2" t="s">
        <v>3204</v>
      </c>
    </row>
    <row r="626" spans="1:10" ht="14.4" x14ac:dyDescent="0.3">
      <c r="A626" s="2" t="s">
        <v>49</v>
      </c>
      <c r="B626" s="2" t="s">
        <v>1366</v>
      </c>
      <c r="C626" s="2" t="s">
        <v>1365</v>
      </c>
      <c r="D626" s="2" t="s">
        <v>1410</v>
      </c>
      <c r="E626" s="2" t="s">
        <v>4154</v>
      </c>
      <c r="F626" s="2" t="s">
        <v>5297</v>
      </c>
      <c r="G626" s="2" t="s">
        <v>5298</v>
      </c>
      <c r="H626" s="2" t="s">
        <v>1464</v>
      </c>
      <c r="I626" s="2" t="s">
        <v>1755</v>
      </c>
      <c r="J626" s="2" t="s">
        <v>2018</v>
      </c>
    </row>
    <row r="627" spans="1:10" ht="14.4" x14ac:dyDescent="0.3">
      <c r="A627" s="2" t="s">
        <v>80</v>
      </c>
      <c r="B627" s="2" t="s">
        <v>1368</v>
      </c>
      <c r="C627" s="2" t="s">
        <v>1367</v>
      </c>
      <c r="D627" s="2" t="s">
        <v>1410</v>
      </c>
      <c r="E627" s="2" t="s">
        <v>5037</v>
      </c>
      <c r="F627" s="2" t="s">
        <v>5038</v>
      </c>
      <c r="G627" s="2" t="s">
        <v>5039</v>
      </c>
      <c r="H627" s="2" t="s">
        <v>1438</v>
      </c>
      <c r="I627" s="2" t="s">
        <v>1755</v>
      </c>
      <c r="J627" s="2" t="s">
        <v>1749</v>
      </c>
    </row>
    <row r="628" spans="1:10" ht="14.4" x14ac:dyDescent="0.3">
      <c r="A628" s="2" t="s">
        <v>8</v>
      </c>
      <c r="B628" s="2" t="s">
        <v>1373</v>
      </c>
      <c r="C628" s="2" t="s">
        <v>1372</v>
      </c>
      <c r="D628" s="2" t="s">
        <v>1410</v>
      </c>
      <c r="E628" s="2" t="s">
        <v>5475</v>
      </c>
      <c r="F628" s="2" t="s">
        <v>5476</v>
      </c>
      <c r="G628" s="2" t="s">
        <v>1481</v>
      </c>
      <c r="H628" s="2" t="s">
        <v>1464</v>
      </c>
      <c r="I628" s="2" t="s">
        <v>1755</v>
      </c>
      <c r="J628" s="2" t="s">
        <v>2018</v>
      </c>
    </row>
    <row r="629" spans="1:10" ht="14.4" x14ac:dyDescent="0.3">
      <c r="A629" s="2" t="s">
        <v>123</v>
      </c>
      <c r="B629" s="2" t="s">
        <v>1377</v>
      </c>
      <c r="C629" s="2" t="s">
        <v>1376</v>
      </c>
      <c r="D629" s="2" t="s">
        <v>1456</v>
      </c>
      <c r="E629" s="2" t="s">
        <v>4730</v>
      </c>
      <c r="F629" s="2" t="s">
        <v>1415</v>
      </c>
      <c r="G629" s="2" t="s">
        <v>1415</v>
      </c>
      <c r="H629" s="2" t="s">
        <v>1415</v>
      </c>
      <c r="I629" s="2" t="s">
        <v>4436</v>
      </c>
      <c r="J629" s="2" t="s">
        <v>1415</v>
      </c>
    </row>
    <row r="630" spans="1:10" ht="28.8" x14ac:dyDescent="0.3">
      <c r="A630" s="2" t="s">
        <v>3179</v>
      </c>
      <c r="B630" s="2"/>
      <c r="C630" s="2"/>
      <c r="D630" s="2"/>
      <c r="E630" s="2"/>
      <c r="F630" s="2"/>
      <c r="G630" s="2"/>
      <c r="H630" s="2" t="s">
        <v>5477</v>
      </c>
      <c r="I630" s="2" t="s">
        <v>5478</v>
      </c>
      <c r="J630" s="2" t="s">
        <v>5479</v>
      </c>
    </row>
  </sheetData>
  <autoFilter ref="A1:J1" xr:uid="{66834A22-5FEA-4059-B623-87BE0BC49C61}">
    <sortState ref="A2:J630">
      <sortCondition ref="C1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15"/>
  <sheetViews>
    <sheetView zoomScaleNormal="100" workbookViewId="0">
      <pane ySplit="5" topLeftCell="A6" activePane="bottomLeft" state="frozen"/>
      <selection pane="bottomLeft" activeCell="O16" sqref="O16"/>
    </sheetView>
  </sheetViews>
  <sheetFormatPr defaultColWidth="8.6640625" defaultRowHeight="15" customHeight="1" x14ac:dyDescent="0.3"/>
  <cols>
    <col min="2" max="2" width="13" customWidth="1"/>
    <col min="3" max="3" width="10.88671875" customWidth="1"/>
    <col min="4" max="4" width="13" customWidth="1"/>
    <col min="5" max="5" width="15.77734375" customWidth="1"/>
    <col min="6" max="6" width="13.6640625" customWidth="1"/>
    <col min="7" max="7" width="11.88671875" customWidth="1"/>
    <col min="8" max="8" width="13.77734375" customWidth="1"/>
    <col min="9" max="9" width="14.44140625" customWidth="1"/>
  </cols>
  <sheetData>
    <row r="1" spans="2:9" ht="15" customHeight="1" x14ac:dyDescent="0.3">
      <c r="B1" s="32" t="s">
        <v>5498</v>
      </c>
      <c r="C1" s="32"/>
      <c r="D1" s="32"/>
      <c r="E1" s="32"/>
      <c r="F1" s="32"/>
      <c r="G1" s="32"/>
      <c r="H1" s="32"/>
      <c r="I1" s="32"/>
    </row>
    <row r="2" spans="2:9" ht="15" customHeight="1" x14ac:dyDescent="0.3">
      <c r="B2" s="33" t="s">
        <v>5499</v>
      </c>
      <c r="C2" s="33"/>
      <c r="D2" s="33"/>
      <c r="E2" s="33"/>
      <c r="F2" s="33"/>
      <c r="G2" s="33"/>
      <c r="H2" s="33"/>
      <c r="I2" s="33"/>
    </row>
    <row r="3" spans="2:9" ht="15" customHeight="1" x14ac:dyDescent="0.3">
      <c r="B3" s="33" t="s">
        <v>7590</v>
      </c>
      <c r="C3" s="33"/>
      <c r="D3" s="33"/>
      <c r="E3" s="33"/>
      <c r="F3" s="33"/>
      <c r="G3" s="33"/>
      <c r="H3" s="33"/>
      <c r="I3" s="33"/>
    </row>
    <row r="4" spans="2:9" ht="15" customHeight="1" x14ac:dyDescent="0.3">
      <c r="B4" s="33" t="s">
        <v>7589</v>
      </c>
      <c r="C4" s="33"/>
      <c r="D4" s="33"/>
      <c r="E4" s="33"/>
      <c r="F4" s="33"/>
      <c r="G4" s="33"/>
      <c r="H4" s="33"/>
      <c r="I4" s="33"/>
    </row>
    <row r="5" spans="2:9" ht="33" customHeight="1" x14ac:dyDescent="0.3">
      <c r="B5" s="1" t="s">
        <v>0</v>
      </c>
      <c r="C5" s="3" t="s">
        <v>5480</v>
      </c>
      <c r="D5" s="3" t="s">
        <v>5481</v>
      </c>
      <c r="E5" s="3" t="s">
        <v>5482</v>
      </c>
      <c r="F5" s="3" t="s">
        <v>5483</v>
      </c>
      <c r="G5" s="27" t="s">
        <v>5496</v>
      </c>
      <c r="H5" s="27" t="s">
        <v>5497</v>
      </c>
      <c r="I5" s="3" t="s">
        <v>5484</v>
      </c>
    </row>
    <row r="6" spans="2:9" ht="15.6" x14ac:dyDescent="0.3">
      <c r="B6" s="16" t="s">
        <v>7587</v>
      </c>
      <c r="C6" s="10">
        <f>COUNTIFS('Overall Analysis'!$A:$A,$B6,'Overall Analysis'!$H:$H,"&gt;=75")</f>
        <v>122</v>
      </c>
      <c r="D6" s="10">
        <f>COUNTIFS('Overall Analysis'!$A:$A,$B6,'Overall Analysis'!$H:$H,"&gt;=50", 'Overall Analysis'!$H:$H,"&lt;=74.99")</f>
        <v>5</v>
      </c>
      <c r="E6" s="10">
        <f>COUNTIFS('Overall Analysis'!$A:$A,$B6,'Overall Analysis'!$H:$H,"&gt;=25", 'Overall Analysis'!$H:$H,"&lt;=49.99")</f>
        <v>1</v>
      </c>
      <c r="F6" s="10">
        <f>COUNTIFS('Overall Analysis'!$A:$A,$B6,'Overall Analysis'!$H:$H,"&lt;24.99")</f>
        <v>0</v>
      </c>
      <c r="G6" s="28">
        <f>COUNTIFS('Overall Analysis'!$A:$A,$B6,'Overall Analysis'!$J:$J,"NotCompleted")</f>
        <v>1</v>
      </c>
      <c r="H6" s="28">
        <f>COUNTIFS('Overall Analysis'!$A:$A,$B6,'Overall Analysis'!$J:$J,"Not Attempted")</f>
        <v>0</v>
      </c>
      <c r="I6" s="10">
        <f>COUNTIF('Overall Analysis'!$A:$A,$B6)</f>
        <v>129</v>
      </c>
    </row>
    <row r="7" spans="2:9" ht="15.6" x14ac:dyDescent="0.3">
      <c r="B7" s="16" t="s">
        <v>7586</v>
      </c>
      <c r="C7" s="10">
        <f>COUNTIFS('Overall Analysis'!$A:$A,$B7,'Overall Analysis'!$H:$H,"&gt;=75")</f>
        <v>0</v>
      </c>
      <c r="D7" s="10">
        <f>COUNTIFS('Overall Analysis'!$A:$A,$B7,'Overall Analysis'!$H:$H,"&gt;=50", 'Overall Analysis'!$H:$H,"&lt;=74.99")</f>
        <v>0</v>
      </c>
      <c r="E7" s="10">
        <f>COUNTIFS('Overall Analysis'!$A:$A,$B7,'Overall Analysis'!$H:$H,"&gt;=25", 'Overall Analysis'!$H:$H,"&lt;=49.99")</f>
        <v>0</v>
      </c>
      <c r="F7" s="10">
        <f>COUNTIFS('Overall Analysis'!$A:$A,$B7,'Overall Analysis'!$H:$H,"&lt;24.99")</f>
        <v>0</v>
      </c>
      <c r="G7" s="28">
        <f>COUNTIFS('Overall Analysis'!$A:$A,$B7,'Overall Analysis'!$J:$J,"NotCompleted")</f>
        <v>12</v>
      </c>
      <c r="H7" s="28">
        <f>COUNTIFS('Overall Analysis'!$A:$A,$B7,'Overall Analysis'!$J:$J,"Not Attempted")</f>
        <v>21</v>
      </c>
      <c r="I7" s="10">
        <f>COUNTIF('Overall Analysis'!$A:$A,$B7)</f>
        <v>33</v>
      </c>
    </row>
    <row r="8" spans="2:9" ht="15.6" x14ac:dyDescent="0.3">
      <c r="B8" s="16" t="s">
        <v>5486</v>
      </c>
      <c r="C8" s="10">
        <f>COUNTIFS('Overall Analysis'!$A:$A,$B8,'Overall Analysis'!$H:$H,"&gt;=75")</f>
        <v>33</v>
      </c>
      <c r="D8" s="10">
        <f>COUNTIFS('Overall Analysis'!$A:$A,$B8,'Overall Analysis'!$H:$H,"&gt;=50", 'Overall Analysis'!$H:$H,"&lt;=74.99")</f>
        <v>13</v>
      </c>
      <c r="E8" s="10">
        <f>COUNTIFS('Overall Analysis'!$A:$A,$B8,'Overall Analysis'!$H:$H,"&gt;=25", 'Overall Analysis'!$H:$H,"&lt;=49.99")</f>
        <v>2</v>
      </c>
      <c r="F8" s="10">
        <f>COUNTIFS('Overall Analysis'!$A:$A,$B8,'Overall Analysis'!$H:$H,"&lt;24.99")</f>
        <v>0</v>
      </c>
      <c r="G8" s="28">
        <f>COUNTIFS('Overall Analysis'!$A:$A,$B8,'Overall Analysis'!$J:$J,"NotCompleted")</f>
        <v>13</v>
      </c>
      <c r="H8" s="28">
        <f>COUNTIFS('Overall Analysis'!$A:$A,$B8,'Overall Analysis'!$J:$J,"Not Attempted")</f>
        <v>1</v>
      </c>
      <c r="I8" s="10">
        <f>COUNTIF('Overall Analysis'!$A:$A,$B8)</f>
        <v>62</v>
      </c>
    </row>
    <row r="9" spans="2:9" ht="15.6" x14ac:dyDescent="0.3">
      <c r="B9" s="17" t="s">
        <v>5487</v>
      </c>
      <c r="C9" s="10">
        <f>COUNTIFS('Overall Analysis'!$A:$A,$B9,'Overall Analysis'!$H:$H,"&gt;=75")</f>
        <v>87</v>
      </c>
      <c r="D9" s="10">
        <f>COUNTIFS('Overall Analysis'!$A:$A,$B9,'Overall Analysis'!$H:$H,"&gt;=50", 'Overall Analysis'!$H:$H,"&lt;=74.99")</f>
        <v>8</v>
      </c>
      <c r="E9" s="10">
        <f>COUNTIFS('Overall Analysis'!$A:$A,$B9,'Overall Analysis'!$H:$H,"&gt;=25", 'Overall Analysis'!$H:$H,"&lt;=49.99")</f>
        <v>2</v>
      </c>
      <c r="F9" s="10">
        <f>COUNTIFS('Overall Analysis'!$A:$A,$B9,'Overall Analysis'!$H:$H,"&lt;24.99")</f>
        <v>1</v>
      </c>
      <c r="G9" s="28">
        <f>COUNTIFS('Overall Analysis'!$A:$A,$B9,'Overall Analysis'!$J:$J,"NotCompleted")</f>
        <v>102</v>
      </c>
      <c r="H9" s="28">
        <f>COUNTIFS('Overall Analysis'!$A:$A,$B9,'Overall Analysis'!$J:$J,"Not Attempted")</f>
        <v>64</v>
      </c>
      <c r="I9" s="10">
        <f>COUNTIF('Overall Analysis'!$A:$A,$B9)</f>
        <v>264</v>
      </c>
    </row>
    <row r="10" spans="2:9" ht="15.6" x14ac:dyDescent="0.3">
      <c r="B10" s="17" t="s">
        <v>5488</v>
      </c>
      <c r="C10" s="10">
        <f>COUNTIFS('Overall Analysis'!$A:$A,$B10,'Overall Analysis'!$H:$H,"&gt;=75")</f>
        <v>125</v>
      </c>
      <c r="D10" s="10">
        <f>COUNTIFS('Overall Analysis'!$A:$A,$B10,'Overall Analysis'!$H:$H,"&gt;=50", 'Overall Analysis'!$H:$H,"&lt;=74.99")</f>
        <v>10</v>
      </c>
      <c r="E10" s="10">
        <f>COUNTIFS('Overall Analysis'!$A:$A,$B10,'Overall Analysis'!$H:$H,"&gt;=25", 'Overall Analysis'!$H:$H,"&lt;=49.99")</f>
        <v>6</v>
      </c>
      <c r="F10" s="10">
        <f>COUNTIFS('Overall Analysis'!$A:$A,$B10,'Overall Analysis'!$H:$H,"&lt;24.99")</f>
        <v>0</v>
      </c>
      <c r="G10" s="28">
        <f>COUNTIFS('Overall Analysis'!$A:$A,$B10,'Overall Analysis'!$J:$J,"NotCompleted")</f>
        <v>45</v>
      </c>
      <c r="H10" s="28">
        <f>COUNTIFS('Overall Analysis'!$A:$A,$B10,'Overall Analysis'!$J:$J,"Not Attempted")</f>
        <v>11</v>
      </c>
      <c r="I10" s="10">
        <f>COUNTIF('Overall Analysis'!$A:$A,$B10)</f>
        <v>197</v>
      </c>
    </row>
    <row r="11" spans="2:9" ht="15.6" x14ac:dyDescent="0.3">
      <c r="B11" s="16" t="s">
        <v>5489</v>
      </c>
      <c r="C11" s="10">
        <f>COUNTIFS('Overall Analysis'!$A:$A,$B11,'Overall Analysis'!$H:$H,"&gt;=75")</f>
        <v>9</v>
      </c>
      <c r="D11" s="10">
        <f>COUNTIFS('Overall Analysis'!$A:$A,$B11,'Overall Analysis'!$H:$H,"&gt;=50", 'Overall Analysis'!$H:$H,"&lt;=74.99")</f>
        <v>3</v>
      </c>
      <c r="E11" s="10">
        <f>COUNTIFS('Overall Analysis'!$A:$A,$B11,'Overall Analysis'!$H:$H,"&gt;=25", 'Overall Analysis'!$H:$H,"&lt;=49.99")</f>
        <v>1</v>
      </c>
      <c r="F11" s="10">
        <f>COUNTIFS('Overall Analysis'!$A:$A,$B11,'Overall Analysis'!$H:$H,"&lt;24.99")</f>
        <v>0</v>
      </c>
      <c r="G11" s="28">
        <f>COUNTIFS('Overall Analysis'!$A:$A,$B11,'Overall Analysis'!$J:$J,"NotCompleted")</f>
        <v>29</v>
      </c>
      <c r="H11" s="28">
        <f>COUNTIFS('Overall Analysis'!$A:$A,$B11,'Overall Analysis'!$J:$J,"Not Attempted")</f>
        <v>23</v>
      </c>
      <c r="I11" s="10">
        <f>COUNTIF('Overall Analysis'!$A:$A,$B11)</f>
        <v>65</v>
      </c>
    </row>
    <row r="12" spans="2:9" ht="15.6" x14ac:dyDescent="0.3">
      <c r="B12" s="17" t="s">
        <v>5490</v>
      </c>
      <c r="C12" s="10">
        <f>COUNTIFS('Overall Analysis'!$A:$A,$B12,'Overall Analysis'!$H:$H,"&gt;=75")</f>
        <v>47</v>
      </c>
      <c r="D12" s="10">
        <f>COUNTIFS('Overall Analysis'!$A:$A,$B12,'Overall Analysis'!$H:$H,"&gt;=50", 'Overall Analysis'!$H:$H,"&lt;=74.99")</f>
        <v>6</v>
      </c>
      <c r="E12" s="10">
        <f>COUNTIFS('Overall Analysis'!$A:$A,$B12,'Overall Analysis'!$H:$H,"&gt;=25", 'Overall Analysis'!$H:$H,"&lt;=49.99")</f>
        <v>0</v>
      </c>
      <c r="F12" s="10">
        <f>COUNTIFS('Overall Analysis'!$A:$A,$B12,'Overall Analysis'!$H:$H,"&lt;24.99")</f>
        <v>0</v>
      </c>
      <c r="G12" s="28">
        <f>COUNTIFS('Overall Analysis'!$A:$A,$B12,'Overall Analysis'!$J:$J,"NotCompleted")</f>
        <v>71</v>
      </c>
      <c r="H12" s="28">
        <f>COUNTIFS('Overall Analysis'!$A:$A,$B12,'Overall Analysis'!$J:$J,"Not Attempted")</f>
        <v>4</v>
      </c>
      <c r="I12" s="10">
        <f>COUNTIF('Overall Analysis'!$A:$A,$B12)</f>
        <v>128</v>
      </c>
    </row>
    <row r="13" spans="2:9" ht="15.6" x14ac:dyDescent="0.3">
      <c r="B13" s="18" t="s">
        <v>7588</v>
      </c>
      <c r="C13" s="10">
        <f>COUNTIFS('Overall Analysis'!$A:$A,$B13,'Overall Analysis'!$H:$H,"&gt;=75")</f>
        <v>8</v>
      </c>
      <c r="D13" s="10">
        <f>COUNTIFS('Overall Analysis'!$A:$A,$B13,'Overall Analysis'!$H:$H,"&gt;=50", 'Overall Analysis'!$H:$H,"&lt;=74.99")</f>
        <v>3</v>
      </c>
      <c r="E13" s="10">
        <f>COUNTIFS('Overall Analysis'!$A:$A,$B13,'Overall Analysis'!$H:$H,"&gt;=25", 'Overall Analysis'!$H:$H,"&lt;=49.99")</f>
        <v>0</v>
      </c>
      <c r="F13" s="10">
        <f>COUNTIFS('Overall Analysis'!$A:$A,$B13,'Overall Analysis'!$H:$H,"&lt;24.99")</f>
        <v>1</v>
      </c>
      <c r="G13" s="28">
        <f>COUNTIFS('Overall Analysis'!$A:$A,$B13,'Overall Analysis'!$J:$J,"NotCompleted")</f>
        <v>37</v>
      </c>
      <c r="H13" s="28">
        <f>COUNTIFS('Overall Analysis'!$A:$A,$B13,'Overall Analysis'!$J:$J,"Not Attempted")</f>
        <v>85</v>
      </c>
      <c r="I13" s="10">
        <f>COUNTIF('Overall Analysis'!$A:$A,$B13)</f>
        <v>134</v>
      </c>
    </row>
    <row r="14" spans="2:9" ht="14.4" x14ac:dyDescent="0.3">
      <c r="B14" s="2" t="s">
        <v>5491</v>
      </c>
      <c r="C14" s="10">
        <f>C15/I15*100</f>
        <v>42.588932806324109</v>
      </c>
      <c r="D14" s="10">
        <f>D15/I15*100</f>
        <v>4.7430830039525684</v>
      </c>
      <c r="E14" s="10">
        <f>E15/I15*100</f>
        <v>1.1857707509881421</v>
      </c>
      <c r="F14" s="10">
        <f>F15/I15*100</f>
        <v>0.19762845849802371</v>
      </c>
      <c r="G14" s="28">
        <f>G15/I15*100</f>
        <v>30.632411067193676</v>
      </c>
      <c r="H14" s="28">
        <f>H15/I15*100</f>
        <v>20.652173913043477</v>
      </c>
      <c r="I14" s="10"/>
    </row>
    <row r="15" spans="2:9" ht="15.6" x14ac:dyDescent="0.3">
      <c r="B15" s="30" t="s">
        <v>5484</v>
      </c>
      <c r="C15" s="31">
        <f t="shared" ref="C15:I15" si="0">SUM(C6:C13)</f>
        <v>431</v>
      </c>
      <c r="D15" s="31">
        <f t="shared" si="0"/>
        <v>48</v>
      </c>
      <c r="E15" s="31">
        <f t="shared" si="0"/>
        <v>12</v>
      </c>
      <c r="F15" s="31">
        <f t="shared" si="0"/>
        <v>2</v>
      </c>
      <c r="G15" s="29">
        <f t="shared" si="0"/>
        <v>310</v>
      </c>
      <c r="H15" s="29">
        <f t="shared" si="0"/>
        <v>209</v>
      </c>
      <c r="I15" s="31">
        <f t="shared" si="0"/>
        <v>1012</v>
      </c>
    </row>
  </sheetData>
  <mergeCells count="4">
    <mergeCell ref="B1:I1"/>
    <mergeCell ref="B2:I2"/>
    <mergeCell ref="B3:I3"/>
    <mergeCell ref="B4:I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Analysis</vt:lpstr>
      <vt:lpstr>MCQ</vt:lpstr>
      <vt:lpstr>Debugging</vt:lpstr>
      <vt:lpstr>Coding</vt:lpstr>
      <vt:lpstr>Department %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2026-08-19T09:56:58Z</dcterms:created>
  <dcterms:modified xsi:type="dcterms:W3CDTF">2026-08-27T03:56:16Z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2026-08-19T07:07:55Z</dcterms:created>
  <dc:creator>openpyxl</dc:creator>
  <dc:description/>
  <dc:language>en-US</dc:language>
  <cp:lastModifiedBy/>
  <dcterms:modified xsi:type="dcterms:W3CDTF">2026-08-19T07:07:57Z</dcterms:modified>
  <cp:revision>0</cp:revision>
  <dc:subject/>
  <dc:title/>
</cp:coreProperties>
</file>